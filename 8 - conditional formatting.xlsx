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urrahman\Downloads\"/>
    </mc:Choice>
  </mc:AlternateContent>
  <xr:revisionPtr revIDLastSave="0" documentId="13_ncr:1_{CABA8C28-565B-42CA-9D44-4E3190697B09}" xr6:coauthVersionLast="47" xr6:coauthVersionMax="47" xr10:uidLastSave="{00000000-0000-0000-0000-000000000000}"/>
  <bookViews>
    <workbookView xWindow="-120" yWindow="-120" windowWidth="20730" windowHeight="11760" firstSheet="6" activeTab="10" xr2:uid="{00000000-000D-0000-FFFF-FFFF00000000}"/>
  </bookViews>
  <sheets>
    <sheet name="Sheet4" sheetId="7" state="hidden" r:id="rId1"/>
    <sheet name="Data" sheetId="1" r:id="rId2"/>
    <sheet name="Data Tambahan" sheetId="6" r:id="rId3"/>
    <sheet name="Populasi dan Jumlah Cabang" sheetId="2" r:id="rId4"/>
    <sheet name="Kompetitor" sheetId="3" r:id="rId5"/>
    <sheet name="Highlight" sheetId="8" r:id="rId6"/>
    <sheet name="TopBottom" sheetId="9" r:id="rId7"/>
    <sheet name="Data Bars, Color, Icon" sheetId="10" r:id="rId8"/>
    <sheet name="Advanced Rules" sheetId="12" r:id="rId9"/>
    <sheet name="Data Latihan" sheetId="13" r:id="rId10"/>
    <sheet name="Pivot Latihan" sheetId="15" r:id="rId11"/>
  </sheets>
  <definedNames>
    <definedName name="_xlnm._FilterDatabase" localSheetId="1" hidden="1">Data!$A$1:$H$977</definedName>
  </definedNames>
  <calcPr calcId="191028"/>
  <pivotCaches>
    <pivotCache cacheId="1" r:id="rId12"/>
    <pivotCache cacheId="6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5" l="1"/>
  <c r="Q69" i="10"/>
  <c r="Q68" i="10"/>
  <c r="Q67" i="10"/>
  <c r="E30" i="9"/>
  <c r="H6" i="12"/>
  <c r="G6" i="12"/>
  <c r="F6" i="12"/>
  <c r="E6" i="12"/>
  <c r="D6" i="12"/>
  <c r="C6" i="12"/>
  <c r="B6" i="12"/>
  <c r="A6" i="12"/>
  <c r="Q35" i="10"/>
  <c r="R35" i="10" s="1"/>
  <c r="Q34" i="10"/>
  <c r="R34" i="10" s="1"/>
  <c r="Q33" i="10"/>
  <c r="R33" i="10" s="1"/>
  <c r="J88" i="8" l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87" i="8" l="1"/>
  <c r="J86" i="8" s="1"/>
  <c r="J85" i="8" s="1"/>
  <c r="J84" i="8" s="1"/>
  <c r="G2" i="3"/>
  <c r="B2" i="3" s="1"/>
  <c r="G3" i="3"/>
  <c r="B3" i="3" s="1"/>
  <c r="G4" i="3"/>
  <c r="B4" i="3" s="1"/>
  <c r="G5" i="3"/>
  <c r="B5" i="3" s="1"/>
  <c r="G6" i="3"/>
  <c r="B6" i="3" s="1"/>
  <c r="G7" i="3"/>
  <c r="B7" i="3" s="1"/>
  <c r="G8" i="3"/>
  <c r="B8" i="3" s="1"/>
  <c r="G9" i="3"/>
  <c r="B9" i="3" s="1"/>
  <c r="G10" i="3"/>
  <c r="B10" i="3" s="1"/>
  <c r="G11" i="3"/>
  <c r="B11" i="3" s="1"/>
  <c r="G12" i="3"/>
  <c r="B12" i="3" s="1"/>
  <c r="G13" i="3"/>
  <c r="B13" i="3" s="1"/>
  <c r="G14" i="3"/>
  <c r="B14" i="3" s="1"/>
  <c r="G15" i="3"/>
  <c r="B15" i="3" s="1"/>
  <c r="G16" i="3"/>
  <c r="B16" i="3" s="1"/>
  <c r="G17" i="3"/>
  <c r="B17" i="3" s="1"/>
  <c r="G18" i="3"/>
  <c r="B18" i="3" s="1"/>
  <c r="G19" i="3"/>
  <c r="B19" i="3" s="1"/>
  <c r="G20" i="3"/>
  <c r="B20" i="3" s="1"/>
  <c r="G21" i="3"/>
  <c r="B21" i="3" s="1"/>
  <c r="G22" i="3"/>
  <c r="B22" i="3" s="1"/>
  <c r="G23" i="3"/>
  <c r="B23" i="3" s="1"/>
  <c r="G24" i="3"/>
  <c r="B24" i="3" s="1"/>
  <c r="G25" i="3"/>
  <c r="B25" i="3" s="1"/>
  <c r="G26" i="3"/>
  <c r="B26" i="3" s="1"/>
  <c r="G27" i="3"/>
  <c r="B27" i="3" s="1"/>
  <c r="G28" i="3"/>
  <c r="B28" i="3" s="1"/>
  <c r="G29" i="3"/>
  <c r="B29" i="3" s="1"/>
  <c r="G30" i="3"/>
  <c r="B30" i="3" s="1"/>
  <c r="G31" i="3"/>
  <c r="B31" i="3" s="1"/>
  <c r="G32" i="3"/>
  <c r="B32" i="3" s="1"/>
  <c r="G33" i="3"/>
  <c r="B33" i="3" s="1"/>
  <c r="G34" i="3"/>
  <c r="B34" i="3" s="1"/>
  <c r="G35" i="3"/>
  <c r="B35" i="3" s="1"/>
  <c r="G36" i="3"/>
  <c r="B36" i="3" s="1"/>
  <c r="G37" i="3"/>
  <c r="B37" i="3" s="1"/>
  <c r="G38" i="3"/>
  <c r="B38" i="3" s="1"/>
  <c r="G39" i="3"/>
  <c r="B39" i="3" s="1"/>
  <c r="G40" i="3"/>
  <c r="B40" i="3" s="1"/>
  <c r="G41" i="3"/>
  <c r="B41" i="3" s="1"/>
  <c r="G42" i="3"/>
  <c r="B42" i="3" s="1"/>
  <c r="G43" i="3"/>
  <c r="B43" i="3" s="1"/>
  <c r="G44" i="3"/>
  <c r="B44" i="3" s="1"/>
  <c r="G45" i="3"/>
  <c r="B45" i="3" s="1"/>
  <c r="G46" i="3"/>
  <c r="B46" i="3" s="1"/>
  <c r="G47" i="3"/>
  <c r="B47" i="3" s="1"/>
  <c r="G48" i="3"/>
  <c r="B48" i="3" s="1"/>
  <c r="G49" i="3"/>
  <c r="B49" i="3" s="1"/>
  <c r="G50" i="3"/>
  <c r="B50" i="3" s="1"/>
  <c r="G51" i="3"/>
  <c r="B51" i="3" s="1"/>
  <c r="G52" i="3"/>
  <c r="B52" i="3" s="1"/>
  <c r="G53" i="3"/>
  <c r="B53" i="3" s="1"/>
  <c r="G54" i="3"/>
  <c r="B54" i="3" s="1"/>
  <c r="G55" i="3"/>
  <c r="B55" i="3" s="1"/>
  <c r="G56" i="3"/>
  <c r="B56" i="3" s="1"/>
  <c r="G57" i="3"/>
  <c r="B57" i="3" s="1"/>
  <c r="G58" i="3"/>
  <c r="B58" i="3" s="1"/>
  <c r="G59" i="3"/>
  <c r="B59" i="3" s="1"/>
  <c r="G60" i="3"/>
  <c r="B60" i="3" s="1"/>
  <c r="G61" i="3"/>
  <c r="B61" i="3" s="1"/>
  <c r="G62" i="3"/>
  <c r="B62" i="3" s="1"/>
  <c r="G63" i="3"/>
  <c r="B63" i="3" s="1"/>
  <c r="G64" i="3"/>
  <c r="B64" i="3" s="1"/>
  <c r="G65" i="3"/>
  <c r="B65" i="3" s="1"/>
  <c r="G66" i="3"/>
  <c r="B66" i="3" s="1"/>
  <c r="G67" i="3"/>
  <c r="B67" i="3" s="1"/>
  <c r="G68" i="3"/>
  <c r="B68" i="3" s="1"/>
  <c r="G69" i="3"/>
  <c r="B69" i="3" s="1"/>
  <c r="G70" i="3"/>
  <c r="B70" i="3" s="1"/>
  <c r="G71" i="3"/>
  <c r="B71" i="3" s="1"/>
  <c r="G72" i="3"/>
  <c r="B72" i="3" s="1"/>
  <c r="G73" i="3"/>
  <c r="B73" i="3" s="1"/>
  <c r="G74" i="3"/>
  <c r="B74" i="3" s="1"/>
  <c r="G75" i="3"/>
  <c r="B75" i="3" s="1"/>
  <c r="G76" i="3"/>
  <c r="B76" i="3" s="1"/>
  <c r="G77" i="3"/>
  <c r="B77" i="3" s="1"/>
  <c r="G78" i="3"/>
  <c r="B78" i="3" s="1"/>
  <c r="G79" i="3"/>
  <c r="B79" i="3" s="1"/>
  <c r="G80" i="3"/>
  <c r="B80" i="3" s="1"/>
  <c r="G81" i="3"/>
  <c r="B81" i="3" s="1"/>
  <c r="G82" i="3"/>
  <c r="B82" i="3" s="1"/>
  <c r="G83" i="3"/>
  <c r="B83" i="3" s="1"/>
  <c r="G84" i="3"/>
  <c r="B84" i="3" s="1"/>
  <c r="G85" i="3"/>
  <c r="B85" i="3" s="1"/>
  <c r="G86" i="3"/>
  <c r="B86" i="3" s="1"/>
  <c r="G87" i="3"/>
  <c r="B87" i="3" s="1"/>
  <c r="G88" i="3"/>
  <c r="B88" i="3" s="1"/>
  <c r="G89" i="3"/>
  <c r="B89" i="3" s="1"/>
  <c r="G90" i="3"/>
  <c r="B90" i="3" s="1"/>
  <c r="G91" i="3"/>
  <c r="B91" i="3" s="1"/>
  <c r="G92" i="3"/>
  <c r="B92" i="3" s="1"/>
  <c r="G93" i="3"/>
  <c r="B93" i="3" s="1"/>
  <c r="G94" i="3"/>
  <c r="B94" i="3" s="1"/>
  <c r="G95" i="3"/>
  <c r="B95" i="3" s="1"/>
  <c r="G96" i="3"/>
  <c r="B96" i="3" s="1"/>
  <c r="G97" i="3"/>
  <c r="B97" i="3" s="1"/>
  <c r="G98" i="3"/>
  <c r="B98" i="3" s="1"/>
  <c r="G99" i="3"/>
  <c r="B99" i="3" s="1"/>
  <c r="G100" i="3"/>
  <c r="B100" i="3" s="1"/>
  <c r="G101" i="3"/>
  <c r="B101" i="3" s="1"/>
  <c r="G102" i="3"/>
  <c r="B102" i="3" s="1"/>
  <c r="G103" i="3"/>
  <c r="B103" i="3" s="1"/>
  <c r="G104" i="3"/>
  <c r="B104" i="3" s="1"/>
  <c r="G105" i="3"/>
  <c r="B105" i="3" s="1"/>
  <c r="G106" i="3"/>
  <c r="B106" i="3" s="1"/>
  <c r="G107" i="3"/>
  <c r="B107" i="3" s="1"/>
  <c r="G108" i="3"/>
  <c r="B108" i="3" s="1"/>
  <c r="G109" i="3"/>
  <c r="B109" i="3" s="1"/>
  <c r="G110" i="3"/>
  <c r="B110" i="3" s="1"/>
  <c r="G111" i="3"/>
  <c r="B111" i="3" s="1"/>
  <c r="G112" i="3"/>
  <c r="B112" i="3" s="1"/>
  <c r="G113" i="3"/>
  <c r="B113" i="3" s="1"/>
  <c r="G114" i="3"/>
  <c r="B114" i="3" s="1"/>
  <c r="G115" i="3"/>
  <c r="B115" i="3" s="1"/>
  <c r="G116" i="3"/>
  <c r="B116" i="3" s="1"/>
  <c r="G117" i="3"/>
  <c r="B117" i="3" s="1"/>
  <c r="G118" i="3"/>
  <c r="B118" i="3" s="1"/>
  <c r="G119" i="3"/>
  <c r="B119" i="3" s="1"/>
  <c r="G120" i="3"/>
  <c r="B120" i="3" s="1"/>
  <c r="G121" i="3"/>
  <c r="B121" i="3" s="1"/>
  <c r="G122" i="3"/>
  <c r="B122" i="3" s="1"/>
  <c r="G123" i="3"/>
  <c r="B123" i="3" s="1"/>
  <c r="G124" i="3"/>
  <c r="B124" i="3" s="1"/>
  <c r="G125" i="3"/>
  <c r="B125" i="3" s="1"/>
  <c r="G126" i="3"/>
  <c r="B126" i="3" s="1"/>
  <c r="G127" i="3"/>
  <c r="B127" i="3" s="1"/>
  <c r="G128" i="3"/>
  <c r="B128" i="3" s="1"/>
  <c r="G129" i="3"/>
  <c r="B129" i="3" s="1"/>
  <c r="G130" i="3"/>
  <c r="B130" i="3" s="1"/>
  <c r="G131" i="3"/>
  <c r="B131" i="3" s="1"/>
  <c r="G132" i="3"/>
  <c r="B132" i="3" s="1"/>
  <c r="G133" i="3"/>
  <c r="B133" i="3" s="1"/>
  <c r="G134" i="3"/>
  <c r="B134" i="3" s="1"/>
  <c r="G135" i="3"/>
  <c r="B135" i="3" s="1"/>
  <c r="G136" i="3"/>
  <c r="B136" i="3" s="1"/>
  <c r="G137" i="3"/>
  <c r="B137" i="3" s="1"/>
  <c r="G138" i="3"/>
  <c r="B138" i="3" s="1"/>
  <c r="G139" i="3"/>
  <c r="B139" i="3" s="1"/>
  <c r="G140" i="3"/>
  <c r="B140" i="3" s="1"/>
  <c r="G141" i="3"/>
  <c r="B141" i="3" s="1"/>
  <c r="G142" i="3"/>
  <c r="B142" i="3" s="1"/>
  <c r="G143" i="3"/>
  <c r="B143" i="3" s="1"/>
  <c r="G144" i="3"/>
  <c r="B144" i="3" s="1"/>
  <c r="G145" i="3"/>
  <c r="B145" i="3" s="1"/>
  <c r="G146" i="3"/>
  <c r="B146" i="3" s="1"/>
  <c r="G147" i="3"/>
  <c r="B147" i="3" s="1"/>
  <c r="G148" i="3"/>
  <c r="B148" i="3" s="1"/>
  <c r="G149" i="3"/>
  <c r="B149" i="3" s="1"/>
  <c r="G150" i="3"/>
  <c r="B150" i="3" s="1"/>
  <c r="G151" i="3"/>
  <c r="B151" i="3" s="1"/>
  <c r="G152" i="3"/>
  <c r="B152" i="3" s="1"/>
  <c r="G153" i="3"/>
  <c r="B153" i="3" s="1"/>
  <c r="G154" i="3"/>
  <c r="B154" i="3" s="1"/>
  <c r="G155" i="3"/>
  <c r="B155" i="3" s="1"/>
  <c r="G156" i="3"/>
  <c r="B156" i="3" s="1"/>
  <c r="G157" i="3"/>
  <c r="B157" i="3" s="1"/>
  <c r="G158" i="3"/>
  <c r="B158" i="3" s="1"/>
  <c r="G159" i="3"/>
  <c r="B159" i="3" s="1"/>
  <c r="G160" i="3"/>
  <c r="B160" i="3" s="1"/>
  <c r="G161" i="3"/>
  <c r="B161" i="3" s="1"/>
  <c r="G162" i="3"/>
  <c r="B162" i="3" s="1"/>
  <c r="G163" i="3"/>
  <c r="B163" i="3" s="1"/>
  <c r="G164" i="3"/>
  <c r="B164" i="3" s="1"/>
  <c r="G165" i="3"/>
  <c r="B165" i="3" s="1"/>
  <c r="G166" i="3"/>
  <c r="B166" i="3" s="1"/>
  <c r="G167" i="3"/>
  <c r="B167" i="3" s="1"/>
  <c r="G168" i="3"/>
  <c r="B168" i="3" s="1"/>
  <c r="G169" i="3"/>
  <c r="B169" i="3" s="1"/>
  <c r="G170" i="3"/>
  <c r="B170" i="3" s="1"/>
  <c r="G171" i="3"/>
  <c r="B171" i="3" s="1"/>
  <c r="G172" i="3"/>
  <c r="B172" i="3" s="1"/>
  <c r="G173" i="3"/>
  <c r="B173" i="3" s="1"/>
  <c r="G174" i="3"/>
  <c r="B174" i="3" s="1"/>
  <c r="G175" i="3"/>
  <c r="B175" i="3" s="1"/>
  <c r="G176" i="3"/>
  <c r="B176" i="3" s="1"/>
  <c r="G177" i="3"/>
  <c r="B177" i="3" s="1"/>
  <c r="G178" i="3"/>
  <c r="B178" i="3" s="1"/>
  <c r="G179" i="3"/>
  <c r="B179" i="3" s="1"/>
  <c r="G180" i="3"/>
  <c r="B180" i="3" s="1"/>
  <c r="G181" i="3"/>
  <c r="B181" i="3" s="1"/>
  <c r="G182" i="3"/>
  <c r="B182" i="3" s="1"/>
  <c r="G183" i="3"/>
  <c r="B183" i="3" s="1"/>
  <c r="G184" i="3"/>
  <c r="B184" i="3" s="1"/>
  <c r="G185" i="3"/>
  <c r="B185" i="3" s="1"/>
  <c r="G186" i="3"/>
  <c r="B186" i="3" s="1"/>
  <c r="G187" i="3"/>
  <c r="B187" i="3" s="1"/>
  <c r="G188" i="3"/>
  <c r="B188" i="3" s="1"/>
  <c r="G189" i="3"/>
  <c r="B189" i="3" s="1"/>
  <c r="G190" i="3"/>
  <c r="B190" i="3" s="1"/>
  <c r="G191" i="3"/>
  <c r="B191" i="3" s="1"/>
  <c r="G192" i="3"/>
  <c r="B192" i="3" s="1"/>
  <c r="G193" i="3"/>
  <c r="B193" i="3" s="1"/>
  <c r="G194" i="3"/>
  <c r="B194" i="3" s="1"/>
  <c r="G195" i="3"/>
  <c r="B195" i="3" s="1"/>
  <c r="G196" i="3"/>
  <c r="B196" i="3" s="1"/>
  <c r="G197" i="3"/>
  <c r="B197" i="3" s="1"/>
  <c r="G198" i="3"/>
  <c r="B198" i="3" s="1"/>
  <c r="G199" i="3"/>
  <c r="B199" i="3" s="1"/>
  <c r="G200" i="3"/>
  <c r="B200" i="3" s="1"/>
  <c r="G201" i="3"/>
  <c r="B201" i="3" s="1"/>
  <c r="G202" i="3"/>
  <c r="B202" i="3" s="1"/>
  <c r="G203" i="3"/>
  <c r="B203" i="3" s="1"/>
  <c r="G204" i="3"/>
  <c r="B204" i="3" s="1"/>
  <c r="G205" i="3"/>
  <c r="B205" i="3" s="1"/>
  <c r="G206" i="3"/>
  <c r="B206" i="3" s="1"/>
  <c r="G207" i="3"/>
  <c r="B207" i="3" s="1"/>
  <c r="G208" i="3"/>
  <c r="B208" i="3" s="1"/>
  <c r="G209" i="3"/>
  <c r="B209" i="3" s="1"/>
  <c r="G210" i="3"/>
  <c r="B210" i="3" s="1"/>
  <c r="G211" i="3"/>
  <c r="B211" i="3" s="1"/>
  <c r="G212" i="3"/>
  <c r="B212" i="3" s="1"/>
  <c r="G213" i="3"/>
  <c r="B213" i="3" s="1"/>
  <c r="G214" i="3"/>
  <c r="B214" i="3" s="1"/>
  <c r="G215" i="3"/>
  <c r="B215" i="3" s="1"/>
  <c r="G216" i="3"/>
  <c r="B216" i="3" s="1"/>
  <c r="G217" i="3"/>
  <c r="B217" i="3" s="1"/>
  <c r="G218" i="3"/>
  <c r="B218" i="3" s="1"/>
  <c r="G219" i="3"/>
  <c r="B219" i="3" s="1"/>
  <c r="G220" i="3"/>
  <c r="B220" i="3" s="1"/>
  <c r="G221" i="3"/>
  <c r="B221" i="3" s="1"/>
  <c r="G222" i="3"/>
  <c r="B222" i="3" s="1"/>
  <c r="G223" i="3"/>
  <c r="B223" i="3" s="1"/>
  <c r="G224" i="3"/>
  <c r="B224" i="3" s="1"/>
  <c r="G225" i="3"/>
  <c r="B225" i="3" s="1"/>
  <c r="G226" i="3"/>
  <c r="B226" i="3" s="1"/>
  <c r="G227" i="3"/>
  <c r="B227" i="3" s="1"/>
  <c r="G228" i="3"/>
  <c r="B228" i="3" s="1"/>
  <c r="G229" i="3"/>
  <c r="B229" i="3" s="1"/>
  <c r="G230" i="3"/>
  <c r="B230" i="3" s="1"/>
  <c r="G231" i="3"/>
  <c r="B231" i="3" s="1"/>
  <c r="G232" i="3"/>
  <c r="B232" i="3" s="1"/>
  <c r="G233" i="3"/>
  <c r="B233" i="3" s="1"/>
  <c r="G234" i="3"/>
  <c r="B234" i="3" s="1"/>
  <c r="G235" i="3"/>
  <c r="B235" i="3" s="1"/>
  <c r="G236" i="3"/>
  <c r="B236" i="3" s="1"/>
  <c r="G237" i="3"/>
  <c r="B237" i="3" s="1"/>
  <c r="G238" i="3"/>
  <c r="B238" i="3" s="1"/>
  <c r="G239" i="3"/>
  <c r="B239" i="3" s="1"/>
  <c r="G240" i="3"/>
  <c r="B240" i="3" s="1"/>
  <c r="G241" i="3"/>
  <c r="B241" i="3" s="1"/>
  <c r="G242" i="3"/>
  <c r="B242" i="3" s="1"/>
  <c r="G243" i="3"/>
  <c r="B243" i="3" s="1"/>
  <c r="G244" i="3"/>
  <c r="B244" i="3" s="1"/>
  <c r="G245" i="3"/>
  <c r="B245" i="3" s="1"/>
  <c r="G246" i="3"/>
  <c r="B246" i="3" s="1"/>
  <c r="G247" i="3"/>
  <c r="B247" i="3" s="1"/>
  <c r="G248" i="3"/>
  <c r="B248" i="3" s="1"/>
  <c r="G249" i="3"/>
  <c r="B249" i="3" s="1"/>
  <c r="G250" i="3"/>
  <c r="B250" i="3" s="1"/>
  <c r="G251" i="3"/>
  <c r="B251" i="3" s="1"/>
  <c r="G252" i="3"/>
  <c r="B252" i="3" s="1"/>
  <c r="G253" i="3"/>
  <c r="B253" i="3" s="1"/>
  <c r="G254" i="3"/>
  <c r="B254" i="3" s="1"/>
  <c r="G255" i="3"/>
  <c r="B255" i="3" s="1"/>
  <c r="G256" i="3"/>
  <c r="B256" i="3" s="1"/>
  <c r="G257" i="3"/>
  <c r="B257" i="3" s="1"/>
  <c r="G258" i="3"/>
  <c r="B258" i="3" s="1"/>
  <c r="G259" i="3"/>
  <c r="B259" i="3" s="1"/>
  <c r="G260" i="3"/>
  <c r="B260" i="3" s="1"/>
  <c r="G261" i="3"/>
  <c r="B261" i="3" s="1"/>
  <c r="G262" i="3"/>
  <c r="B262" i="3" s="1"/>
  <c r="G263" i="3"/>
  <c r="B263" i="3" s="1"/>
  <c r="G264" i="3"/>
  <c r="B264" i="3" s="1"/>
  <c r="G265" i="3"/>
  <c r="B265" i="3" s="1"/>
  <c r="G266" i="3"/>
  <c r="B266" i="3" s="1"/>
  <c r="G267" i="3"/>
  <c r="B267" i="3" s="1"/>
  <c r="G268" i="3"/>
  <c r="B268" i="3" s="1"/>
  <c r="G269" i="3"/>
  <c r="B269" i="3" s="1"/>
  <c r="G270" i="3"/>
  <c r="B270" i="3" s="1"/>
  <c r="G271" i="3"/>
  <c r="B271" i="3" s="1"/>
  <c r="G272" i="3"/>
  <c r="B272" i="3" s="1"/>
  <c r="G273" i="3"/>
  <c r="B273" i="3" s="1"/>
  <c r="G274" i="3"/>
  <c r="B274" i="3" s="1"/>
  <c r="G275" i="3"/>
  <c r="B275" i="3" s="1"/>
  <c r="G276" i="3"/>
  <c r="B276" i="3" s="1"/>
  <c r="G277" i="3"/>
  <c r="B277" i="3" s="1"/>
  <c r="G278" i="3"/>
  <c r="B278" i="3" s="1"/>
  <c r="G279" i="3"/>
  <c r="B279" i="3" s="1"/>
  <c r="G280" i="3"/>
  <c r="B280" i="3" s="1"/>
  <c r="G281" i="3"/>
  <c r="B281" i="3" s="1"/>
  <c r="G282" i="3"/>
  <c r="B282" i="3" s="1"/>
  <c r="G283" i="3"/>
  <c r="B283" i="3" s="1"/>
  <c r="G284" i="3"/>
  <c r="B284" i="3" s="1"/>
  <c r="G285" i="3"/>
  <c r="B285" i="3" s="1"/>
  <c r="G286" i="3"/>
  <c r="B286" i="3" s="1"/>
  <c r="G287" i="3"/>
  <c r="B287" i="3" s="1"/>
  <c r="G288" i="3"/>
  <c r="B288" i="3" s="1"/>
  <c r="G289" i="3"/>
  <c r="B289" i="3" s="1"/>
  <c r="G290" i="3"/>
  <c r="B290" i="3" s="1"/>
  <c r="G291" i="3"/>
  <c r="B291" i="3" s="1"/>
  <c r="G292" i="3"/>
  <c r="B292" i="3" s="1"/>
  <c r="G293" i="3"/>
  <c r="B293" i="3" s="1"/>
  <c r="G294" i="3"/>
  <c r="B294" i="3" s="1"/>
  <c r="G295" i="3"/>
  <c r="B295" i="3" s="1"/>
  <c r="G296" i="3"/>
  <c r="B296" i="3" s="1"/>
  <c r="G297" i="3"/>
  <c r="B297" i="3" s="1"/>
  <c r="G298" i="3"/>
  <c r="B298" i="3" s="1"/>
  <c r="G299" i="3"/>
  <c r="B299" i="3" s="1"/>
  <c r="G300" i="3"/>
  <c r="B300" i="3" s="1"/>
  <c r="G301" i="3"/>
  <c r="B301" i="3" s="1"/>
  <c r="G302" i="3"/>
  <c r="B302" i="3" s="1"/>
  <c r="G303" i="3"/>
  <c r="B303" i="3" s="1"/>
  <c r="G304" i="3"/>
  <c r="B304" i="3" s="1"/>
  <c r="G305" i="3"/>
  <c r="B305" i="3" s="1"/>
  <c r="G306" i="3"/>
  <c r="B306" i="3" s="1"/>
  <c r="G307" i="3"/>
  <c r="B307" i="3" s="1"/>
  <c r="G308" i="3"/>
  <c r="B308" i="3" s="1"/>
  <c r="G309" i="3"/>
  <c r="B309" i="3" s="1"/>
  <c r="G310" i="3"/>
  <c r="B310" i="3" s="1"/>
  <c r="G311" i="3"/>
  <c r="B311" i="3" s="1"/>
  <c r="G312" i="3"/>
  <c r="B312" i="3" s="1"/>
  <c r="G313" i="3"/>
  <c r="B313" i="3" s="1"/>
  <c r="G314" i="3"/>
  <c r="B314" i="3" s="1"/>
  <c r="G315" i="3"/>
  <c r="B315" i="3" s="1"/>
  <c r="G316" i="3"/>
  <c r="B316" i="3" s="1"/>
  <c r="G317" i="3"/>
  <c r="B317" i="3" s="1"/>
  <c r="G318" i="3"/>
  <c r="B318" i="3" s="1"/>
  <c r="G319" i="3"/>
  <c r="B319" i="3" s="1"/>
  <c r="G320" i="3"/>
  <c r="B320" i="3" s="1"/>
  <c r="G321" i="3"/>
  <c r="B321" i="3" s="1"/>
  <c r="G322" i="3"/>
  <c r="B322" i="3" s="1"/>
  <c r="G323" i="3"/>
  <c r="B323" i="3" s="1"/>
  <c r="G324" i="3"/>
  <c r="B324" i="3" s="1"/>
  <c r="G325" i="3"/>
  <c r="B325" i="3" s="1"/>
  <c r="G326" i="3"/>
  <c r="B326" i="3" s="1"/>
  <c r="G327" i="3"/>
  <c r="B327" i="3" s="1"/>
  <c r="G328" i="3"/>
  <c r="B328" i="3" s="1"/>
  <c r="G329" i="3"/>
  <c r="B329" i="3" s="1"/>
  <c r="G330" i="3"/>
  <c r="B330" i="3" s="1"/>
  <c r="G331" i="3"/>
  <c r="B331" i="3" s="1"/>
  <c r="G332" i="3"/>
  <c r="B332" i="3" s="1"/>
  <c r="G333" i="3"/>
  <c r="B333" i="3" s="1"/>
  <c r="G334" i="3"/>
  <c r="B334" i="3" s="1"/>
  <c r="G335" i="3"/>
  <c r="B335" i="3" s="1"/>
  <c r="G336" i="3"/>
  <c r="B336" i="3" s="1"/>
  <c r="G337" i="3"/>
  <c r="B337" i="3" s="1"/>
  <c r="G338" i="3"/>
  <c r="B338" i="3" s="1"/>
  <c r="G339" i="3"/>
  <c r="B339" i="3" s="1"/>
  <c r="G340" i="3"/>
  <c r="B340" i="3" s="1"/>
  <c r="G341" i="3"/>
  <c r="B341" i="3" s="1"/>
  <c r="G342" i="3"/>
  <c r="B342" i="3" s="1"/>
  <c r="G343" i="3"/>
  <c r="B343" i="3" s="1"/>
  <c r="G344" i="3"/>
  <c r="B344" i="3" s="1"/>
  <c r="G345" i="3"/>
  <c r="B345" i="3" s="1"/>
  <c r="G346" i="3"/>
  <c r="B346" i="3" s="1"/>
  <c r="G347" i="3"/>
  <c r="B347" i="3" s="1"/>
  <c r="G348" i="3"/>
  <c r="B348" i="3" s="1"/>
  <c r="G349" i="3"/>
  <c r="B349" i="3" s="1"/>
  <c r="G350" i="3"/>
  <c r="B350" i="3" s="1"/>
  <c r="G351" i="3"/>
  <c r="B351" i="3" s="1"/>
  <c r="G352" i="3"/>
  <c r="B352" i="3" s="1"/>
  <c r="G353" i="3"/>
  <c r="B353" i="3" s="1"/>
  <c r="G354" i="3"/>
  <c r="B354" i="3" s="1"/>
  <c r="G355" i="3"/>
  <c r="B355" i="3" s="1"/>
  <c r="G356" i="3"/>
  <c r="B356" i="3" s="1"/>
  <c r="G357" i="3"/>
  <c r="B357" i="3" s="1"/>
  <c r="G358" i="3"/>
  <c r="B358" i="3" s="1"/>
  <c r="G359" i="3"/>
  <c r="B359" i="3" s="1"/>
  <c r="G360" i="3"/>
  <c r="B360" i="3" s="1"/>
  <c r="G361" i="3"/>
  <c r="B361" i="3" s="1"/>
  <c r="G362" i="3"/>
  <c r="B362" i="3" s="1"/>
  <c r="G363" i="3"/>
  <c r="B363" i="3" s="1"/>
  <c r="G364" i="3"/>
  <c r="B364" i="3" s="1"/>
  <c r="G365" i="3"/>
  <c r="B365" i="3" s="1"/>
  <c r="G366" i="3"/>
  <c r="B366" i="3" s="1"/>
  <c r="G367" i="3"/>
  <c r="B367" i="3" s="1"/>
  <c r="G368" i="3"/>
  <c r="B368" i="3" s="1"/>
  <c r="G369" i="3"/>
  <c r="B369" i="3" s="1"/>
  <c r="G370" i="3"/>
  <c r="B370" i="3" s="1"/>
  <c r="G371" i="3"/>
  <c r="B371" i="3" s="1"/>
  <c r="G372" i="3"/>
  <c r="B372" i="3" s="1"/>
  <c r="G373" i="3"/>
  <c r="B373" i="3" s="1"/>
  <c r="G374" i="3"/>
  <c r="B374" i="3" s="1"/>
  <c r="G375" i="3"/>
  <c r="B375" i="3" s="1"/>
  <c r="G376" i="3"/>
  <c r="B376" i="3" s="1"/>
  <c r="G377" i="3"/>
  <c r="B377" i="3" s="1"/>
  <c r="G378" i="3"/>
  <c r="B378" i="3" s="1"/>
  <c r="G379" i="3"/>
  <c r="B379" i="3" s="1"/>
  <c r="G380" i="3"/>
  <c r="B380" i="3" s="1"/>
  <c r="G381" i="3"/>
  <c r="B381" i="3" s="1"/>
  <c r="G382" i="3"/>
  <c r="B382" i="3" s="1"/>
  <c r="G383" i="3"/>
  <c r="B383" i="3" s="1"/>
  <c r="G384" i="3"/>
  <c r="B384" i="3" s="1"/>
  <c r="G385" i="3"/>
  <c r="B385" i="3" s="1"/>
  <c r="G386" i="3"/>
  <c r="B386" i="3" s="1"/>
  <c r="G387" i="3"/>
  <c r="B387" i="3" s="1"/>
  <c r="G388" i="3"/>
  <c r="B388" i="3" s="1"/>
  <c r="G389" i="3"/>
  <c r="B389" i="3" s="1"/>
  <c r="G390" i="3"/>
  <c r="B390" i="3" s="1"/>
  <c r="G391" i="3"/>
  <c r="B391" i="3" s="1"/>
  <c r="G392" i="3"/>
  <c r="B392" i="3" s="1"/>
  <c r="G393" i="3"/>
  <c r="B393" i="3" s="1"/>
  <c r="G394" i="3"/>
  <c r="B394" i="3" s="1"/>
  <c r="G395" i="3"/>
  <c r="B395" i="3" s="1"/>
  <c r="G396" i="3"/>
  <c r="B396" i="3" s="1"/>
  <c r="G397" i="3"/>
  <c r="B397" i="3" s="1"/>
  <c r="G398" i="3"/>
  <c r="B398" i="3" s="1"/>
  <c r="G399" i="3"/>
  <c r="B399" i="3" s="1"/>
  <c r="G400" i="3"/>
  <c r="B400" i="3" s="1"/>
  <c r="G401" i="3"/>
  <c r="B401" i="3" s="1"/>
  <c r="G402" i="3"/>
  <c r="B402" i="3" s="1"/>
  <c r="G403" i="3"/>
  <c r="B403" i="3" s="1"/>
  <c r="G404" i="3"/>
  <c r="B404" i="3" s="1"/>
  <c r="G405" i="3"/>
  <c r="B405" i="3" s="1"/>
  <c r="G406" i="3"/>
  <c r="B406" i="3" s="1"/>
  <c r="G407" i="3"/>
  <c r="B407" i="3" s="1"/>
  <c r="G408" i="3"/>
  <c r="B408" i="3" s="1"/>
  <c r="G409" i="3"/>
  <c r="B409" i="3" s="1"/>
  <c r="G410" i="3"/>
  <c r="B410" i="3" s="1"/>
  <c r="G411" i="3"/>
  <c r="B411" i="3" s="1"/>
  <c r="G412" i="3"/>
  <c r="B412" i="3" s="1"/>
  <c r="G413" i="3"/>
  <c r="B413" i="3" s="1"/>
  <c r="G414" i="3"/>
  <c r="B414" i="3" s="1"/>
  <c r="G415" i="3"/>
  <c r="B415" i="3" s="1"/>
  <c r="G416" i="3"/>
  <c r="B416" i="3" s="1"/>
  <c r="G417" i="3"/>
  <c r="B417" i="3" s="1"/>
  <c r="G418" i="3"/>
  <c r="B418" i="3" s="1"/>
  <c r="G419" i="3"/>
  <c r="B419" i="3" s="1"/>
  <c r="G420" i="3"/>
  <c r="B420" i="3" s="1"/>
  <c r="G421" i="3"/>
  <c r="B421" i="3" s="1"/>
  <c r="G422" i="3"/>
  <c r="B422" i="3" s="1"/>
  <c r="G423" i="3"/>
  <c r="B423" i="3" s="1"/>
  <c r="G424" i="3"/>
  <c r="B424" i="3" s="1"/>
  <c r="G425" i="3"/>
  <c r="B425" i="3" s="1"/>
  <c r="G426" i="3"/>
  <c r="B426" i="3" s="1"/>
  <c r="G427" i="3"/>
  <c r="B427" i="3" s="1"/>
  <c r="G428" i="3"/>
  <c r="B428" i="3" s="1"/>
  <c r="G429" i="3"/>
  <c r="B429" i="3" s="1"/>
  <c r="G430" i="3"/>
  <c r="B430" i="3" s="1"/>
  <c r="G431" i="3"/>
  <c r="B431" i="3" s="1"/>
  <c r="G432" i="3"/>
  <c r="B432" i="3" s="1"/>
  <c r="G433" i="3"/>
  <c r="B433" i="3" s="1"/>
  <c r="G434" i="3"/>
  <c r="B434" i="3" s="1"/>
  <c r="G435" i="3"/>
  <c r="B435" i="3" s="1"/>
  <c r="G436" i="3"/>
  <c r="B436" i="3" s="1"/>
  <c r="G437" i="3"/>
  <c r="B437" i="3" s="1"/>
  <c r="G438" i="3"/>
  <c r="B438" i="3" s="1"/>
  <c r="G439" i="3"/>
  <c r="B439" i="3" s="1"/>
  <c r="G440" i="3"/>
  <c r="B440" i="3" s="1"/>
  <c r="G441" i="3"/>
  <c r="B441" i="3" s="1"/>
  <c r="G442" i="3"/>
  <c r="B442" i="3" s="1"/>
  <c r="G443" i="3"/>
  <c r="B443" i="3" s="1"/>
  <c r="G444" i="3"/>
  <c r="B444" i="3" s="1"/>
  <c r="G445" i="3"/>
  <c r="B445" i="3" s="1"/>
  <c r="G446" i="3"/>
  <c r="B446" i="3" s="1"/>
  <c r="G447" i="3"/>
  <c r="B447" i="3" s="1"/>
  <c r="G448" i="3"/>
  <c r="B448" i="3" s="1"/>
  <c r="G449" i="3"/>
  <c r="B449" i="3" s="1"/>
  <c r="G450" i="3"/>
  <c r="B450" i="3" s="1"/>
  <c r="G451" i="3"/>
  <c r="B451" i="3" s="1"/>
  <c r="G452" i="3"/>
  <c r="B452" i="3" s="1"/>
  <c r="G453" i="3"/>
  <c r="B453" i="3" s="1"/>
  <c r="G454" i="3"/>
  <c r="B454" i="3" s="1"/>
  <c r="G455" i="3"/>
  <c r="B455" i="3" s="1"/>
  <c r="G456" i="3"/>
  <c r="B456" i="3" s="1"/>
  <c r="G457" i="3"/>
  <c r="B457" i="3" s="1"/>
  <c r="G458" i="3"/>
  <c r="B458" i="3" s="1"/>
  <c r="G459" i="3"/>
  <c r="B459" i="3" s="1"/>
  <c r="G460" i="3"/>
  <c r="B460" i="3" s="1"/>
  <c r="G461" i="3"/>
  <c r="B461" i="3" s="1"/>
  <c r="G462" i="3"/>
  <c r="B462" i="3" s="1"/>
  <c r="G463" i="3"/>
  <c r="B463" i="3" s="1"/>
  <c r="G464" i="3"/>
  <c r="B464" i="3" s="1"/>
  <c r="G465" i="3"/>
  <c r="B465" i="3" s="1"/>
  <c r="G466" i="3"/>
  <c r="B466" i="3" s="1"/>
  <c r="G467" i="3"/>
  <c r="B467" i="3" s="1"/>
  <c r="G468" i="3"/>
  <c r="B468" i="3" s="1"/>
  <c r="G469" i="3"/>
  <c r="B469" i="3" s="1"/>
  <c r="G470" i="3"/>
  <c r="B470" i="3" s="1"/>
  <c r="G471" i="3"/>
  <c r="B471" i="3" s="1"/>
  <c r="G472" i="3"/>
  <c r="B472" i="3" s="1"/>
  <c r="G473" i="3"/>
  <c r="B473" i="3" s="1"/>
  <c r="G474" i="3"/>
  <c r="B474" i="3" s="1"/>
  <c r="G475" i="3"/>
  <c r="B475" i="3" s="1"/>
  <c r="G476" i="3"/>
  <c r="B476" i="3" s="1"/>
  <c r="G477" i="3"/>
  <c r="B477" i="3" s="1"/>
  <c r="G478" i="3"/>
  <c r="B478" i="3" s="1"/>
  <c r="G479" i="3"/>
  <c r="B479" i="3" s="1"/>
  <c r="G480" i="3"/>
  <c r="B480" i="3" s="1"/>
  <c r="G481" i="3"/>
  <c r="B481" i="3" s="1"/>
  <c r="G482" i="3"/>
  <c r="B482" i="3" s="1"/>
  <c r="G483" i="3"/>
  <c r="B483" i="3" s="1"/>
  <c r="G484" i="3"/>
  <c r="B484" i="3" s="1"/>
  <c r="G485" i="3"/>
  <c r="B485" i="3" s="1"/>
  <c r="G486" i="3"/>
  <c r="B486" i="3" s="1"/>
  <c r="G487" i="3"/>
  <c r="B487" i="3" s="1"/>
  <c r="G488" i="3"/>
  <c r="B488" i="3" s="1"/>
  <c r="G489" i="3"/>
  <c r="B489" i="3" s="1"/>
  <c r="G490" i="3"/>
  <c r="B490" i="3" s="1"/>
  <c r="G491" i="3"/>
  <c r="B491" i="3" s="1"/>
  <c r="G492" i="3"/>
  <c r="B492" i="3" s="1"/>
  <c r="G493" i="3"/>
  <c r="B493" i="3" s="1"/>
  <c r="G494" i="3"/>
  <c r="B494" i="3" s="1"/>
  <c r="G495" i="3"/>
  <c r="B495" i="3" s="1"/>
  <c r="G496" i="3"/>
  <c r="B496" i="3" s="1"/>
  <c r="G497" i="3"/>
  <c r="B497" i="3" s="1"/>
  <c r="G498" i="3"/>
  <c r="B498" i="3" s="1"/>
  <c r="G499" i="3"/>
  <c r="B499" i="3" s="1"/>
  <c r="G500" i="3"/>
  <c r="B500" i="3" s="1"/>
  <c r="G501" i="3"/>
  <c r="B501" i="3" s="1"/>
  <c r="G502" i="3"/>
  <c r="B502" i="3" s="1"/>
  <c r="G503" i="3"/>
  <c r="B503" i="3" s="1"/>
  <c r="G504" i="3"/>
  <c r="B504" i="3" s="1"/>
  <c r="G505" i="3"/>
  <c r="B505" i="3" s="1"/>
  <c r="G506" i="3"/>
  <c r="B506" i="3" s="1"/>
  <c r="G507" i="3"/>
  <c r="B507" i="3" s="1"/>
  <c r="G508" i="3"/>
  <c r="B508" i="3" s="1"/>
  <c r="G509" i="3"/>
  <c r="B509" i="3" s="1"/>
  <c r="G510" i="3"/>
  <c r="B510" i="3" s="1"/>
  <c r="G511" i="3"/>
  <c r="B511" i="3" s="1"/>
  <c r="G512" i="3"/>
  <c r="B512" i="3" s="1"/>
  <c r="G513" i="3"/>
  <c r="B513" i="3" s="1"/>
  <c r="G514" i="3"/>
  <c r="B514" i="3" s="1"/>
  <c r="G515" i="3"/>
  <c r="B515" i="3" s="1"/>
  <c r="G516" i="3"/>
  <c r="B516" i="3" s="1"/>
  <c r="G517" i="3"/>
  <c r="B517" i="3" s="1"/>
  <c r="G518" i="3"/>
  <c r="B518" i="3" s="1"/>
  <c r="G519" i="3"/>
  <c r="B519" i="3" s="1"/>
  <c r="G520" i="3"/>
  <c r="B520" i="3" s="1"/>
  <c r="G521" i="3"/>
  <c r="B521" i="3" s="1"/>
  <c r="G522" i="3"/>
  <c r="B522" i="3" s="1"/>
  <c r="G523" i="3"/>
  <c r="B523" i="3" s="1"/>
  <c r="G524" i="3"/>
  <c r="B524" i="3" s="1"/>
  <c r="G525" i="3"/>
  <c r="B525" i="3" s="1"/>
  <c r="G526" i="3"/>
  <c r="B526" i="3" s="1"/>
  <c r="G527" i="3"/>
  <c r="B527" i="3" s="1"/>
  <c r="G528" i="3"/>
  <c r="B528" i="3" s="1"/>
  <c r="G529" i="3"/>
  <c r="B529" i="3" s="1"/>
  <c r="G530" i="3"/>
  <c r="B530" i="3" s="1"/>
  <c r="G531" i="3"/>
  <c r="B531" i="3" s="1"/>
  <c r="G532" i="3"/>
  <c r="B532" i="3" s="1"/>
  <c r="G533" i="3"/>
  <c r="B533" i="3" s="1"/>
  <c r="G534" i="3"/>
  <c r="B534" i="3" s="1"/>
  <c r="G535" i="3"/>
  <c r="B535" i="3" s="1"/>
  <c r="G536" i="3"/>
  <c r="B536" i="3" s="1"/>
  <c r="G537" i="3"/>
  <c r="B537" i="3" s="1"/>
  <c r="G538" i="3"/>
  <c r="B538" i="3" s="1"/>
  <c r="G539" i="3"/>
  <c r="B539" i="3" s="1"/>
  <c r="G540" i="3"/>
  <c r="B540" i="3" s="1"/>
  <c r="G541" i="3"/>
  <c r="B541" i="3" s="1"/>
  <c r="G542" i="3"/>
  <c r="B542" i="3" s="1"/>
  <c r="G543" i="3"/>
  <c r="B543" i="3" s="1"/>
  <c r="G544" i="3"/>
  <c r="B544" i="3" s="1"/>
  <c r="G545" i="3"/>
  <c r="B545" i="3" s="1"/>
  <c r="G546" i="3"/>
  <c r="B546" i="3" s="1"/>
  <c r="G547" i="3"/>
  <c r="B547" i="3" s="1"/>
  <c r="G548" i="3"/>
  <c r="B548" i="3" s="1"/>
  <c r="G549" i="3"/>
  <c r="B549" i="3" s="1"/>
  <c r="G550" i="3"/>
  <c r="B550" i="3" s="1"/>
  <c r="G551" i="3"/>
  <c r="B551" i="3" s="1"/>
  <c r="G552" i="3"/>
  <c r="B552" i="3" s="1"/>
  <c r="G553" i="3"/>
  <c r="B553" i="3" s="1"/>
  <c r="G554" i="3"/>
  <c r="B554" i="3" s="1"/>
  <c r="G555" i="3"/>
  <c r="B555" i="3" s="1"/>
  <c r="G556" i="3"/>
  <c r="B556" i="3" s="1"/>
  <c r="G557" i="3"/>
  <c r="B557" i="3" s="1"/>
  <c r="G558" i="3"/>
  <c r="B558" i="3" s="1"/>
  <c r="G559" i="3"/>
  <c r="B559" i="3" s="1"/>
  <c r="G560" i="3"/>
  <c r="B560" i="3" s="1"/>
  <c r="G561" i="3"/>
  <c r="B561" i="3" s="1"/>
  <c r="G562" i="3"/>
  <c r="B562" i="3" s="1"/>
  <c r="G563" i="3"/>
  <c r="B563" i="3" s="1"/>
  <c r="G564" i="3"/>
  <c r="B564" i="3" s="1"/>
  <c r="G565" i="3"/>
  <c r="B565" i="3" s="1"/>
  <c r="G566" i="3"/>
  <c r="B566" i="3" s="1"/>
  <c r="G567" i="3"/>
  <c r="B567" i="3" s="1"/>
  <c r="G568" i="3"/>
  <c r="B568" i="3" s="1"/>
  <c r="G569" i="3"/>
  <c r="B569" i="3" s="1"/>
  <c r="G570" i="3"/>
  <c r="B570" i="3" s="1"/>
  <c r="G571" i="3"/>
  <c r="B571" i="3" s="1"/>
  <c r="G572" i="3"/>
  <c r="B572" i="3" s="1"/>
  <c r="G573" i="3"/>
  <c r="B573" i="3" s="1"/>
  <c r="G574" i="3"/>
  <c r="B574" i="3" s="1"/>
  <c r="G575" i="3"/>
  <c r="B575" i="3" s="1"/>
  <c r="G576" i="3"/>
  <c r="B576" i="3" s="1"/>
  <c r="G577" i="3"/>
  <c r="B577" i="3" s="1"/>
  <c r="G578" i="3"/>
  <c r="B578" i="3" s="1"/>
  <c r="G579" i="3"/>
  <c r="B579" i="3" s="1"/>
  <c r="G580" i="3"/>
  <c r="B580" i="3" s="1"/>
  <c r="G581" i="3"/>
  <c r="B581" i="3" s="1"/>
  <c r="G582" i="3"/>
  <c r="B582" i="3" s="1"/>
  <c r="G583" i="3"/>
  <c r="B583" i="3" s="1"/>
  <c r="G584" i="3"/>
  <c r="B584" i="3" s="1"/>
  <c r="G585" i="3"/>
  <c r="B585" i="3" s="1"/>
  <c r="G586" i="3"/>
  <c r="B586" i="3" s="1"/>
  <c r="G587" i="3"/>
  <c r="B587" i="3" s="1"/>
  <c r="G588" i="3"/>
  <c r="B588" i="3" s="1"/>
  <c r="G589" i="3"/>
  <c r="B589" i="3" s="1"/>
  <c r="G590" i="3"/>
  <c r="B590" i="3" s="1"/>
  <c r="G591" i="3"/>
  <c r="B591" i="3" s="1"/>
  <c r="G592" i="3"/>
  <c r="B592" i="3" s="1"/>
  <c r="G593" i="3"/>
  <c r="B593" i="3" s="1"/>
  <c r="G594" i="3"/>
  <c r="B594" i="3" s="1"/>
  <c r="G595" i="3"/>
  <c r="B595" i="3" s="1"/>
  <c r="G596" i="3"/>
  <c r="B596" i="3" s="1"/>
  <c r="G597" i="3"/>
  <c r="B597" i="3" s="1"/>
  <c r="G598" i="3"/>
  <c r="B598" i="3" s="1"/>
  <c r="G599" i="3"/>
  <c r="B599" i="3" s="1"/>
  <c r="G600" i="3"/>
  <c r="B600" i="3" s="1"/>
  <c r="G601" i="3"/>
  <c r="B601" i="3" s="1"/>
  <c r="G602" i="3"/>
  <c r="B602" i="3" s="1"/>
  <c r="G603" i="3"/>
  <c r="B603" i="3" s="1"/>
  <c r="G604" i="3"/>
  <c r="B604" i="3" s="1"/>
  <c r="G605" i="3"/>
  <c r="B605" i="3" s="1"/>
  <c r="G606" i="3"/>
  <c r="B606" i="3" s="1"/>
  <c r="G607" i="3"/>
  <c r="B607" i="3" s="1"/>
  <c r="G608" i="3"/>
  <c r="B608" i="3" s="1"/>
  <c r="G609" i="3"/>
  <c r="B609" i="3" s="1"/>
  <c r="G610" i="3"/>
  <c r="B610" i="3" s="1"/>
  <c r="G611" i="3"/>
  <c r="B611" i="3" s="1"/>
  <c r="G612" i="3"/>
  <c r="B612" i="3" s="1"/>
  <c r="G613" i="3"/>
  <c r="B613" i="3" s="1"/>
  <c r="G614" i="3"/>
  <c r="B614" i="3" s="1"/>
  <c r="G615" i="3"/>
  <c r="B615" i="3" s="1"/>
  <c r="G616" i="3"/>
  <c r="B616" i="3" s="1"/>
  <c r="G617" i="3"/>
  <c r="B617" i="3" s="1"/>
  <c r="G618" i="3"/>
  <c r="B618" i="3" s="1"/>
  <c r="G619" i="3"/>
  <c r="B619" i="3" s="1"/>
  <c r="G620" i="3"/>
  <c r="B620" i="3" s="1"/>
  <c r="G621" i="3"/>
  <c r="B621" i="3" s="1"/>
  <c r="G622" i="3"/>
  <c r="B622" i="3" s="1"/>
  <c r="G623" i="3"/>
  <c r="B623" i="3" s="1"/>
  <c r="G624" i="3"/>
  <c r="B624" i="3" s="1"/>
  <c r="G625" i="3"/>
  <c r="B625" i="3" s="1"/>
  <c r="G626" i="3"/>
  <c r="B626" i="3" s="1"/>
  <c r="G627" i="3"/>
  <c r="B627" i="3" s="1"/>
  <c r="G628" i="3"/>
  <c r="B628" i="3" s="1"/>
  <c r="G629" i="3"/>
  <c r="B629" i="3" s="1"/>
  <c r="G630" i="3"/>
  <c r="B630" i="3" s="1"/>
  <c r="G631" i="3"/>
  <c r="B631" i="3" s="1"/>
  <c r="G632" i="3"/>
  <c r="B632" i="3" s="1"/>
  <c r="G633" i="3"/>
  <c r="B633" i="3" s="1"/>
  <c r="G634" i="3"/>
  <c r="B634" i="3" s="1"/>
  <c r="G635" i="3"/>
  <c r="B635" i="3" s="1"/>
  <c r="G636" i="3"/>
  <c r="B636" i="3" s="1"/>
  <c r="G637" i="3"/>
  <c r="B637" i="3" s="1"/>
  <c r="G638" i="3"/>
  <c r="B638" i="3" s="1"/>
  <c r="G639" i="3"/>
  <c r="B639" i="3" s="1"/>
  <c r="G640" i="3"/>
  <c r="B640" i="3" s="1"/>
  <c r="G641" i="3"/>
  <c r="B641" i="3" s="1"/>
  <c r="G642" i="3"/>
  <c r="B642" i="3" s="1"/>
  <c r="G643" i="3"/>
  <c r="B643" i="3" s="1"/>
  <c r="G644" i="3"/>
  <c r="B644" i="3" s="1"/>
  <c r="G645" i="3"/>
  <c r="B645" i="3" s="1"/>
  <c r="G646" i="3"/>
  <c r="B646" i="3" s="1"/>
  <c r="G647" i="3"/>
  <c r="B647" i="3" s="1"/>
  <c r="G648" i="3"/>
  <c r="B648" i="3" s="1"/>
  <c r="G649" i="3"/>
  <c r="B649" i="3" s="1"/>
  <c r="G650" i="3"/>
  <c r="B650" i="3" s="1"/>
  <c r="G651" i="3"/>
  <c r="B651" i="3" s="1"/>
  <c r="G652" i="3"/>
  <c r="B652" i="3" s="1"/>
  <c r="G653" i="3"/>
  <c r="B653" i="3" s="1"/>
  <c r="G654" i="3"/>
  <c r="B654" i="3" s="1"/>
  <c r="G655" i="3"/>
  <c r="B655" i="3" s="1"/>
  <c r="G656" i="3"/>
  <c r="B656" i="3" s="1"/>
  <c r="G657" i="3"/>
  <c r="B657" i="3" s="1"/>
  <c r="G658" i="3"/>
  <c r="B658" i="3" s="1"/>
  <c r="G659" i="3"/>
  <c r="B659" i="3" s="1"/>
  <c r="G660" i="3"/>
  <c r="B660" i="3" s="1"/>
  <c r="G661" i="3"/>
  <c r="B661" i="3" s="1"/>
  <c r="G662" i="3"/>
  <c r="B662" i="3" s="1"/>
  <c r="G663" i="3"/>
  <c r="B663" i="3" s="1"/>
  <c r="G664" i="3"/>
  <c r="B664" i="3" s="1"/>
  <c r="G665" i="3"/>
  <c r="B665" i="3" s="1"/>
  <c r="G666" i="3"/>
  <c r="B666" i="3" s="1"/>
  <c r="G667" i="3"/>
  <c r="B667" i="3" s="1"/>
  <c r="G668" i="3"/>
  <c r="B668" i="3" s="1"/>
  <c r="G669" i="3"/>
  <c r="B669" i="3" s="1"/>
  <c r="G670" i="3"/>
  <c r="B670" i="3" s="1"/>
  <c r="G671" i="3"/>
  <c r="B671" i="3" s="1"/>
  <c r="G672" i="3"/>
  <c r="B672" i="3" s="1"/>
  <c r="G673" i="3"/>
  <c r="B673" i="3" s="1"/>
  <c r="G674" i="3"/>
  <c r="B674" i="3" s="1"/>
  <c r="G675" i="3"/>
  <c r="B675" i="3" s="1"/>
  <c r="G676" i="3"/>
  <c r="B676" i="3" s="1"/>
  <c r="G677" i="3"/>
  <c r="B677" i="3" s="1"/>
  <c r="G678" i="3"/>
  <c r="B678" i="3" s="1"/>
  <c r="G679" i="3"/>
  <c r="B679" i="3" s="1"/>
  <c r="G680" i="3"/>
  <c r="B680" i="3" s="1"/>
  <c r="G681" i="3"/>
  <c r="B681" i="3" s="1"/>
  <c r="G682" i="3"/>
  <c r="B682" i="3" s="1"/>
  <c r="G683" i="3"/>
  <c r="B683" i="3" s="1"/>
  <c r="G684" i="3"/>
  <c r="B684" i="3" s="1"/>
  <c r="G685" i="3"/>
  <c r="B685" i="3" s="1"/>
  <c r="G686" i="3"/>
  <c r="B686" i="3" s="1"/>
  <c r="G687" i="3"/>
  <c r="B687" i="3" s="1"/>
  <c r="G688" i="3"/>
  <c r="B688" i="3" s="1"/>
  <c r="G689" i="3"/>
  <c r="B689" i="3" s="1"/>
  <c r="G690" i="3"/>
  <c r="B690" i="3" s="1"/>
  <c r="G691" i="3"/>
  <c r="B691" i="3" s="1"/>
  <c r="G692" i="3"/>
  <c r="B692" i="3" s="1"/>
  <c r="G693" i="3"/>
  <c r="B693" i="3" s="1"/>
  <c r="G694" i="3"/>
  <c r="B694" i="3" s="1"/>
  <c r="G695" i="3"/>
  <c r="B695" i="3" s="1"/>
  <c r="G696" i="3"/>
  <c r="B696" i="3" s="1"/>
  <c r="G697" i="3"/>
  <c r="B697" i="3" s="1"/>
  <c r="G698" i="3"/>
  <c r="B698" i="3" s="1"/>
  <c r="G699" i="3"/>
  <c r="B699" i="3" s="1"/>
  <c r="G700" i="3"/>
  <c r="B700" i="3" s="1"/>
  <c r="G701" i="3"/>
  <c r="B701" i="3" s="1"/>
  <c r="G702" i="3"/>
  <c r="B702" i="3" s="1"/>
  <c r="G703" i="3"/>
  <c r="B703" i="3" s="1"/>
  <c r="G704" i="3"/>
  <c r="B704" i="3" s="1"/>
  <c r="G705" i="3"/>
  <c r="B705" i="3" s="1"/>
  <c r="G706" i="3"/>
  <c r="B706" i="3" s="1"/>
  <c r="G707" i="3"/>
  <c r="B707" i="3" s="1"/>
  <c r="G708" i="3"/>
  <c r="B708" i="3" s="1"/>
  <c r="G709" i="3"/>
  <c r="B709" i="3" s="1"/>
  <c r="G710" i="3"/>
  <c r="B710" i="3" s="1"/>
  <c r="G711" i="3"/>
  <c r="B711" i="3" s="1"/>
  <c r="G712" i="3"/>
  <c r="B712" i="3" s="1"/>
  <c r="G713" i="3"/>
  <c r="B713" i="3" s="1"/>
  <c r="G714" i="3"/>
  <c r="B714" i="3" s="1"/>
  <c r="G715" i="3"/>
  <c r="B715" i="3" s="1"/>
  <c r="G716" i="3"/>
  <c r="B716" i="3" s="1"/>
  <c r="G717" i="3"/>
  <c r="B717" i="3" s="1"/>
  <c r="G718" i="3"/>
  <c r="B718" i="3" s="1"/>
  <c r="G719" i="3"/>
  <c r="B719" i="3" s="1"/>
  <c r="G720" i="3"/>
  <c r="B720" i="3" s="1"/>
  <c r="G721" i="3"/>
  <c r="B721" i="3" s="1"/>
  <c r="G722" i="3"/>
  <c r="B722" i="3" s="1"/>
  <c r="G723" i="3"/>
  <c r="B723" i="3" s="1"/>
  <c r="G724" i="3"/>
  <c r="B724" i="3" s="1"/>
  <c r="G725" i="3"/>
  <c r="B725" i="3" s="1"/>
  <c r="G726" i="3"/>
  <c r="B726" i="3" s="1"/>
  <c r="G727" i="3"/>
  <c r="B727" i="3" s="1"/>
  <c r="G728" i="3"/>
  <c r="B728" i="3" s="1"/>
  <c r="G729" i="3"/>
  <c r="B729" i="3" s="1"/>
  <c r="G730" i="3"/>
  <c r="B730" i="3" s="1"/>
  <c r="G731" i="3"/>
  <c r="B731" i="3" s="1"/>
  <c r="G732" i="3"/>
  <c r="B732" i="3" s="1"/>
  <c r="G733" i="3"/>
  <c r="B733" i="3" s="1"/>
  <c r="G734" i="3"/>
  <c r="B734" i="3" s="1"/>
  <c r="G735" i="3"/>
  <c r="B735" i="3" s="1"/>
  <c r="G736" i="3"/>
  <c r="B736" i="3" s="1"/>
  <c r="G737" i="3"/>
  <c r="B737" i="3" s="1"/>
  <c r="G738" i="3"/>
  <c r="B738" i="3" s="1"/>
  <c r="G739" i="3"/>
  <c r="B739" i="3" s="1"/>
  <c r="G740" i="3"/>
  <c r="B740" i="3" s="1"/>
  <c r="G741" i="3"/>
  <c r="B741" i="3" s="1"/>
  <c r="G742" i="3"/>
  <c r="B742" i="3" s="1"/>
  <c r="G743" i="3"/>
  <c r="B743" i="3" s="1"/>
  <c r="G744" i="3"/>
  <c r="B744" i="3" s="1"/>
  <c r="G745" i="3"/>
  <c r="B745" i="3" s="1"/>
  <c r="G746" i="3"/>
  <c r="B746" i="3" s="1"/>
  <c r="G747" i="3"/>
  <c r="B747" i="3" s="1"/>
  <c r="G748" i="3"/>
  <c r="B748" i="3" s="1"/>
  <c r="G749" i="3"/>
  <c r="B749" i="3" s="1"/>
  <c r="G750" i="3"/>
  <c r="B750" i="3" s="1"/>
  <c r="G751" i="3"/>
  <c r="B751" i="3" s="1"/>
  <c r="G752" i="3"/>
  <c r="B752" i="3" s="1"/>
  <c r="G753" i="3"/>
  <c r="B753" i="3" s="1"/>
  <c r="G754" i="3"/>
  <c r="B754" i="3" s="1"/>
  <c r="G755" i="3"/>
  <c r="B755" i="3" s="1"/>
  <c r="G756" i="3"/>
  <c r="B756" i="3" s="1"/>
  <c r="G757" i="3"/>
  <c r="B757" i="3" s="1"/>
  <c r="G758" i="3"/>
  <c r="B758" i="3" s="1"/>
  <c r="G759" i="3"/>
  <c r="B759" i="3" s="1"/>
  <c r="G760" i="3"/>
  <c r="B760" i="3" s="1"/>
  <c r="G761" i="3"/>
  <c r="B761" i="3" s="1"/>
  <c r="G762" i="3"/>
  <c r="B762" i="3" s="1"/>
  <c r="G763" i="3"/>
  <c r="B763" i="3" s="1"/>
  <c r="G764" i="3"/>
  <c r="B764" i="3" s="1"/>
  <c r="G765" i="3"/>
  <c r="B765" i="3" s="1"/>
  <c r="G766" i="3"/>
  <c r="B766" i="3" s="1"/>
  <c r="G767" i="3"/>
  <c r="B767" i="3" s="1"/>
  <c r="G768" i="3"/>
  <c r="B768" i="3" s="1"/>
  <c r="G769" i="3"/>
  <c r="B769" i="3" s="1"/>
  <c r="G770" i="3"/>
  <c r="B770" i="3" s="1"/>
  <c r="G771" i="3"/>
  <c r="B771" i="3" s="1"/>
  <c r="G772" i="3"/>
  <c r="B772" i="3" s="1"/>
  <c r="G773" i="3"/>
  <c r="B773" i="3" s="1"/>
  <c r="G774" i="3"/>
  <c r="B774" i="3" s="1"/>
  <c r="G775" i="3"/>
  <c r="B775" i="3" s="1"/>
  <c r="G776" i="3"/>
  <c r="B776" i="3" s="1"/>
  <c r="G777" i="3"/>
  <c r="B777" i="3" s="1"/>
  <c r="G778" i="3"/>
  <c r="B778" i="3" s="1"/>
  <c r="G779" i="3"/>
  <c r="B779" i="3" s="1"/>
  <c r="G780" i="3"/>
  <c r="B780" i="3" s="1"/>
  <c r="G781" i="3"/>
  <c r="B781" i="3" s="1"/>
  <c r="G782" i="3"/>
  <c r="B782" i="3" s="1"/>
  <c r="G783" i="3"/>
  <c r="B783" i="3" s="1"/>
  <c r="G784" i="3"/>
  <c r="B784" i="3" s="1"/>
  <c r="G785" i="3"/>
  <c r="B785" i="3" s="1"/>
  <c r="G786" i="3"/>
  <c r="B786" i="3" s="1"/>
  <c r="G787" i="3"/>
  <c r="B787" i="3" s="1"/>
  <c r="G788" i="3"/>
  <c r="B788" i="3" s="1"/>
  <c r="G789" i="3"/>
  <c r="B789" i="3" s="1"/>
  <c r="G790" i="3"/>
  <c r="B790" i="3" s="1"/>
  <c r="G791" i="3"/>
  <c r="B791" i="3" s="1"/>
  <c r="G792" i="3"/>
  <c r="B792" i="3" s="1"/>
  <c r="G793" i="3"/>
  <c r="B793" i="3" s="1"/>
  <c r="G794" i="3"/>
  <c r="B794" i="3" s="1"/>
  <c r="G795" i="3"/>
  <c r="B795" i="3" s="1"/>
  <c r="G796" i="3"/>
  <c r="B796" i="3" s="1"/>
  <c r="G797" i="3"/>
  <c r="B797" i="3" s="1"/>
  <c r="G798" i="3"/>
  <c r="B798" i="3" s="1"/>
  <c r="G799" i="3"/>
  <c r="B799" i="3" s="1"/>
  <c r="G800" i="3"/>
  <c r="B800" i="3" s="1"/>
  <c r="G801" i="3"/>
  <c r="B801" i="3" s="1"/>
  <c r="G802" i="3"/>
  <c r="B802" i="3" s="1"/>
  <c r="G803" i="3"/>
  <c r="B803" i="3" s="1"/>
  <c r="G804" i="3"/>
  <c r="B804" i="3" s="1"/>
  <c r="G805" i="3"/>
  <c r="B805" i="3" s="1"/>
  <c r="G806" i="3"/>
  <c r="B806" i="3" s="1"/>
  <c r="G807" i="3"/>
  <c r="B807" i="3" s="1"/>
  <c r="G808" i="3"/>
  <c r="B808" i="3" s="1"/>
  <c r="G809" i="3"/>
  <c r="B809" i="3" s="1"/>
  <c r="G810" i="3"/>
  <c r="B810" i="3" s="1"/>
  <c r="G811" i="3"/>
  <c r="B811" i="3" s="1"/>
  <c r="G812" i="3"/>
  <c r="B812" i="3" s="1"/>
  <c r="G813" i="3"/>
  <c r="B813" i="3" s="1"/>
  <c r="G814" i="3"/>
  <c r="B814" i="3" s="1"/>
  <c r="G815" i="3"/>
  <c r="B815" i="3" s="1"/>
  <c r="G816" i="3"/>
  <c r="B816" i="3" s="1"/>
  <c r="G817" i="3"/>
  <c r="B817" i="3" s="1"/>
  <c r="G818" i="3"/>
  <c r="B818" i="3" s="1"/>
  <c r="G819" i="3"/>
  <c r="B819" i="3" s="1"/>
  <c r="G820" i="3"/>
  <c r="B820" i="3" s="1"/>
  <c r="G821" i="3"/>
  <c r="B821" i="3" s="1"/>
  <c r="G822" i="3"/>
  <c r="B822" i="3" s="1"/>
  <c r="G823" i="3"/>
  <c r="B823" i="3" s="1"/>
  <c r="G824" i="3"/>
  <c r="B824" i="3" s="1"/>
  <c r="G825" i="3"/>
  <c r="B825" i="3" s="1"/>
  <c r="G826" i="3"/>
  <c r="B826" i="3" s="1"/>
  <c r="G827" i="3"/>
  <c r="B827" i="3" s="1"/>
  <c r="G828" i="3"/>
  <c r="B828" i="3" s="1"/>
  <c r="G829" i="3"/>
  <c r="B829" i="3" s="1"/>
  <c r="G830" i="3"/>
  <c r="B830" i="3" s="1"/>
  <c r="G831" i="3"/>
  <c r="B831" i="3" s="1"/>
  <c r="G832" i="3"/>
  <c r="B832" i="3" s="1"/>
  <c r="G833" i="3"/>
  <c r="B833" i="3" s="1"/>
  <c r="G834" i="3"/>
  <c r="B834" i="3" s="1"/>
  <c r="G835" i="3"/>
  <c r="B835" i="3" s="1"/>
  <c r="G836" i="3"/>
  <c r="B836" i="3" s="1"/>
  <c r="G837" i="3"/>
  <c r="B837" i="3" s="1"/>
  <c r="G838" i="3"/>
  <c r="B838" i="3" s="1"/>
  <c r="G839" i="3"/>
  <c r="B839" i="3" s="1"/>
  <c r="G840" i="3"/>
  <c r="B840" i="3" s="1"/>
  <c r="G841" i="3"/>
  <c r="B841" i="3" s="1"/>
  <c r="G842" i="3"/>
  <c r="B842" i="3" s="1"/>
  <c r="G843" i="3"/>
  <c r="B843" i="3" s="1"/>
  <c r="G844" i="3"/>
  <c r="B844" i="3" s="1"/>
  <c r="G845" i="3"/>
  <c r="B845" i="3" s="1"/>
  <c r="G846" i="3"/>
  <c r="B846" i="3" s="1"/>
  <c r="G847" i="3"/>
  <c r="B847" i="3" s="1"/>
  <c r="G848" i="3"/>
  <c r="B848" i="3" s="1"/>
  <c r="G849" i="3"/>
  <c r="B849" i="3" s="1"/>
  <c r="G850" i="3"/>
  <c r="B850" i="3" s="1"/>
  <c r="G851" i="3"/>
  <c r="B851" i="3" s="1"/>
  <c r="G852" i="3"/>
  <c r="B852" i="3" s="1"/>
  <c r="G853" i="3"/>
  <c r="B853" i="3" s="1"/>
  <c r="G854" i="3"/>
  <c r="B854" i="3" s="1"/>
  <c r="G855" i="3"/>
  <c r="B855" i="3" s="1"/>
  <c r="G856" i="3"/>
  <c r="B856" i="3" s="1"/>
  <c r="G857" i="3"/>
  <c r="B857" i="3" s="1"/>
  <c r="G858" i="3"/>
  <c r="B858" i="3" s="1"/>
  <c r="G859" i="3"/>
  <c r="B859" i="3" s="1"/>
  <c r="G860" i="3"/>
  <c r="B860" i="3" s="1"/>
  <c r="G861" i="3"/>
  <c r="B861" i="3" s="1"/>
  <c r="G862" i="3"/>
  <c r="B862" i="3" s="1"/>
  <c r="G863" i="3"/>
  <c r="B863" i="3" s="1"/>
  <c r="G864" i="3"/>
  <c r="B864" i="3" s="1"/>
  <c r="G865" i="3"/>
  <c r="B865" i="3" s="1"/>
  <c r="G866" i="3"/>
  <c r="B866" i="3" s="1"/>
  <c r="G867" i="3"/>
  <c r="B867" i="3" s="1"/>
  <c r="G868" i="3"/>
  <c r="B868" i="3" s="1"/>
  <c r="G869" i="3"/>
  <c r="B869" i="3" s="1"/>
  <c r="G870" i="3"/>
  <c r="B870" i="3" s="1"/>
  <c r="G871" i="3"/>
  <c r="B871" i="3" s="1"/>
  <c r="G872" i="3"/>
  <c r="B872" i="3" s="1"/>
  <c r="G873" i="3"/>
  <c r="B873" i="3" s="1"/>
  <c r="G874" i="3"/>
  <c r="B874" i="3" s="1"/>
  <c r="G875" i="3"/>
  <c r="B875" i="3" s="1"/>
  <c r="G876" i="3"/>
  <c r="B876" i="3" s="1"/>
  <c r="G877" i="3"/>
  <c r="B877" i="3" s="1"/>
  <c r="G878" i="3"/>
  <c r="B878" i="3" s="1"/>
  <c r="G879" i="3"/>
  <c r="B879" i="3" s="1"/>
  <c r="G880" i="3"/>
  <c r="B880" i="3" s="1"/>
  <c r="G881" i="3"/>
  <c r="B881" i="3" s="1"/>
  <c r="G882" i="3"/>
  <c r="B882" i="3" s="1"/>
  <c r="G883" i="3"/>
  <c r="B883" i="3" s="1"/>
  <c r="G884" i="3"/>
  <c r="B884" i="3" s="1"/>
  <c r="G885" i="3"/>
  <c r="B885" i="3" s="1"/>
  <c r="G886" i="3"/>
  <c r="B886" i="3" s="1"/>
  <c r="G887" i="3"/>
  <c r="B887" i="3" s="1"/>
  <c r="G888" i="3"/>
  <c r="B888" i="3" s="1"/>
  <c r="G889" i="3"/>
  <c r="B889" i="3" s="1"/>
  <c r="G890" i="3"/>
  <c r="B890" i="3" s="1"/>
  <c r="G891" i="3"/>
  <c r="B891" i="3" s="1"/>
  <c r="G892" i="3"/>
  <c r="B892" i="3" s="1"/>
  <c r="G893" i="3"/>
  <c r="B893" i="3" s="1"/>
  <c r="G894" i="3"/>
  <c r="B894" i="3" s="1"/>
  <c r="G895" i="3"/>
  <c r="B895" i="3" s="1"/>
  <c r="G896" i="3"/>
  <c r="B896" i="3" s="1"/>
  <c r="G897" i="3"/>
  <c r="B897" i="3" s="1"/>
  <c r="G898" i="3"/>
  <c r="B898" i="3" s="1"/>
  <c r="G899" i="3"/>
  <c r="B899" i="3" s="1"/>
  <c r="G900" i="3"/>
  <c r="B900" i="3" s="1"/>
  <c r="G901" i="3"/>
  <c r="B901" i="3" s="1"/>
  <c r="G902" i="3"/>
  <c r="B902" i="3" s="1"/>
  <c r="G903" i="3"/>
  <c r="B903" i="3" s="1"/>
  <c r="G904" i="3"/>
  <c r="B904" i="3" s="1"/>
  <c r="G905" i="3"/>
  <c r="B905" i="3" s="1"/>
  <c r="G906" i="3"/>
  <c r="B906" i="3" s="1"/>
  <c r="G907" i="3"/>
  <c r="B907" i="3" s="1"/>
  <c r="G908" i="3"/>
  <c r="B908" i="3" s="1"/>
  <c r="G909" i="3"/>
  <c r="B909" i="3" s="1"/>
  <c r="G910" i="3"/>
  <c r="B910" i="3" s="1"/>
  <c r="G911" i="3"/>
  <c r="B911" i="3" s="1"/>
  <c r="G912" i="3"/>
  <c r="B912" i="3" s="1"/>
  <c r="G913" i="3"/>
  <c r="B913" i="3" s="1"/>
  <c r="G914" i="3"/>
  <c r="B914" i="3" s="1"/>
  <c r="G915" i="3"/>
  <c r="B915" i="3" s="1"/>
  <c r="G916" i="3"/>
  <c r="B916" i="3" s="1"/>
  <c r="G917" i="3"/>
  <c r="B917" i="3" s="1"/>
  <c r="G918" i="3"/>
  <c r="B918" i="3" s="1"/>
  <c r="G919" i="3"/>
  <c r="B919" i="3" s="1"/>
  <c r="G920" i="3"/>
  <c r="B920" i="3" s="1"/>
  <c r="G921" i="3"/>
  <c r="B921" i="3" s="1"/>
  <c r="G922" i="3"/>
  <c r="B922" i="3" s="1"/>
  <c r="G923" i="3"/>
  <c r="B923" i="3" s="1"/>
  <c r="G924" i="3"/>
  <c r="B924" i="3" s="1"/>
  <c r="G925" i="3"/>
  <c r="B925" i="3" s="1"/>
  <c r="G926" i="3"/>
  <c r="B926" i="3" s="1"/>
  <c r="G927" i="3"/>
  <c r="B927" i="3" s="1"/>
  <c r="G928" i="3"/>
  <c r="B928" i="3" s="1"/>
  <c r="G929" i="3"/>
  <c r="B929" i="3" s="1"/>
  <c r="G930" i="3"/>
  <c r="B930" i="3" s="1"/>
  <c r="G931" i="3"/>
  <c r="B931" i="3" s="1"/>
  <c r="G932" i="3"/>
  <c r="B932" i="3" s="1"/>
  <c r="G933" i="3"/>
  <c r="B933" i="3" s="1"/>
  <c r="G934" i="3"/>
  <c r="B934" i="3" s="1"/>
  <c r="G935" i="3"/>
  <c r="B935" i="3" s="1"/>
  <c r="G936" i="3"/>
  <c r="B936" i="3" s="1"/>
  <c r="G937" i="3"/>
  <c r="B937" i="3" s="1"/>
  <c r="G938" i="3"/>
  <c r="B938" i="3" s="1"/>
  <c r="G939" i="3"/>
  <c r="B939" i="3" s="1"/>
  <c r="G940" i="3"/>
  <c r="B940" i="3" s="1"/>
  <c r="G941" i="3"/>
  <c r="B941" i="3" s="1"/>
  <c r="G942" i="3"/>
  <c r="B942" i="3" s="1"/>
  <c r="G943" i="3"/>
  <c r="B943" i="3" s="1"/>
  <c r="G944" i="3"/>
  <c r="B944" i="3" s="1"/>
  <c r="G945" i="3"/>
  <c r="B945" i="3" s="1"/>
  <c r="G946" i="3"/>
  <c r="B946" i="3" s="1"/>
  <c r="G947" i="3"/>
  <c r="B947" i="3" s="1"/>
  <c r="G948" i="3"/>
  <c r="B948" i="3" s="1"/>
  <c r="G949" i="3"/>
  <c r="B949" i="3" s="1"/>
  <c r="G950" i="3"/>
  <c r="B950" i="3" s="1"/>
  <c r="G951" i="3"/>
  <c r="B951" i="3" s="1"/>
  <c r="G952" i="3"/>
  <c r="B952" i="3" s="1"/>
  <c r="G953" i="3"/>
  <c r="B953" i="3" s="1"/>
  <c r="G954" i="3"/>
  <c r="B954" i="3" s="1"/>
  <c r="G955" i="3"/>
  <c r="B955" i="3" s="1"/>
  <c r="G956" i="3"/>
  <c r="B956" i="3" s="1"/>
  <c r="G957" i="3"/>
  <c r="B957" i="3" s="1"/>
  <c r="G958" i="3"/>
  <c r="B958" i="3" s="1"/>
  <c r="G959" i="3"/>
  <c r="B959" i="3" s="1"/>
  <c r="G960" i="3"/>
  <c r="B960" i="3" s="1"/>
  <c r="G961" i="3"/>
  <c r="B961" i="3" s="1"/>
  <c r="G962" i="3"/>
  <c r="B962" i="3" s="1"/>
  <c r="G963" i="3"/>
  <c r="B963" i="3" s="1"/>
  <c r="G964" i="3"/>
  <c r="B964" i="3" s="1"/>
  <c r="G965" i="3"/>
  <c r="B965" i="3" s="1"/>
  <c r="G966" i="3"/>
  <c r="B966" i="3" s="1"/>
  <c r="G967" i="3"/>
  <c r="B967" i="3" s="1"/>
  <c r="G968" i="3"/>
  <c r="B968" i="3" s="1"/>
  <c r="G969" i="3"/>
  <c r="B969" i="3" s="1"/>
  <c r="G970" i="3"/>
  <c r="B970" i="3" s="1"/>
  <c r="G971" i="3"/>
  <c r="B971" i="3" s="1"/>
  <c r="G972" i="3"/>
  <c r="B972" i="3" s="1"/>
  <c r="G973" i="3"/>
  <c r="B973" i="3" s="1"/>
  <c r="G974" i="3"/>
  <c r="B974" i="3" s="1"/>
  <c r="G975" i="3"/>
  <c r="B975" i="3" s="1"/>
  <c r="G976" i="3"/>
  <c r="B976" i="3" s="1"/>
  <c r="G977" i="3"/>
  <c r="B977" i="3" s="1"/>
  <c r="G978" i="3"/>
  <c r="B978" i="3" s="1"/>
  <c r="G979" i="3"/>
  <c r="B979" i="3" s="1"/>
  <c r="G980" i="3"/>
  <c r="B980" i="3" s="1"/>
  <c r="G981" i="3"/>
  <c r="B981" i="3" s="1"/>
  <c r="G982" i="3"/>
  <c r="B982" i="3" s="1"/>
  <c r="G983" i="3"/>
  <c r="B983" i="3" s="1"/>
  <c r="G984" i="3"/>
  <c r="B984" i="3" s="1"/>
  <c r="G985" i="3"/>
  <c r="B985" i="3" s="1"/>
  <c r="G986" i="3"/>
  <c r="B986" i="3" s="1"/>
  <c r="G987" i="3"/>
  <c r="B987" i="3" s="1"/>
  <c r="G988" i="3"/>
  <c r="B988" i="3" s="1"/>
  <c r="G989" i="3"/>
  <c r="B989" i="3" s="1"/>
  <c r="G990" i="3"/>
  <c r="B990" i="3" s="1"/>
  <c r="G991" i="3"/>
  <c r="B991" i="3" s="1"/>
  <c r="G992" i="3"/>
  <c r="B992" i="3" s="1"/>
  <c r="G993" i="3"/>
  <c r="B993" i="3" s="1"/>
  <c r="G994" i="3"/>
  <c r="B994" i="3" s="1"/>
  <c r="G995" i="3"/>
  <c r="B995" i="3" s="1"/>
  <c r="G996" i="3"/>
  <c r="B996" i="3" s="1"/>
  <c r="G997" i="3"/>
  <c r="B997" i="3" s="1"/>
  <c r="G998" i="3"/>
  <c r="B998" i="3" s="1"/>
  <c r="G999" i="3"/>
  <c r="B999" i="3" s="1"/>
  <c r="G1000" i="3"/>
  <c r="B1000" i="3" s="1"/>
  <c r="G1001" i="3"/>
  <c r="B1001" i="3" s="1"/>
  <c r="G1002" i="3"/>
  <c r="B1002" i="3" s="1"/>
  <c r="G1003" i="3"/>
  <c r="B1003" i="3" s="1"/>
  <c r="G1004" i="3"/>
  <c r="B1004" i="3" s="1"/>
  <c r="G1005" i="3"/>
  <c r="B1005" i="3" s="1"/>
  <c r="G1006" i="3"/>
  <c r="B1006" i="3" s="1"/>
  <c r="G1007" i="3"/>
  <c r="B1007" i="3" s="1"/>
  <c r="G1008" i="3"/>
  <c r="B1008" i="3" s="1"/>
  <c r="G1009" i="3"/>
  <c r="B1009" i="3" s="1"/>
  <c r="G1010" i="3"/>
  <c r="B1010" i="3" s="1"/>
  <c r="G1011" i="3"/>
  <c r="B1011" i="3" s="1"/>
  <c r="G1012" i="3"/>
  <c r="B1012" i="3" s="1"/>
  <c r="G1013" i="3"/>
  <c r="B1013" i="3" s="1"/>
  <c r="G1014" i="3"/>
  <c r="B1014" i="3" s="1"/>
  <c r="G1015" i="3"/>
  <c r="B1015" i="3" s="1"/>
  <c r="G1016" i="3"/>
  <c r="B1016" i="3" s="1"/>
  <c r="G1017" i="3"/>
  <c r="B1017" i="3" s="1"/>
  <c r="G1018" i="3"/>
  <c r="B1018" i="3" s="1"/>
  <c r="G1019" i="3"/>
  <c r="B1019" i="3" s="1"/>
  <c r="G1020" i="3"/>
  <c r="B1020" i="3" s="1"/>
  <c r="G1021" i="3"/>
  <c r="B1021" i="3" s="1"/>
  <c r="G1022" i="3"/>
  <c r="B1022" i="3" s="1"/>
  <c r="G1023" i="3"/>
  <c r="B1023" i="3" s="1"/>
  <c r="G1024" i="3"/>
  <c r="B1024" i="3" s="1"/>
  <c r="G1025" i="3"/>
  <c r="B1025" i="3" s="1"/>
  <c r="G1026" i="3"/>
  <c r="B1026" i="3" s="1"/>
  <c r="G1027" i="3"/>
  <c r="B1027" i="3" s="1"/>
  <c r="G1028" i="3"/>
  <c r="B1028" i="3" s="1"/>
  <c r="G1029" i="3"/>
  <c r="B1029" i="3" s="1"/>
  <c r="G1030" i="3"/>
  <c r="B1030" i="3" s="1"/>
  <c r="G1031" i="3"/>
  <c r="B1031" i="3" s="1"/>
  <c r="G1032" i="3"/>
  <c r="B1032" i="3" s="1"/>
  <c r="G1033" i="3"/>
  <c r="B1033" i="3" s="1"/>
  <c r="G1034" i="3"/>
  <c r="B1034" i="3" s="1"/>
  <c r="G1035" i="3"/>
  <c r="B1035" i="3" s="1"/>
  <c r="G1036" i="3"/>
  <c r="B1036" i="3" s="1"/>
  <c r="G1037" i="3"/>
  <c r="B1037" i="3" s="1"/>
  <c r="G1038" i="3"/>
  <c r="B1038" i="3" s="1"/>
  <c r="G1039" i="3"/>
  <c r="B1039" i="3" s="1"/>
  <c r="G1040" i="3"/>
  <c r="B1040" i="3" s="1"/>
  <c r="G1041" i="3"/>
  <c r="B1041" i="3" s="1"/>
  <c r="G1042" i="3"/>
  <c r="B1042" i="3" s="1"/>
  <c r="G1043" i="3"/>
  <c r="B1043" i="3" s="1"/>
  <c r="G1044" i="3"/>
  <c r="B1044" i="3" s="1"/>
  <c r="G1045" i="3"/>
  <c r="B1045" i="3" s="1"/>
  <c r="G1046" i="3"/>
  <c r="B1046" i="3" s="1"/>
  <c r="G1047" i="3"/>
  <c r="B1047" i="3" s="1"/>
  <c r="G1048" i="3"/>
  <c r="B1048" i="3" s="1"/>
  <c r="G1049" i="3"/>
  <c r="B1049" i="3" s="1"/>
  <c r="G1050" i="3"/>
  <c r="B1050" i="3" s="1"/>
  <c r="G1051" i="3"/>
  <c r="B1051" i="3" s="1"/>
  <c r="G1052" i="3"/>
  <c r="B1052" i="3" s="1"/>
  <c r="G1053" i="3"/>
  <c r="B1053" i="3" s="1"/>
  <c r="G1054" i="3"/>
  <c r="B1054" i="3" s="1"/>
  <c r="G1055" i="3"/>
  <c r="B1055" i="3" s="1"/>
  <c r="G1056" i="3"/>
  <c r="B1056" i="3" s="1"/>
  <c r="G1057" i="3"/>
  <c r="B1057" i="3" s="1"/>
  <c r="G1058" i="3"/>
  <c r="B1058" i="3" s="1"/>
  <c r="G1059" i="3"/>
  <c r="B1059" i="3" s="1"/>
  <c r="G1060" i="3"/>
  <c r="B1060" i="3" s="1"/>
  <c r="G1061" i="3"/>
  <c r="B1061" i="3" s="1"/>
  <c r="G1062" i="3"/>
  <c r="B1062" i="3" s="1"/>
  <c r="G1063" i="3"/>
  <c r="B1063" i="3" s="1"/>
  <c r="G1064" i="3"/>
  <c r="B1064" i="3" s="1"/>
  <c r="G1065" i="3"/>
  <c r="B1065" i="3" s="1"/>
  <c r="G1066" i="3"/>
  <c r="B1066" i="3" s="1"/>
  <c r="G1067" i="3"/>
  <c r="B1067" i="3" s="1"/>
  <c r="G1068" i="3"/>
  <c r="B1068" i="3" s="1"/>
  <c r="G1069" i="3"/>
  <c r="B1069" i="3" s="1"/>
  <c r="G1070" i="3"/>
  <c r="B1070" i="3" s="1"/>
  <c r="G1071" i="3"/>
  <c r="B1071" i="3" s="1"/>
  <c r="G1072" i="3"/>
  <c r="B1072" i="3" s="1"/>
  <c r="G1073" i="3"/>
  <c r="B1073" i="3" s="1"/>
  <c r="G1074" i="3"/>
  <c r="B1074" i="3" s="1"/>
  <c r="G1075" i="3"/>
  <c r="B1075" i="3" s="1"/>
  <c r="G1076" i="3"/>
  <c r="B1076" i="3" s="1"/>
  <c r="G1077" i="3"/>
  <c r="B1077" i="3" s="1"/>
  <c r="G1078" i="3"/>
  <c r="B1078" i="3" s="1"/>
  <c r="G1079" i="3"/>
  <c r="B1079" i="3" s="1"/>
  <c r="G1080" i="3"/>
  <c r="B1080" i="3" s="1"/>
  <c r="G1081" i="3"/>
  <c r="B1081" i="3" s="1"/>
  <c r="G1082" i="3"/>
  <c r="B1082" i="3" s="1"/>
  <c r="G1083" i="3"/>
  <c r="B1083" i="3" s="1"/>
  <c r="G1084" i="3"/>
  <c r="B1084" i="3" s="1"/>
  <c r="G1085" i="3"/>
  <c r="B1085" i="3" s="1"/>
  <c r="G1086" i="3"/>
  <c r="B1086" i="3" s="1"/>
  <c r="G1087" i="3"/>
  <c r="B1087" i="3" s="1"/>
  <c r="G1088" i="3"/>
  <c r="B1088" i="3" s="1"/>
  <c r="G1089" i="3"/>
  <c r="B1089" i="3" s="1"/>
  <c r="G1090" i="3"/>
  <c r="B1090" i="3" s="1"/>
  <c r="G1091" i="3"/>
  <c r="B1091" i="3" s="1"/>
  <c r="G1092" i="3"/>
  <c r="B1092" i="3" s="1"/>
  <c r="G1093" i="3"/>
  <c r="B1093" i="3" s="1"/>
  <c r="G1094" i="3"/>
  <c r="B1094" i="3" s="1"/>
  <c r="G1095" i="3"/>
  <c r="B1095" i="3" s="1"/>
  <c r="G1096" i="3"/>
  <c r="B1096" i="3" s="1"/>
  <c r="G1097" i="3"/>
  <c r="B1097" i="3" s="1"/>
  <c r="G1098" i="3"/>
  <c r="B1098" i="3" s="1"/>
  <c r="G1099" i="3"/>
  <c r="B1099" i="3" s="1"/>
  <c r="G1100" i="3"/>
  <c r="B1100" i="3" s="1"/>
  <c r="G1101" i="3"/>
  <c r="B1101" i="3" s="1"/>
  <c r="G1102" i="3"/>
  <c r="B1102" i="3" s="1"/>
  <c r="G1103" i="3"/>
  <c r="B1103" i="3" s="1"/>
  <c r="G1104" i="3"/>
  <c r="B1104" i="3" s="1"/>
  <c r="G1105" i="3"/>
  <c r="B1105" i="3" s="1"/>
  <c r="G1106" i="3"/>
  <c r="B1106" i="3" s="1"/>
  <c r="G1107" i="3"/>
  <c r="B1107" i="3" s="1"/>
  <c r="G1108" i="3"/>
  <c r="B1108" i="3" s="1"/>
  <c r="G1109" i="3"/>
  <c r="B1109" i="3" s="1"/>
  <c r="G1110" i="3"/>
  <c r="B1110" i="3" s="1"/>
  <c r="G1111" i="3"/>
  <c r="B1111" i="3" s="1"/>
  <c r="G1112" i="3"/>
  <c r="B1112" i="3" s="1"/>
  <c r="G1113" i="3"/>
  <c r="B1113" i="3" s="1"/>
  <c r="G1114" i="3"/>
  <c r="B1114" i="3" s="1"/>
  <c r="G1115" i="3"/>
  <c r="B1115" i="3" s="1"/>
  <c r="G1116" i="3"/>
  <c r="B1116" i="3" s="1"/>
  <c r="G1117" i="3"/>
  <c r="B1117" i="3" s="1"/>
  <c r="G1118" i="3"/>
  <c r="B1118" i="3" s="1"/>
  <c r="G1119" i="3"/>
  <c r="B1119" i="3" s="1"/>
  <c r="G1120" i="3"/>
  <c r="B1120" i="3" s="1"/>
  <c r="G1121" i="3"/>
  <c r="B1121" i="3" s="1"/>
  <c r="G1122" i="3"/>
  <c r="B1122" i="3" s="1"/>
  <c r="G1123" i="3"/>
  <c r="B1123" i="3" s="1"/>
  <c r="G1124" i="3"/>
  <c r="B1124" i="3" s="1"/>
  <c r="G1125" i="3"/>
  <c r="B1125" i="3" s="1"/>
  <c r="G1126" i="3"/>
  <c r="B1126" i="3" s="1"/>
  <c r="G1127" i="3"/>
  <c r="B1127" i="3" s="1"/>
  <c r="G1128" i="3"/>
  <c r="B1128" i="3" s="1"/>
  <c r="G1129" i="3"/>
  <c r="B1129" i="3" s="1"/>
  <c r="G1130" i="3"/>
  <c r="B1130" i="3" s="1"/>
  <c r="G1131" i="3"/>
  <c r="B1131" i="3" s="1"/>
  <c r="G1132" i="3"/>
  <c r="B1132" i="3" s="1"/>
  <c r="G1133" i="3"/>
  <c r="B1133" i="3" s="1"/>
  <c r="G1134" i="3"/>
  <c r="B1134" i="3" s="1"/>
  <c r="G1135" i="3"/>
  <c r="B1135" i="3" s="1"/>
  <c r="G1136" i="3"/>
  <c r="B1136" i="3" s="1"/>
  <c r="G1137" i="3"/>
  <c r="B1137" i="3" s="1"/>
  <c r="G1138" i="3"/>
  <c r="B1138" i="3" s="1"/>
  <c r="G1139" i="3"/>
  <c r="B1139" i="3" s="1"/>
  <c r="G1140" i="3"/>
  <c r="B1140" i="3" s="1"/>
  <c r="G1141" i="3"/>
  <c r="B1141" i="3" s="1"/>
  <c r="G1142" i="3"/>
  <c r="B1142" i="3" s="1"/>
  <c r="G1143" i="3"/>
  <c r="B1143" i="3" s="1"/>
  <c r="G1144" i="3"/>
  <c r="B1144" i="3" s="1"/>
  <c r="G1145" i="3"/>
  <c r="B1145" i="3" s="1"/>
  <c r="G1146" i="3"/>
  <c r="B1146" i="3" s="1"/>
  <c r="G1147" i="3"/>
  <c r="B1147" i="3" s="1"/>
  <c r="G1148" i="3"/>
  <c r="B1148" i="3" s="1"/>
  <c r="G1149" i="3"/>
  <c r="B1149" i="3" s="1"/>
  <c r="G1150" i="3"/>
  <c r="B1150" i="3" s="1"/>
  <c r="G1151" i="3"/>
  <c r="B1151" i="3" s="1"/>
  <c r="G1152" i="3"/>
  <c r="B1152" i="3" s="1"/>
  <c r="G1153" i="3"/>
  <c r="B1153" i="3" s="1"/>
  <c r="G1154" i="3"/>
  <c r="B1154" i="3" s="1"/>
  <c r="G1155" i="3"/>
  <c r="B1155" i="3" s="1"/>
  <c r="G1156" i="3"/>
  <c r="B1156" i="3" s="1"/>
  <c r="G1157" i="3"/>
  <c r="B1157" i="3" s="1"/>
  <c r="G1158" i="3"/>
  <c r="B1158" i="3" s="1"/>
  <c r="G1159" i="3"/>
  <c r="B1159" i="3" s="1"/>
  <c r="G1160" i="3"/>
  <c r="B1160" i="3" s="1"/>
  <c r="G1161" i="3"/>
  <c r="B1161" i="3" s="1"/>
  <c r="G1162" i="3"/>
  <c r="B1162" i="3" s="1"/>
  <c r="G1163" i="3"/>
  <c r="B1163" i="3" s="1"/>
  <c r="G1164" i="3"/>
  <c r="B1164" i="3" s="1"/>
  <c r="G1165" i="3"/>
  <c r="B1165" i="3" s="1"/>
  <c r="G1166" i="3"/>
  <c r="B1166" i="3" s="1"/>
  <c r="G1167" i="3"/>
  <c r="B1167" i="3" s="1"/>
  <c r="G1168" i="3"/>
  <c r="B1168" i="3" s="1"/>
  <c r="G1169" i="3"/>
  <c r="B1169" i="3" s="1"/>
  <c r="G1170" i="3"/>
  <c r="B1170" i="3" s="1"/>
  <c r="G1171" i="3"/>
  <c r="B1171" i="3" s="1"/>
  <c r="G1172" i="3"/>
  <c r="B1172" i="3" s="1"/>
  <c r="G1173" i="3"/>
  <c r="B1173" i="3" s="1"/>
  <c r="G1174" i="3"/>
  <c r="B1174" i="3" s="1"/>
  <c r="G1175" i="3"/>
  <c r="B1175" i="3" s="1"/>
  <c r="G1176" i="3"/>
  <c r="B1176" i="3" s="1"/>
  <c r="G1177" i="3"/>
  <c r="B1177" i="3" s="1"/>
  <c r="G1178" i="3"/>
  <c r="B1178" i="3" s="1"/>
  <c r="G1179" i="3"/>
  <c r="B1179" i="3" s="1"/>
  <c r="G1180" i="3"/>
  <c r="B1180" i="3" s="1"/>
  <c r="G1181" i="3"/>
  <c r="B1181" i="3" s="1"/>
  <c r="G1182" i="3"/>
  <c r="B1182" i="3" s="1"/>
  <c r="G1183" i="3"/>
  <c r="B1183" i="3" s="1"/>
  <c r="G1184" i="3"/>
  <c r="B1184" i="3" s="1"/>
  <c r="G1185" i="3"/>
  <c r="B1185" i="3" s="1"/>
  <c r="G1186" i="3"/>
  <c r="B1186" i="3" s="1"/>
  <c r="G1187" i="3"/>
  <c r="B1187" i="3" s="1"/>
  <c r="G1188" i="3"/>
  <c r="B1188" i="3" s="1"/>
  <c r="G1189" i="3"/>
  <c r="B1189" i="3" s="1"/>
  <c r="G1190" i="3"/>
  <c r="B1190" i="3" s="1"/>
  <c r="G1191" i="3"/>
  <c r="B1191" i="3" s="1"/>
  <c r="G1192" i="3"/>
  <c r="B1192" i="3" s="1"/>
  <c r="G1193" i="3"/>
  <c r="B1193" i="3" s="1"/>
  <c r="G1194" i="3"/>
  <c r="B1194" i="3" s="1"/>
  <c r="G1195" i="3"/>
  <c r="B1195" i="3" s="1"/>
  <c r="G1196" i="3"/>
  <c r="B1196" i="3" s="1"/>
  <c r="G1197" i="3"/>
  <c r="B1197" i="3" s="1"/>
  <c r="G1198" i="3"/>
  <c r="B1198" i="3" s="1"/>
  <c r="G1199" i="3"/>
  <c r="B1199" i="3" s="1"/>
  <c r="G1200" i="3"/>
  <c r="B1200" i="3" s="1"/>
  <c r="G1201" i="3"/>
  <c r="B1201" i="3" s="1"/>
  <c r="G1202" i="3"/>
  <c r="B1202" i="3" s="1"/>
  <c r="G1203" i="3"/>
  <c r="B1203" i="3" s="1"/>
  <c r="G1204" i="3"/>
  <c r="B1204" i="3" s="1"/>
  <c r="G1205" i="3"/>
  <c r="B1205" i="3" s="1"/>
  <c r="G1206" i="3"/>
  <c r="B1206" i="3" s="1"/>
  <c r="G1207" i="3"/>
  <c r="B1207" i="3" s="1"/>
  <c r="G1208" i="3"/>
  <c r="B1208" i="3" s="1"/>
  <c r="G1209" i="3"/>
  <c r="B1209" i="3" s="1"/>
  <c r="G1210" i="3"/>
  <c r="B1210" i="3" s="1"/>
  <c r="G1211" i="3"/>
  <c r="B1211" i="3" s="1"/>
  <c r="G1212" i="3"/>
  <c r="B1212" i="3" s="1"/>
  <c r="G1213" i="3"/>
  <c r="B1213" i="3" s="1"/>
  <c r="G1214" i="3"/>
  <c r="B1214" i="3" s="1"/>
  <c r="G1215" i="3"/>
  <c r="B1215" i="3" s="1"/>
  <c r="G1216" i="3"/>
  <c r="B1216" i="3" s="1"/>
  <c r="G1217" i="3"/>
  <c r="B1217" i="3" s="1"/>
  <c r="G1218" i="3"/>
  <c r="B1218" i="3" s="1"/>
  <c r="G1219" i="3"/>
  <c r="B1219" i="3" s="1"/>
  <c r="G1220" i="3"/>
  <c r="B1220" i="3" s="1"/>
  <c r="G1221" i="3"/>
  <c r="B1221" i="3" s="1"/>
  <c r="G1222" i="3"/>
  <c r="B1222" i="3" s="1"/>
  <c r="G1223" i="3"/>
  <c r="B1223" i="3" s="1"/>
  <c r="G1224" i="3"/>
  <c r="B1224" i="3" s="1"/>
  <c r="G1225" i="3"/>
  <c r="B1225" i="3" s="1"/>
  <c r="G1226" i="3"/>
  <c r="B1226" i="3" s="1"/>
  <c r="G1227" i="3"/>
  <c r="B1227" i="3" s="1"/>
  <c r="G1228" i="3"/>
  <c r="B1228" i="3" s="1"/>
  <c r="G1229" i="3"/>
  <c r="B1229" i="3" s="1"/>
  <c r="G1230" i="3"/>
  <c r="B1230" i="3" s="1"/>
  <c r="G1231" i="3"/>
  <c r="B1231" i="3" s="1"/>
  <c r="G1232" i="3"/>
  <c r="B1232" i="3" s="1"/>
  <c r="G1233" i="3"/>
  <c r="B1233" i="3" s="1"/>
  <c r="G1234" i="3"/>
  <c r="B1234" i="3" s="1"/>
  <c r="G1235" i="3"/>
  <c r="B1235" i="3" s="1"/>
  <c r="G1236" i="3"/>
  <c r="B1236" i="3" s="1"/>
  <c r="G1237" i="3"/>
  <c r="B1237" i="3" s="1"/>
  <c r="G1238" i="3"/>
  <c r="B1238" i="3" s="1"/>
  <c r="G1239" i="3"/>
  <c r="B1239" i="3" s="1"/>
  <c r="G1240" i="3"/>
  <c r="B1240" i="3" s="1"/>
  <c r="G1241" i="3"/>
  <c r="B1241" i="3" s="1"/>
  <c r="G1242" i="3"/>
  <c r="B1242" i="3" s="1"/>
  <c r="G1243" i="3"/>
  <c r="B1243" i="3" s="1"/>
  <c r="G1244" i="3"/>
  <c r="B1244" i="3" s="1"/>
  <c r="G1245" i="3"/>
  <c r="B1245" i="3" s="1"/>
  <c r="G1246" i="3"/>
  <c r="B1246" i="3" s="1"/>
  <c r="G1247" i="3"/>
  <c r="B1247" i="3" s="1"/>
  <c r="G1248" i="3"/>
  <c r="B1248" i="3" s="1"/>
  <c r="G1249" i="3"/>
  <c r="B1249" i="3" s="1"/>
  <c r="G1250" i="3"/>
  <c r="B1250" i="3" s="1"/>
  <c r="G1251" i="3"/>
  <c r="B1251" i="3" s="1"/>
  <c r="G1252" i="3"/>
  <c r="B1252" i="3" s="1"/>
  <c r="G1253" i="3"/>
  <c r="B1253" i="3" s="1"/>
  <c r="G1254" i="3"/>
  <c r="B1254" i="3" s="1"/>
  <c r="G1255" i="3"/>
  <c r="B1255" i="3" s="1"/>
  <c r="G1256" i="3"/>
  <c r="B1256" i="3" s="1"/>
  <c r="G1257" i="3"/>
  <c r="B1257" i="3" s="1"/>
  <c r="G1258" i="3"/>
  <c r="B1258" i="3" s="1"/>
  <c r="G1259" i="3"/>
  <c r="B1259" i="3" s="1"/>
  <c r="G1260" i="3"/>
  <c r="B1260" i="3" s="1"/>
  <c r="G1261" i="3"/>
  <c r="B1261" i="3" s="1"/>
  <c r="G1262" i="3"/>
  <c r="B1262" i="3" s="1"/>
  <c r="G1263" i="3"/>
  <c r="B1263" i="3" s="1"/>
  <c r="G1264" i="3"/>
  <c r="B1264" i="3" s="1"/>
  <c r="G1265" i="3"/>
  <c r="B1265" i="3" s="1"/>
  <c r="G1266" i="3"/>
  <c r="B1266" i="3" s="1"/>
  <c r="G1267" i="3"/>
  <c r="B1267" i="3" s="1"/>
  <c r="G1268" i="3"/>
  <c r="B1268" i="3" s="1"/>
  <c r="G1269" i="3"/>
  <c r="B1269" i="3" s="1"/>
  <c r="G1270" i="3"/>
  <c r="B1270" i="3" s="1"/>
  <c r="G1271" i="3"/>
  <c r="B1271" i="3" s="1"/>
  <c r="G1272" i="3"/>
  <c r="B1272" i="3" s="1"/>
  <c r="G1273" i="3"/>
  <c r="B1273" i="3" s="1"/>
  <c r="G1274" i="3"/>
  <c r="B1274" i="3" s="1"/>
  <c r="G1275" i="3"/>
  <c r="B1275" i="3" s="1"/>
  <c r="G1276" i="3"/>
  <c r="B1276" i="3" s="1"/>
  <c r="G1277" i="3"/>
  <c r="B1277" i="3" s="1"/>
  <c r="G1278" i="3"/>
  <c r="B1278" i="3" s="1"/>
  <c r="G1279" i="3"/>
  <c r="B1279" i="3" s="1"/>
  <c r="G1280" i="3"/>
  <c r="B1280" i="3" s="1"/>
  <c r="G1281" i="3"/>
  <c r="B1281" i="3" s="1"/>
  <c r="G1282" i="3"/>
  <c r="B1282" i="3" s="1"/>
  <c r="G1283" i="3"/>
  <c r="B1283" i="3" s="1"/>
  <c r="G1284" i="3"/>
  <c r="B1284" i="3" s="1"/>
  <c r="G1285" i="3"/>
  <c r="B1285" i="3" s="1"/>
  <c r="G1286" i="3"/>
  <c r="B1286" i="3" s="1"/>
  <c r="G1287" i="3"/>
  <c r="B1287" i="3" s="1"/>
  <c r="G1288" i="3"/>
  <c r="B1288" i="3" s="1"/>
  <c r="G1289" i="3"/>
  <c r="B1289" i="3" s="1"/>
  <c r="G1290" i="3"/>
  <c r="B1290" i="3" s="1"/>
  <c r="G1291" i="3"/>
  <c r="B1291" i="3" s="1"/>
  <c r="G1292" i="3"/>
  <c r="B1292" i="3" s="1"/>
  <c r="G1293" i="3"/>
  <c r="B1293" i="3" s="1"/>
  <c r="G1294" i="3"/>
  <c r="B1294" i="3" s="1"/>
  <c r="G1295" i="3"/>
  <c r="B1295" i="3" s="1"/>
  <c r="G1296" i="3"/>
  <c r="B1296" i="3" s="1"/>
  <c r="G1297" i="3"/>
  <c r="B1297" i="3" s="1"/>
  <c r="G1298" i="3"/>
  <c r="B1298" i="3" s="1"/>
  <c r="G1299" i="3"/>
  <c r="B1299" i="3" s="1"/>
  <c r="G1300" i="3"/>
  <c r="B1300" i="3" s="1"/>
  <c r="G1301" i="3"/>
  <c r="B1301" i="3" s="1"/>
  <c r="G1302" i="3"/>
  <c r="B1302" i="3" s="1"/>
  <c r="G1303" i="3"/>
  <c r="B1303" i="3" s="1"/>
  <c r="G1304" i="3"/>
  <c r="B1304" i="3" s="1"/>
  <c r="G1305" i="3"/>
  <c r="B1305" i="3" s="1"/>
  <c r="G1306" i="3"/>
  <c r="B1306" i="3" s="1"/>
  <c r="G1307" i="3"/>
  <c r="B1307" i="3" s="1"/>
  <c r="G1308" i="3"/>
  <c r="B1308" i="3" s="1"/>
  <c r="G1309" i="3"/>
  <c r="B1309" i="3" s="1"/>
  <c r="G1310" i="3"/>
  <c r="B1310" i="3" s="1"/>
  <c r="G1311" i="3"/>
  <c r="B1311" i="3" s="1"/>
  <c r="G1312" i="3"/>
  <c r="B1312" i="3" s="1"/>
  <c r="G1313" i="3"/>
  <c r="B1313" i="3" s="1"/>
  <c r="G1314" i="3"/>
  <c r="B1314" i="3" s="1"/>
  <c r="G1315" i="3"/>
  <c r="B1315" i="3" s="1"/>
  <c r="G1316" i="3"/>
  <c r="B1316" i="3" s="1"/>
  <c r="G1317" i="3"/>
  <c r="B1317" i="3" s="1"/>
  <c r="G1318" i="3"/>
  <c r="B1318" i="3" s="1"/>
  <c r="G1319" i="3"/>
  <c r="B1319" i="3" s="1"/>
  <c r="G1320" i="3"/>
  <c r="B1320" i="3" s="1"/>
  <c r="G1321" i="3"/>
  <c r="B1321" i="3" s="1"/>
  <c r="G1322" i="3"/>
  <c r="B1322" i="3" s="1"/>
  <c r="G1323" i="3"/>
  <c r="B1323" i="3" s="1"/>
  <c r="G1324" i="3"/>
  <c r="B1324" i="3" s="1"/>
  <c r="G1325" i="3"/>
  <c r="B1325" i="3" s="1"/>
  <c r="G1326" i="3"/>
  <c r="B1326" i="3" s="1"/>
  <c r="G1327" i="3"/>
  <c r="B1327" i="3" s="1"/>
  <c r="G1328" i="3"/>
  <c r="B1328" i="3" s="1"/>
  <c r="G1329" i="3"/>
  <c r="B1329" i="3" s="1"/>
  <c r="G1330" i="3"/>
  <c r="B1330" i="3" s="1"/>
  <c r="G1331" i="3"/>
  <c r="B1331" i="3" s="1"/>
  <c r="G1332" i="3"/>
  <c r="B1332" i="3" s="1"/>
  <c r="G1333" i="3"/>
  <c r="B1333" i="3" s="1"/>
  <c r="G1334" i="3"/>
  <c r="B1334" i="3" s="1"/>
  <c r="G1335" i="3"/>
  <c r="B1335" i="3" s="1"/>
  <c r="G1336" i="3"/>
  <c r="B1336" i="3" s="1"/>
  <c r="G1337" i="3"/>
  <c r="B1337" i="3" s="1"/>
  <c r="G1338" i="3"/>
  <c r="B1338" i="3" s="1"/>
  <c r="G1339" i="3"/>
  <c r="B1339" i="3" s="1"/>
  <c r="G1340" i="3"/>
  <c r="B1340" i="3" s="1"/>
  <c r="G1341" i="3"/>
  <c r="B1341" i="3" s="1"/>
  <c r="G1342" i="3"/>
  <c r="B1342" i="3" s="1"/>
  <c r="G1343" i="3"/>
  <c r="B1343" i="3" s="1"/>
  <c r="G1344" i="3"/>
  <c r="B1344" i="3" s="1"/>
  <c r="G1345" i="3"/>
  <c r="B1345" i="3" s="1"/>
  <c r="G1346" i="3"/>
  <c r="B1346" i="3" s="1"/>
  <c r="G1347" i="3"/>
  <c r="B1347" i="3" s="1"/>
  <c r="G1348" i="3"/>
  <c r="B1348" i="3" s="1"/>
  <c r="G1349" i="3"/>
  <c r="B1349" i="3" s="1"/>
  <c r="G1350" i="3"/>
  <c r="B1350" i="3" s="1"/>
  <c r="G1351" i="3"/>
  <c r="B1351" i="3" s="1"/>
  <c r="G1352" i="3"/>
  <c r="B1352" i="3" s="1"/>
  <c r="G1353" i="3"/>
  <c r="B1353" i="3" s="1"/>
  <c r="G1354" i="3"/>
  <c r="B1354" i="3" s="1"/>
  <c r="G1355" i="3"/>
  <c r="B1355" i="3" s="1"/>
  <c r="G1356" i="3"/>
  <c r="B1356" i="3" s="1"/>
  <c r="G1357" i="3"/>
  <c r="B1357" i="3" s="1"/>
  <c r="G1358" i="3"/>
  <c r="B1358" i="3" s="1"/>
  <c r="G1359" i="3"/>
  <c r="B1359" i="3" s="1"/>
  <c r="G1360" i="3"/>
  <c r="B1360" i="3" s="1"/>
  <c r="G1361" i="3"/>
  <c r="B1361" i="3" s="1"/>
  <c r="G1362" i="3"/>
  <c r="B1362" i="3" s="1"/>
  <c r="G1363" i="3"/>
  <c r="B1363" i="3" s="1"/>
  <c r="G1364" i="3"/>
  <c r="B1364" i="3" s="1"/>
  <c r="G1365" i="3"/>
  <c r="B1365" i="3" s="1"/>
  <c r="G1366" i="3"/>
  <c r="B1366" i="3" s="1"/>
  <c r="G1367" i="3"/>
  <c r="B1367" i="3" s="1"/>
  <c r="G1368" i="3"/>
  <c r="B1368" i="3" s="1"/>
  <c r="G1369" i="3"/>
  <c r="B1369" i="3" s="1"/>
  <c r="G1370" i="3"/>
  <c r="B1370" i="3" s="1"/>
  <c r="G1371" i="3"/>
  <c r="B1371" i="3" s="1"/>
  <c r="G1372" i="3"/>
  <c r="B1372" i="3" s="1"/>
  <c r="G1373" i="3"/>
  <c r="B1373" i="3" s="1"/>
  <c r="G1374" i="3"/>
  <c r="B1374" i="3" s="1"/>
  <c r="G1375" i="3"/>
  <c r="B1375" i="3" s="1"/>
  <c r="G1376" i="3"/>
  <c r="B1376" i="3" s="1"/>
  <c r="G1377" i="3"/>
  <c r="B1377" i="3" s="1"/>
  <c r="G1378" i="3"/>
  <c r="B1378" i="3" s="1"/>
  <c r="G1379" i="3"/>
  <c r="B1379" i="3" s="1"/>
  <c r="G1380" i="3"/>
  <c r="B1380" i="3" s="1"/>
  <c r="G1381" i="3"/>
  <c r="B1381" i="3" s="1"/>
  <c r="G1382" i="3"/>
  <c r="B1382" i="3" s="1"/>
  <c r="G1383" i="3"/>
  <c r="B1383" i="3" s="1"/>
  <c r="G1384" i="3"/>
  <c r="B1384" i="3" s="1"/>
  <c r="G1385" i="3"/>
  <c r="B1385" i="3" s="1"/>
  <c r="G1386" i="3"/>
  <c r="B1386" i="3" s="1"/>
  <c r="G1387" i="3"/>
  <c r="B1387" i="3" s="1"/>
  <c r="G1388" i="3"/>
  <c r="B1388" i="3" s="1"/>
  <c r="G1389" i="3"/>
  <c r="B1389" i="3" s="1"/>
  <c r="G1390" i="3"/>
  <c r="B1390" i="3" s="1"/>
  <c r="G1391" i="3"/>
  <c r="B1391" i="3" s="1"/>
  <c r="G1392" i="3"/>
  <c r="B1392" i="3" s="1"/>
  <c r="G1393" i="3"/>
  <c r="B1393" i="3" s="1"/>
  <c r="G1394" i="3"/>
  <c r="B1394" i="3" s="1"/>
  <c r="G1395" i="3"/>
  <c r="B1395" i="3" s="1"/>
  <c r="G1396" i="3"/>
  <c r="B1396" i="3" s="1"/>
  <c r="G1397" i="3"/>
  <c r="B1397" i="3" s="1"/>
  <c r="G1398" i="3"/>
  <c r="B1398" i="3" s="1"/>
  <c r="G1399" i="3"/>
  <c r="B1399" i="3" s="1"/>
  <c r="G1400" i="3"/>
  <c r="B1400" i="3" s="1"/>
  <c r="G1401" i="3"/>
  <c r="B1401" i="3" s="1"/>
  <c r="G1402" i="3"/>
  <c r="B1402" i="3" s="1"/>
  <c r="G1403" i="3"/>
  <c r="B1403" i="3" s="1"/>
  <c r="G1404" i="3"/>
  <c r="B1404" i="3" s="1"/>
  <c r="G1405" i="3"/>
  <c r="B1405" i="3" s="1"/>
  <c r="G1406" i="3"/>
  <c r="B1406" i="3" s="1"/>
  <c r="G1407" i="3"/>
  <c r="B1407" i="3" s="1"/>
  <c r="G1408" i="3"/>
  <c r="B1408" i="3" s="1"/>
  <c r="G1409" i="3"/>
  <c r="B1409" i="3" s="1"/>
  <c r="G1410" i="3"/>
  <c r="B1410" i="3" s="1"/>
  <c r="G1411" i="3"/>
  <c r="B1411" i="3" s="1"/>
  <c r="G1412" i="3"/>
  <c r="B1412" i="3" s="1"/>
  <c r="G1413" i="3"/>
  <c r="B1413" i="3" s="1"/>
  <c r="G1414" i="3"/>
  <c r="B1414" i="3" s="1"/>
  <c r="G1415" i="3"/>
  <c r="B1415" i="3" s="1"/>
  <c r="G1416" i="3"/>
  <c r="B1416" i="3" s="1"/>
  <c r="G1417" i="3"/>
  <c r="B1417" i="3" s="1"/>
  <c r="G1418" i="3"/>
  <c r="B1418" i="3" s="1"/>
  <c r="G1419" i="3"/>
  <c r="B1419" i="3" s="1"/>
  <c r="G1420" i="3"/>
  <c r="B1420" i="3" s="1"/>
  <c r="G1421" i="3"/>
  <c r="B1421" i="3" s="1"/>
  <c r="G1422" i="3"/>
  <c r="B1422" i="3" s="1"/>
  <c r="G1423" i="3"/>
  <c r="B1423" i="3" s="1"/>
  <c r="G1424" i="3"/>
  <c r="B1424" i="3" s="1"/>
  <c r="G1425" i="3"/>
  <c r="B1425" i="3" s="1"/>
  <c r="G1426" i="3"/>
  <c r="B1426" i="3" s="1"/>
  <c r="G1427" i="3"/>
  <c r="B1427" i="3" s="1"/>
  <c r="G1428" i="3"/>
  <c r="B1428" i="3" s="1"/>
  <c r="G1429" i="3"/>
  <c r="B1429" i="3" s="1"/>
  <c r="G1430" i="3"/>
  <c r="B1430" i="3" s="1"/>
  <c r="G1431" i="3"/>
  <c r="B1431" i="3" s="1"/>
  <c r="G1432" i="3"/>
  <c r="B1432" i="3" s="1"/>
  <c r="G1433" i="3"/>
  <c r="B1433" i="3" s="1"/>
  <c r="G1434" i="3"/>
  <c r="B1434" i="3" s="1"/>
  <c r="G1435" i="3"/>
  <c r="B1435" i="3" s="1"/>
  <c r="G1436" i="3"/>
  <c r="B1436" i="3" s="1"/>
  <c r="G1437" i="3"/>
  <c r="B1437" i="3" s="1"/>
  <c r="G1438" i="3"/>
  <c r="B1438" i="3" s="1"/>
  <c r="G1439" i="3"/>
  <c r="B1439" i="3" s="1"/>
  <c r="G1440" i="3"/>
  <c r="B1440" i="3" s="1"/>
  <c r="G1441" i="3"/>
  <c r="B1441" i="3" s="1"/>
  <c r="G1442" i="3"/>
  <c r="B1442" i="3" s="1"/>
  <c r="G1443" i="3"/>
  <c r="B1443" i="3" s="1"/>
  <c r="G1444" i="3"/>
  <c r="B1444" i="3" s="1"/>
  <c r="G1445" i="3"/>
  <c r="B1445" i="3" s="1"/>
  <c r="G1446" i="3"/>
  <c r="B1446" i="3" s="1"/>
  <c r="G1447" i="3"/>
  <c r="B1447" i="3" s="1"/>
  <c r="G1448" i="3"/>
  <c r="B1448" i="3" s="1"/>
  <c r="G1449" i="3"/>
  <c r="B1449" i="3" s="1"/>
  <c r="G1450" i="3"/>
  <c r="B1450" i="3" s="1"/>
  <c r="G1451" i="3"/>
  <c r="B1451" i="3" s="1"/>
  <c r="G1452" i="3"/>
  <c r="B1452" i="3" s="1"/>
  <c r="G1453" i="3"/>
  <c r="B1453" i="3" s="1"/>
  <c r="G1454" i="3"/>
  <c r="B1454" i="3" s="1"/>
  <c r="G1455" i="3"/>
  <c r="B1455" i="3" s="1"/>
  <c r="G1456" i="3"/>
  <c r="B1456" i="3" s="1"/>
  <c r="G1457" i="3"/>
  <c r="B1457" i="3" s="1"/>
  <c r="G1458" i="3"/>
  <c r="B1458" i="3" s="1"/>
  <c r="G1459" i="3"/>
  <c r="B1459" i="3" s="1"/>
  <c r="G1460" i="3"/>
  <c r="B1460" i="3" s="1"/>
  <c r="G1461" i="3"/>
  <c r="B1461" i="3" s="1"/>
  <c r="G1462" i="3"/>
  <c r="B1462" i="3" s="1"/>
  <c r="G1463" i="3"/>
  <c r="B1463" i="3" s="1"/>
  <c r="G1464" i="3"/>
  <c r="B1464" i="3" s="1"/>
  <c r="G1465" i="3"/>
  <c r="B1465" i="3" s="1"/>
  <c r="I2" i="1"/>
  <c r="I124" i="1"/>
  <c r="I246" i="1"/>
  <c r="I368" i="1"/>
  <c r="I490" i="1"/>
  <c r="I612" i="1"/>
  <c r="I734" i="1"/>
  <c r="I856" i="1"/>
  <c r="I3" i="1"/>
  <c r="I125" i="1"/>
  <c r="I247" i="1"/>
  <c r="I369" i="1"/>
  <c r="I491" i="1"/>
  <c r="I613" i="1"/>
  <c r="I735" i="1"/>
  <c r="I857" i="1"/>
  <c r="I4" i="1"/>
  <c r="I126" i="1"/>
  <c r="I248" i="1"/>
  <c r="I370" i="1"/>
  <c r="I492" i="1"/>
  <c r="I614" i="1"/>
  <c r="I736" i="1"/>
  <c r="I858" i="1"/>
  <c r="I5" i="1"/>
  <c r="I127" i="1"/>
  <c r="I249" i="1"/>
  <c r="I371" i="1"/>
  <c r="I493" i="1"/>
  <c r="I615" i="1"/>
  <c r="I737" i="1"/>
  <c r="I859" i="1"/>
  <c r="I6" i="1"/>
  <c r="I128" i="1"/>
  <c r="I250" i="1"/>
  <c r="I372" i="1"/>
  <c r="I494" i="1"/>
  <c r="I616" i="1"/>
  <c r="I738" i="1"/>
  <c r="I860" i="1"/>
  <c r="I7" i="1"/>
  <c r="I129" i="1"/>
  <c r="I251" i="1"/>
  <c r="I373" i="1"/>
  <c r="I495" i="1"/>
  <c r="I617" i="1"/>
  <c r="I739" i="1"/>
  <c r="I861" i="1"/>
  <c r="I8" i="1"/>
  <c r="I130" i="1"/>
  <c r="I252" i="1"/>
  <c r="I374" i="1"/>
  <c r="I496" i="1"/>
  <c r="I618" i="1"/>
  <c r="I740" i="1"/>
  <c r="I862" i="1"/>
  <c r="I9" i="1"/>
  <c r="I131" i="1"/>
  <c r="I253" i="1"/>
  <c r="I375" i="1"/>
  <c r="I497" i="1"/>
  <c r="I619" i="1"/>
  <c r="I741" i="1"/>
  <c r="I863" i="1"/>
  <c r="I10" i="1"/>
  <c r="I132" i="1"/>
  <c r="I254" i="1"/>
  <c r="I376" i="1"/>
  <c r="I498" i="1"/>
  <c r="I620" i="1"/>
  <c r="I742" i="1"/>
  <c r="I864" i="1"/>
  <c r="I11" i="1"/>
  <c r="I133" i="1"/>
  <c r="I255" i="1"/>
  <c r="I377" i="1"/>
  <c r="I499" i="1"/>
  <c r="I621" i="1"/>
  <c r="I743" i="1"/>
  <c r="I865" i="1"/>
  <c r="I12" i="1"/>
  <c r="I134" i="1"/>
  <c r="I256" i="1"/>
  <c r="I378" i="1"/>
  <c r="I500" i="1"/>
  <c r="I622" i="1"/>
  <c r="I744" i="1"/>
  <c r="I866" i="1"/>
  <c r="I13" i="1"/>
  <c r="I135" i="1"/>
  <c r="I257" i="1"/>
  <c r="I379" i="1"/>
  <c r="I501" i="1"/>
  <c r="I623" i="1"/>
  <c r="I745" i="1"/>
  <c r="I867" i="1"/>
  <c r="I14" i="1"/>
  <c r="I136" i="1"/>
  <c r="I258" i="1"/>
  <c r="I380" i="1"/>
  <c r="I502" i="1"/>
  <c r="I624" i="1"/>
  <c r="I746" i="1"/>
  <c r="I868" i="1"/>
  <c r="I15" i="1"/>
  <c r="I137" i="1"/>
  <c r="I259" i="1"/>
  <c r="I381" i="1"/>
  <c r="I503" i="1"/>
  <c r="I625" i="1"/>
  <c r="I747" i="1"/>
  <c r="I869" i="1"/>
  <c r="I16" i="1"/>
  <c r="I138" i="1"/>
  <c r="I260" i="1"/>
  <c r="I382" i="1"/>
  <c r="I504" i="1"/>
  <c r="I626" i="1"/>
  <c r="I748" i="1"/>
  <c r="I870" i="1"/>
  <c r="I17" i="1"/>
  <c r="I139" i="1"/>
  <c r="I261" i="1"/>
  <c r="I383" i="1"/>
  <c r="I505" i="1"/>
  <c r="I627" i="1"/>
  <c r="I749" i="1"/>
  <c r="I871" i="1"/>
  <c r="I18" i="1"/>
  <c r="I140" i="1"/>
  <c r="I262" i="1"/>
  <c r="I384" i="1"/>
  <c r="I506" i="1"/>
  <c r="I628" i="1"/>
  <c r="I750" i="1"/>
  <c r="I872" i="1"/>
  <c r="I19" i="1"/>
  <c r="I141" i="1"/>
  <c r="I263" i="1"/>
  <c r="I385" i="1"/>
  <c r="I507" i="1"/>
  <c r="I629" i="1"/>
  <c r="I751" i="1"/>
  <c r="I873" i="1"/>
  <c r="I20" i="1"/>
  <c r="I142" i="1"/>
  <c r="I264" i="1"/>
  <c r="I386" i="1"/>
  <c r="I508" i="1"/>
  <c r="I630" i="1"/>
  <c r="I752" i="1"/>
  <c r="I874" i="1"/>
  <c r="I21" i="1"/>
  <c r="I143" i="1"/>
  <c r="I265" i="1"/>
  <c r="I387" i="1"/>
  <c r="I509" i="1"/>
  <c r="I631" i="1"/>
  <c r="I753" i="1"/>
  <c r="I875" i="1"/>
  <c r="I22" i="1"/>
  <c r="I144" i="1"/>
  <c r="I266" i="1"/>
  <c r="I388" i="1"/>
  <c r="I510" i="1"/>
  <c r="I632" i="1"/>
  <c r="I754" i="1"/>
  <c r="I876" i="1"/>
  <c r="I23" i="1"/>
  <c r="I145" i="1"/>
  <c r="I267" i="1"/>
  <c r="I389" i="1"/>
  <c r="I511" i="1"/>
  <c r="I633" i="1"/>
  <c r="I755" i="1"/>
  <c r="I877" i="1"/>
  <c r="I24" i="1"/>
  <c r="I146" i="1"/>
  <c r="I268" i="1"/>
  <c r="I390" i="1"/>
  <c r="I512" i="1"/>
  <c r="I634" i="1"/>
  <c r="I756" i="1"/>
  <c r="I878" i="1"/>
  <c r="I25" i="1"/>
  <c r="I147" i="1"/>
  <c r="I269" i="1"/>
  <c r="I391" i="1"/>
  <c r="I513" i="1"/>
  <c r="I635" i="1"/>
  <c r="I757" i="1"/>
  <c r="I879" i="1"/>
  <c r="I26" i="1"/>
  <c r="I148" i="1"/>
  <c r="I270" i="1"/>
  <c r="I392" i="1"/>
  <c r="I514" i="1"/>
  <c r="I636" i="1"/>
  <c r="I758" i="1"/>
  <c r="I880" i="1"/>
  <c r="I27" i="1"/>
  <c r="I149" i="1"/>
  <c r="I271" i="1"/>
  <c r="I393" i="1"/>
  <c r="I515" i="1"/>
  <c r="I637" i="1"/>
  <c r="I759" i="1"/>
  <c r="I881" i="1"/>
  <c r="I28" i="1"/>
  <c r="I150" i="1"/>
  <c r="I272" i="1"/>
  <c r="I394" i="1"/>
  <c r="I516" i="1"/>
  <c r="I638" i="1"/>
  <c r="I760" i="1"/>
  <c r="I882" i="1"/>
  <c r="I29" i="1"/>
  <c r="I151" i="1"/>
  <c r="I273" i="1"/>
  <c r="I395" i="1"/>
  <c r="I517" i="1"/>
  <c r="I639" i="1"/>
  <c r="I761" i="1"/>
  <c r="I883" i="1"/>
  <c r="I30" i="1"/>
  <c r="I152" i="1"/>
  <c r="I274" i="1"/>
  <c r="I396" i="1"/>
  <c r="I518" i="1"/>
  <c r="I640" i="1"/>
  <c r="I762" i="1"/>
  <c r="I884" i="1"/>
  <c r="I31" i="1"/>
  <c r="I153" i="1"/>
  <c r="I275" i="1"/>
  <c r="I397" i="1"/>
  <c r="I519" i="1"/>
  <c r="I641" i="1"/>
  <c r="I763" i="1"/>
  <c r="I885" i="1"/>
  <c r="I32" i="1"/>
  <c r="I154" i="1"/>
  <c r="I276" i="1"/>
  <c r="I398" i="1"/>
  <c r="I520" i="1"/>
  <c r="I642" i="1"/>
  <c r="I764" i="1"/>
  <c r="I886" i="1"/>
  <c r="I33" i="1"/>
  <c r="I155" i="1"/>
  <c r="I277" i="1"/>
  <c r="I399" i="1"/>
  <c r="I521" i="1"/>
  <c r="I643" i="1"/>
  <c r="I765" i="1"/>
  <c r="I887" i="1"/>
  <c r="I34" i="1"/>
  <c r="I156" i="1"/>
  <c r="I278" i="1"/>
  <c r="I400" i="1"/>
  <c r="I522" i="1"/>
  <c r="I644" i="1"/>
  <c r="I766" i="1"/>
  <c r="I888" i="1"/>
  <c r="I35" i="1"/>
  <c r="I157" i="1"/>
  <c r="I279" i="1"/>
  <c r="I401" i="1"/>
  <c r="I523" i="1"/>
  <c r="I645" i="1"/>
  <c r="I767" i="1"/>
  <c r="I889" i="1"/>
  <c r="I36" i="1"/>
  <c r="I158" i="1"/>
  <c r="I280" i="1"/>
  <c r="I402" i="1"/>
  <c r="I524" i="1"/>
  <c r="I646" i="1"/>
  <c r="I768" i="1"/>
  <c r="I890" i="1"/>
  <c r="I37" i="1"/>
  <c r="I159" i="1"/>
  <c r="I281" i="1"/>
  <c r="I403" i="1"/>
  <c r="I525" i="1"/>
  <c r="I647" i="1"/>
  <c r="I769" i="1"/>
  <c r="I891" i="1"/>
  <c r="I38" i="1"/>
  <c r="I160" i="1"/>
  <c r="I282" i="1"/>
  <c r="I404" i="1"/>
  <c r="I526" i="1"/>
  <c r="I648" i="1"/>
  <c r="I770" i="1"/>
  <c r="I892" i="1"/>
  <c r="I39" i="1"/>
  <c r="I161" i="1"/>
  <c r="I283" i="1"/>
  <c r="I405" i="1"/>
  <c r="I527" i="1"/>
  <c r="I649" i="1"/>
  <c r="I771" i="1"/>
  <c r="I893" i="1"/>
  <c r="I40" i="1"/>
  <c r="I162" i="1"/>
  <c r="I284" i="1"/>
  <c r="I406" i="1"/>
  <c r="I528" i="1"/>
  <c r="I650" i="1"/>
  <c r="I772" i="1"/>
  <c r="I894" i="1"/>
  <c r="I41" i="1"/>
  <c r="I163" i="1"/>
  <c r="I285" i="1"/>
  <c r="I407" i="1"/>
  <c r="I529" i="1"/>
  <c r="I651" i="1"/>
  <c r="I773" i="1"/>
  <c r="I895" i="1"/>
  <c r="I42" i="1"/>
  <c r="I164" i="1"/>
  <c r="I286" i="1"/>
  <c r="I408" i="1"/>
  <c r="I530" i="1"/>
  <c r="I652" i="1"/>
  <c r="I774" i="1"/>
  <c r="I896" i="1"/>
  <c r="I43" i="1"/>
  <c r="I165" i="1"/>
  <c r="I287" i="1"/>
  <c r="I409" i="1"/>
  <c r="I531" i="1"/>
  <c r="I653" i="1"/>
  <c r="I775" i="1"/>
  <c r="I897" i="1"/>
  <c r="I44" i="1"/>
  <c r="I166" i="1"/>
  <c r="I288" i="1"/>
  <c r="I410" i="1"/>
  <c r="I532" i="1"/>
  <c r="I654" i="1"/>
  <c r="I776" i="1"/>
  <c r="I898" i="1"/>
  <c r="I45" i="1"/>
  <c r="I167" i="1"/>
  <c r="I289" i="1"/>
  <c r="I411" i="1"/>
  <c r="I533" i="1"/>
  <c r="I655" i="1"/>
  <c r="I777" i="1"/>
  <c r="I899" i="1"/>
  <c r="I46" i="1"/>
  <c r="I168" i="1"/>
  <c r="I290" i="1"/>
  <c r="I412" i="1"/>
  <c r="I534" i="1"/>
  <c r="I656" i="1"/>
  <c r="I778" i="1"/>
  <c r="I900" i="1"/>
  <c r="I47" i="1"/>
  <c r="I169" i="1"/>
  <c r="I291" i="1"/>
  <c r="I413" i="1"/>
  <c r="I535" i="1"/>
  <c r="I657" i="1"/>
  <c r="I779" i="1"/>
  <c r="I901" i="1"/>
  <c r="I48" i="1"/>
  <c r="I170" i="1"/>
  <c r="I292" i="1"/>
  <c r="I414" i="1"/>
  <c r="I536" i="1"/>
  <c r="I658" i="1"/>
  <c r="I780" i="1"/>
  <c r="I902" i="1"/>
  <c r="I49" i="1"/>
  <c r="I171" i="1"/>
  <c r="I293" i="1"/>
  <c r="I415" i="1"/>
  <c r="I537" i="1"/>
  <c r="I659" i="1"/>
  <c r="I781" i="1"/>
  <c r="I903" i="1"/>
  <c r="I50" i="1"/>
  <c r="I172" i="1"/>
  <c r="I294" i="1"/>
  <c r="I416" i="1"/>
  <c r="I538" i="1"/>
  <c r="I660" i="1"/>
  <c r="I782" i="1"/>
  <c r="I904" i="1"/>
  <c r="I51" i="1"/>
  <c r="I173" i="1"/>
  <c r="I295" i="1"/>
  <c r="I417" i="1"/>
  <c r="I539" i="1"/>
  <c r="I661" i="1"/>
  <c r="I783" i="1"/>
  <c r="I905" i="1"/>
  <c r="I52" i="1"/>
  <c r="I174" i="1"/>
  <c r="I296" i="1"/>
  <c r="I418" i="1"/>
  <c r="I540" i="1"/>
  <c r="I662" i="1"/>
  <c r="I784" i="1"/>
  <c r="I906" i="1"/>
  <c r="I53" i="1"/>
  <c r="I175" i="1"/>
  <c r="I297" i="1"/>
  <c r="I419" i="1"/>
  <c r="I541" i="1"/>
  <c r="I663" i="1"/>
  <c r="I785" i="1"/>
  <c r="I907" i="1"/>
  <c r="I54" i="1"/>
  <c r="I176" i="1"/>
  <c r="I298" i="1"/>
  <c r="I420" i="1"/>
  <c r="I542" i="1"/>
  <c r="I664" i="1"/>
  <c r="I786" i="1"/>
  <c r="I908" i="1"/>
  <c r="I55" i="1"/>
  <c r="I177" i="1"/>
  <c r="I299" i="1"/>
  <c r="I421" i="1"/>
  <c r="I543" i="1"/>
  <c r="I665" i="1"/>
  <c r="I787" i="1"/>
  <c r="I909" i="1"/>
  <c r="I56" i="1"/>
  <c r="I178" i="1"/>
  <c r="I300" i="1"/>
  <c r="I422" i="1"/>
  <c r="I544" i="1"/>
  <c r="I666" i="1"/>
  <c r="I788" i="1"/>
  <c r="I910" i="1"/>
  <c r="I57" i="1"/>
  <c r="I179" i="1"/>
  <c r="I301" i="1"/>
  <c r="I423" i="1"/>
  <c r="I545" i="1"/>
  <c r="I667" i="1"/>
  <c r="I789" i="1"/>
  <c r="I911" i="1"/>
  <c r="I58" i="1"/>
  <c r="I180" i="1"/>
  <c r="I302" i="1"/>
  <c r="I424" i="1"/>
  <c r="I546" i="1"/>
  <c r="I668" i="1"/>
  <c r="I790" i="1"/>
  <c r="I912" i="1"/>
  <c r="I59" i="1"/>
  <c r="I181" i="1"/>
  <c r="I303" i="1"/>
  <c r="I425" i="1"/>
  <c r="I547" i="1"/>
  <c r="I669" i="1"/>
  <c r="I791" i="1"/>
  <c r="I913" i="1"/>
  <c r="I60" i="1"/>
  <c r="I182" i="1"/>
  <c r="I304" i="1"/>
  <c r="I426" i="1"/>
  <c r="I548" i="1"/>
  <c r="I670" i="1"/>
  <c r="I792" i="1"/>
  <c r="I914" i="1"/>
  <c r="I61" i="1"/>
  <c r="I183" i="1"/>
  <c r="I305" i="1"/>
  <c r="I427" i="1"/>
  <c r="I549" i="1"/>
  <c r="I671" i="1"/>
  <c r="I793" i="1"/>
  <c r="I915" i="1"/>
  <c r="I62" i="1"/>
  <c r="I184" i="1"/>
  <c r="I306" i="1"/>
  <c r="I428" i="1"/>
  <c r="I550" i="1"/>
  <c r="I672" i="1"/>
  <c r="I794" i="1"/>
  <c r="I916" i="1"/>
  <c r="I63" i="1"/>
  <c r="I185" i="1"/>
  <c r="I307" i="1"/>
  <c r="I429" i="1"/>
  <c r="I551" i="1"/>
  <c r="I673" i="1"/>
  <c r="I795" i="1"/>
  <c r="I917" i="1"/>
  <c r="I64" i="1"/>
  <c r="I186" i="1"/>
  <c r="I308" i="1"/>
  <c r="I430" i="1"/>
  <c r="I552" i="1"/>
  <c r="I674" i="1"/>
  <c r="I796" i="1"/>
  <c r="I918" i="1"/>
  <c r="I65" i="1"/>
  <c r="I187" i="1"/>
  <c r="I309" i="1"/>
  <c r="I431" i="1"/>
  <c r="I553" i="1"/>
  <c r="I675" i="1"/>
  <c r="I797" i="1"/>
  <c r="I919" i="1"/>
  <c r="I66" i="1"/>
  <c r="I188" i="1"/>
  <c r="I310" i="1"/>
  <c r="I432" i="1"/>
  <c r="I554" i="1"/>
  <c r="I676" i="1"/>
  <c r="I798" i="1"/>
  <c r="I920" i="1"/>
  <c r="I67" i="1"/>
  <c r="I189" i="1"/>
  <c r="I311" i="1"/>
  <c r="I433" i="1"/>
  <c r="I555" i="1"/>
  <c r="I677" i="1"/>
  <c r="I799" i="1"/>
  <c r="I921" i="1"/>
  <c r="I68" i="1"/>
  <c r="I190" i="1"/>
  <c r="I312" i="1"/>
  <c r="I434" i="1"/>
  <c r="I556" i="1"/>
  <c r="I678" i="1"/>
  <c r="I800" i="1"/>
  <c r="I922" i="1"/>
  <c r="I69" i="1"/>
  <c r="I191" i="1"/>
  <c r="I313" i="1"/>
  <c r="I435" i="1"/>
  <c r="I557" i="1"/>
  <c r="I679" i="1"/>
  <c r="I801" i="1"/>
  <c r="I923" i="1"/>
  <c r="I70" i="1"/>
  <c r="I192" i="1"/>
  <c r="I314" i="1"/>
  <c r="I436" i="1"/>
  <c r="I558" i="1"/>
  <c r="I680" i="1"/>
  <c r="I802" i="1"/>
  <c r="I924" i="1"/>
  <c r="I71" i="1"/>
  <c r="I193" i="1"/>
  <c r="I315" i="1"/>
  <c r="I437" i="1"/>
  <c r="I559" i="1"/>
  <c r="I681" i="1"/>
  <c r="I803" i="1"/>
  <c r="I925" i="1"/>
  <c r="I72" i="1"/>
  <c r="I194" i="1"/>
  <c r="I316" i="1"/>
  <c r="I438" i="1"/>
  <c r="I560" i="1"/>
  <c r="I682" i="1"/>
  <c r="I804" i="1"/>
  <c r="I926" i="1"/>
  <c r="I73" i="1"/>
  <c r="I195" i="1"/>
  <c r="I317" i="1"/>
  <c r="I439" i="1"/>
  <c r="I561" i="1"/>
  <c r="I683" i="1"/>
  <c r="I805" i="1"/>
  <c r="I927" i="1"/>
  <c r="I74" i="1"/>
  <c r="I196" i="1"/>
  <c r="I318" i="1"/>
  <c r="I440" i="1"/>
  <c r="I562" i="1"/>
  <c r="I684" i="1"/>
  <c r="I806" i="1"/>
  <c r="I928" i="1"/>
  <c r="I75" i="1"/>
  <c r="I197" i="1"/>
  <c r="I319" i="1"/>
  <c r="I441" i="1"/>
  <c r="I563" i="1"/>
  <c r="I685" i="1"/>
  <c r="I807" i="1"/>
  <c r="I929" i="1"/>
  <c r="I76" i="1"/>
  <c r="I198" i="1"/>
  <c r="I320" i="1"/>
  <c r="I442" i="1"/>
  <c r="I564" i="1"/>
  <c r="I686" i="1"/>
  <c r="I808" i="1"/>
  <c r="I930" i="1"/>
  <c r="I77" i="1"/>
  <c r="I199" i="1"/>
  <c r="I321" i="1"/>
  <c r="I443" i="1"/>
  <c r="I565" i="1"/>
  <c r="I687" i="1"/>
  <c r="I809" i="1"/>
  <c r="I931" i="1"/>
  <c r="I78" i="1"/>
  <c r="I200" i="1"/>
  <c r="I322" i="1"/>
  <c r="I444" i="1"/>
  <c r="I566" i="1"/>
  <c r="I688" i="1"/>
  <c r="I810" i="1"/>
  <c r="I932" i="1"/>
  <c r="I79" i="1"/>
  <c r="I201" i="1"/>
  <c r="I323" i="1"/>
  <c r="I445" i="1"/>
  <c r="I567" i="1"/>
  <c r="I689" i="1"/>
  <c r="I811" i="1"/>
  <c r="I933" i="1"/>
  <c r="I80" i="1"/>
  <c r="I202" i="1"/>
  <c r="I324" i="1"/>
  <c r="I446" i="1"/>
  <c r="I568" i="1"/>
  <c r="I690" i="1"/>
  <c r="I812" i="1"/>
  <c r="I934" i="1"/>
  <c r="I81" i="1"/>
  <c r="I203" i="1"/>
  <c r="I325" i="1"/>
  <c r="I447" i="1"/>
  <c r="I569" i="1"/>
  <c r="I691" i="1"/>
  <c r="I813" i="1"/>
  <c r="I935" i="1"/>
  <c r="I82" i="1"/>
  <c r="I204" i="1"/>
  <c r="I326" i="1"/>
  <c r="I448" i="1"/>
  <c r="I570" i="1"/>
  <c r="I692" i="1"/>
  <c r="I814" i="1"/>
  <c r="I936" i="1"/>
  <c r="I83" i="1"/>
  <c r="I205" i="1"/>
  <c r="I327" i="1"/>
  <c r="I449" i="1"/>
  <c r="I571" i="1"/>
  <c r="I693" i="1"/>
  <c r="I815" i="1"/>
  <c r="I937" i="1"/>
  <c r="I84" i="1"/>
  <c r="I206" i="1"/>
  <c r="I328" i="1"/>
  <c r="I450" i="1"/>
  <c r="I572" i="1"/>
  <c r="I694" i="1"/>
  <c r="I816" i="1"/>
  <c r="I938" i="1"/>
  <c r="I85" i="1"/>
  <c r="I207" i="1"/>
  <c r="I329" i="1"/>
  <c r="I451" i="1"/>
  <c r="I573" i="1"/>
  <c r="I695" i="1"/>
  <c r="I817" i="1"/>
  <c r="I939" i="1"/>
  <c r="I86" i="1"/>
  <c r="I208" i="1"/>
  <c r="I330" i="1"/>
  <c r="I452" i="1"/>
  <c r="I574" i="1"/>
  <c r="I696" i="1"/>
  <c r="I818" i="1"/>
  <c r="I940" i="1"/>
  <c r="I87" i="1"/>
  <c r="I209" i="1"/>
  <c r="I331" i="1"/>
  <c r="I453" i="1"/>
  <c r="I575" i="1"/>
  <c r="I697" i="1"/>
  <c r="I819" i="1"/>
  <c r="I941" i="1"/>
  <c r="I88" i="1"/>
  <c r="I210" i="1"/>
  <c r="I332" i="1"/>
  <c r="I454" i="1"/>
  <c r="I576" i="1"/>
  <c r="I698" i="1"/>
  <c r="I820" i="1"/>
  <c r="I942" i="1"/>
  <c r="I89" i="1"/>
  <c r="I211" i="1"/>
  <c r="I333" i="1"/>
  <c r="I455" i="1"/>
  <c r="I577" i="1"/>
  <c r="I699" i="1"/>
  <c r="I821" i="1"/>
  <c r="I943" i="1"/>
  <c r="I90" i="1"/>
  <c r="I212" i="1"/>
  <c r="I334" i="1"/>
  <c r="I456" i="1"/>
  <c r="I578" i="1"/>
  <c r="I700" i="1"/>
  <c r="I822" i="1"/>
  <c r="I944" i="1"/>
  <c r="I91" i="1"/>
  <c r="I213" i="1"/>
  <c r="I335" i="1"/>
  <c r="I457" i="1"/>
  <c r="I579" i="1"/>
  <c r="I701" i="1"/>
  <c r="I823" i="1"/>
  <c r="I945" i="1"/>
  <c r="I92" i="1"/>
  <c r="I214" i="1"/>
  <c r="I336" i="1"/>
  <c r="I458" i="1"/>
  <c r="I580" i="1"/>
  <c r="I702" i="1"/>
  <c r="I824" i="1"/>
  <c r="I946" i="1"/>
  <c r="I93" i="1"/>
  <c r="I215" i="1"/>
  <c r="I337" i="1"/>
  <c r="I459" i="1"/>
  <c r="I581" i="1"/>
  <c r="I703" i="1"/>
  <c r="I825" i="1"/>
  <c r="I947" i="1"/>
  <c r="I94" i="1"/>
  <c r="I216" i="1"/>
  <c r="I338" i="1"/>
  <c r="I460" i="1"/>
  <c r="I582" i="1"/>
  <c r="I704" i="1"/>
  <c r="I826" i="1"/>
  <c r="I948" i="1"/>
  <c r="I95" i="1"/>
  <c r="I217" i="1"/>
  <c r="I339" i="1"/>
  <c r="I461" i="1"/>
  <c r="I583" i="1"/>
  <c r="I705" i="1"/>
  <c r="I827" i="1"/>
  <c r="I949" i="1"/>
  <c r="I96" i="1"/>
  <c r="I218" i="1"/>
  <c r="I340" i="1"/>
  <c r="I462" i="1"/>
  <c r="I584" i="1"/>
  <c r="I706" i="1"/>
  <c r="I828" i="1"/>
  <c r="I950" i="1"/>
  <c r="I97" i="1"/>
  <c r="I219" i="1"/>
  <c r="I341" i="1"/>
  <c r="I463" i="1"/>
  <c r="I585" i="1"/>
  <c r="I707" i="1"/>
  <c r="I829" i="1"/>
  <c r="I951" i="1"/>
  <c r="I98" i="1"/>
  <c r="I220" i="1"/>
  <c r="I342" i="1"/>
  <c r="I464" i="1"/>
  <c r="I586" i="1"/>
  <c r="I708" i="1"/>
  <c r="I830" i="1"/>
  <c r="I952" i="1"/>
  <c r="I99" i="1"/>
  <c r="I221" i="1"/>
  <c r="I343" i="1"/>
  <c r="I465" i="1"/>
  <c r="I587" i="1"/>
  <c r="I709" i="1"/>
  <c r="I831" i="1"/>
  <c r="I953" i="1"/>
  <c r="I100" i="1"/>
  <c r="I222" i="1"/>
  <c r="I344" i="1"/>
  <c r="I466" i="1"/>
  <c r="I588" i="1"/>
  <c r="I710" i="1"/>
  <c r="I832" i="1"/>
  <c r="I954" i="1"/>
  <c r="I101" i="1"/>
  <c r="I223" i="1"/>
  <c r="I345" i="1"/>
  <c r="I467" i="1"/>
  <c r="I589" i="1"/>
  <c r="I711" i="1"/>
  <c r="I833" i="1"/>
  <c r="I955" i="1"/>
  <c r="I102" i="1"/>
  <c r="I224" i="1"/>
  <c r="I346" i="1"/>
  <c r="I468" i="1"/>
  <c r="I590" i="1"/>
  <c r="I712" i="1"/>
  <c r="I834" i="1"/>
  <c r="I956" i="1"/>
  <c r="I103" i="1"/>
  <c r="I225" i="1"/>
  <c r="I347" i="1"/>
  <c r="I469" i="1"/>
  <c r="I591" i="1"/>
  <c r="I713" i="1"/>
  <c r="I835" i="1"/>
  <c r="I957" i="1"/>
  <c r="I104" i="1"/>
  <c r="I226" i="1"/>
  <c r="I348" i="1"/>
  <c r="I470" i="1"/>
  <c r="I592" i="1"/>
  <c r="I714" i="1"/>
  <c r="I836" i="1"/>
  <c r="I958" i="1"/>
  <c r="I105" i="1"/>
  <c r="I227" i="1"/>
  <c r="I349" i="1"/>
  <c r="I471" i="1"/>
  <c r="I593" i="1"/>
  <c r="I715" i="1"/>
  <c r="I837" i="1"/>
  <c r="I959" i="1"/>
  <c r="I106" i="1"/>
  <c r="I228" i="1"/>
  <c r="I350" i="1"/>
  <c r="I472" i="1"/>
  <c r="I594" i="1"/>
  <c r="I716" i="1"/>
  <c r="I838" i="1"/>
  <c r="I960" i="1"/>
  <c r="I107" i="1"/>
  <c r="I229" i="1"/>
  <c r="I351" i="1"/>
  <c r="I473" i="1"/>
  <c r="I595" i="1"/>
  <c r="I717" i="1"/>
  <c r="I839" i="1"/>
  <c r="I961" i="1"/>
  <c r="I108" i="1"/>
  <c r="I230" i="1"/>
  <c r="I352" i="1"/>
  <c r="I474" i="1"/>
  <c r="I596" i="1"/>
  <c r="I718" i="1"/>
  <c r="I840" i="1"/>
  <c r="I962" i="1"/>
  <c r="I109" i="1"/>
  <c r="I231" i="1"/>
  <c r="I353" i="1"/>
  <c r="I475" i="1"/>
  <c r="I597" i="1"/>
  <c r="I719" i="1"/>
  <c r="I841" i="1"/>
  <c r="I963" i="1"/>
  <c r="I110" i="1"/>
  <c r="I232" i="1"/>
  <c r="I354" i="1"/>
  <c r="I476" i="1"/>
  <c r="I598" i="1"/>
  <c r="I720" i="1"/>
  <c r="I842" i="1"/>
  <c r="I964" i="1"/>
  <c r="I111" i="1"/>
  <c r="I233" i="1"/>
  <c r="I355" i="1"/>
  <c r="I477" i="1"/>
  <c r="I599" i="1"/>
  <c r="I721" i="1"/>
  <c r="I843" i="1"/>
  <c r="I965" i="1"/>
  <c r="I112" i="1"/>
  <c r="I234" i="1"/>
  <c r="I356" i="1"/>
  <c r="I478" i="1"/>
  <c r="I600" i="1"/>
  <c r="I722" i="1"/>
  <c r="I844" i="1"/>
  <c r="I966" i="1"/>
  <c r="I113" i="1"/>
  <c r="I235" i="1"/>
  <c r="I357" i="1"/>
  <c r="I479" i="1"/>
  <c r="I601" i="1"/>
  <c r="I723" i="1"/>
  <c r="I845" i="1"/>
  <c r="I967" i="1"/>
  <c r="I114" i="1"/>
  <c r="I236" i="1"/>
  <c r="I358" i="1"/>
  <c r="I480" i="1"/>
  <c r="I602" i="1"/>
  <c r="I724" i="1"/>
  <c r="I846" i="1"/>
  <c r="I968" i="1"/>
  <c r="I115" i="1"/>
  <c r="I237" i="1"/>
  <c r="I359" i="1"/>
  <c r="I481" i="1"/>
  <c r="I603" i="1"/>
  <c r="I725" i="1"/>
  <c r="I847" i="1"/>
  <c r="I969" i="1"/>
  <c r="I116" i="1"/>
  <c r="I238" i="1"/>
  <c r="I360" i="1"/>
  <c r="I482" i="1"/>
  <c r="I604" i="1"/>
  <c r="I726" i="1"/>
  <c r="I848" i="1"/>
  <c r="I970" i="1"/>
  <c r="I117" i="1"/>
  <c r="I239" i="1"/>
  <c r="I361" i="1"/>
  <c r="I483" i="1"/>
  <c r="I605" i="1"/>
  <c r="I727" i="1"/>
  <c r="I849" i="1"/>
  <c r="I971" i="1"/>
  <c r="I118" i="1"/>
  <c r="I240" i="1"/>
  <c r="I362" i="1"/>
  <c r="I484" i="1"/>
  <c r="I606" i="1"/>
  <c r="I728" i="1"/>
  <c r="I850" i="1"/>
  <c r="I972" i="1"/>
  <c r="I119" i="1"/>
  <c r="I241" i="1"/>
  <c r="I363" i="1"/>
  <c r="I485" i="1"/>
  <c r="I607" i="1"/>
  <c r="I729" i="1"/>
  <c r="I851" i="1"/>
  <c r="I973" i="1"/>
  <c r="I120" i="1"/>
  <c r="I242" i="1"/>
  <c r="I364" i="1"/>
  <c r="I486" i="1"/>
  <c r="I608" i="1"/>
  <c r="I730" i="1"/>
  <c r="I852" i="1"/>
  <c r="I974" i="1"/>
  <c r="I121" i="1"/>
  <c r="I243" i="1"/>
  <c r="I365" i="1"/>
  <c r="I487" i="1"/>
  <c r="I609" i="1"/>
  <c r="I731" i="1"/>
  <c r="I853" i="1"/>
  <c r="I975" i="1"/>
  <c r="I122" i="1"/>
  <c r="I244" i="1"/>
  <c r="I366" i="1"/>
  <c r="I488" i="1"/>
  <c r="I610" i="1"/>
  <c r="I732" i="1"/>
  <c r="I854" i="1"/>
  <c r="I976" i="1"/>
  <c r="I123" i="1"/>
  <c r="I245" i="1"/>
  <c r="I367" i="1"/>
  <c r="I489" i="1"/>
  <c r="I611" i="1"/>
  <c r="I733" i="1"/>
  <c r="I855" i="1"/>
  <c r="I977" i="1"/>
  <c r="J2" i="1"/>
  <c r="K2" i="1" s="1"/>
  <c r="J124" i="1"/>
  <c r="K124" i="1" s="1"/>
  <c r="J246" i="1"/>
  <c r="K246" i="1" s="1"/>
  <c r="J368" i="1"/>
  <c r="K368" i="1" s="1"/>
  <c r="J490" i="1"/>
  <c r="K490" i="1" s="1"/>
  <c r="J612" i="1"/>
  <c r="K612" i="1" s="1"/>
  <c r="J734" i="1"/>
  <c r="K734" i="1" s="1"/>
  <c r="J856" i="1"/>
  <c r="K856" i="1" s="1"/>
  <c r="J3" i="1"/>
  <c r="K3" i="1" s="1"/>
  <c r="J125" i="1"/>
  <c r="K125" i="1" s="1"/>
  <c r="J247" i="1"/>
  <c r="K247" i="1" s="1"/>
  <c r="J369" i="1"/>
  <c r="K369" i="1" s="1"/>
  <c r="J491" i="1"/>
  <c r="K491" i="1" s="1"/>
  <c r="J613" i="1"/>
  <c r="K613" i="1" s="1"/>
  <c r="J735" i="1"/>
  <c r="K735" i="1" s="1"/>
  <c r="J857" i="1"/>
  <c r="K857" i="1" s="1"/>
  <c r="J4" i="1"/>
  <c r="K4" i="1" s="1"/>
  <c r="J126" i="1"/>
  <c r="K126" i="1" s="1"/>
  <c r="J248" i="1"/>
  <c r="K248" i="1" s="1"/>
  <c r="J370" i="1"/>
  <c r="K370" i="1" s="1"/>
  <c r="J492" i="1"/>
  <c r="K492" i="1" s="1"/>
  <c r="J614" i="1"/>
  <c r="K614" i="1" s="1"/>
  <c r="J736" i="1"/>
  <c r="K736" i="1" s="1"/>
  <c r="J858" i="1"/>
  <c r="K858" i="1" s="1"/>
  <c r="J5" i="1"/>
  <c r="K5" i="1" s="1"/>
  <c r="J127" i="1"/>
  <c r="K127" i="1" s="1"/>
  <c r="J249" i="1"/>
  <c r="K249" i="1" s="1"/>
  <c r="J371" i="1"/>
  <c r="K371" i="1" s="1"/>
  <c r="J493" i="1"/>
  <c r="K493" i="1" s="1"/>
  <c r="J615" i="1"/>
  <c r="K615" i="1" s="1"/>
  <c r="J737" i="1"/>
  <c r="K737" i="1" s="1"/>
  <c r="J859" i="1"/>
  <c r="K859" i="1" s="1"/>
  <c r="J6" i="1"/>
  <c r="K6" i="1" s="1"/>
  <c r="J128" i="1"/>
  <c r="K128" i="1" s="1"/>
  <c r="J250" i="1"/>
  <c r="K250" i="1" s="1"/>
  <c r="J372" i="1"/>
  <c r="K372" i="1" s="1"/>
  <c r="J494" i="1"/>
  <c r="K494" i="1" s="1"/>
  <c r="J616" i="1"/>
  <c r="K616" i="1" s="1"/>
  <c r="J738" i="1"/>
  <c r="K738" i="1" s="1"/>
  <c r="J860" i="1"/>
  <c r="K860" i="1" s="1"/>
  <c r="J7" i="1"/>
  <c r="K7" i="1" s="1"/>
  <c r="J129" i="1"/>
  <c r="K129" i="1" s="1"/>
  <c r="J251" i="1"/>
  <c r="K251" i="1" s="1"/>
  <c r="J373" i="1"/>
  <c r="K373" i="1" s="1"/>
  <c r="J495" i="1"/>
  <c r="K495" i="1" s="1"/>
  <c r="J617" i="1"/>
  <c r="K617" i="1" s="1"/>
  <c r="J739" i="1"/>
  <c r="K739" i="1" s="1"/>
  <c r="J861" i="1"/>
  <c r="K861" i="1" s="1"/>
  <c r="J8" i="1"/>
  <c r="K8" i="1" s="1"/>
  <c r="J130" i="1"/>
  <c r="K130" i="1" s="1"/>
  <c r="J252" i="1"/>
  <c r="K252" i="1" s="1"/>
  <c r="J374" i="1"/>
  <c r="K374" i="1" s="1"/>
  <c r="J496" i="1"/>
  <c r="K496" i="1" s="1"/>
  <c r="J618" i="1"/>
  <c r="K618" i="1" s="1"/>
  <c r="J740" i="1"/>
  <c r="K740" i="1" s="1"/>
  <c r="J862" i="1"/>
  <c r="K862" i="1" s="1"/>
  <c r="J9" i="1"/>
  <c r="K9" i="1" s="1"/>
  <c r="J131" i="1"/>
  <c r="K131" i="1" s="1"/>
  <c r="J253" i="1"/>
  <c r="K253" i="1" s="1"/>
  <c r="J375" i="1"/>
  <c r="K375" i="1" s="1"/>
  <c r="J497" i="1"/>
  <c r="K497" i="1" s="1"/>
  <c r="J619" i="1"/>
  <c r="K619" i="1" s="1"/>
  <c r="J741" i="1"/>
  <c r="K741" i="1" s="1"/>
  <c r="J863" i="1"/>
  <c r="K863" i="1" s="1"/>
  <c r="J10" i="1"/>
  <c r="K10" i="1" s="1"/>
  <c r="J132" i="1"/>
  <c r="K132" i="1" s="1"/>
  <c r="J254" i="1"/>
  <c r="K254" i="1" s="1"/>
  <c r="J376" i="1"/>
  <c r="K376" i="1" s="1"/>
  <c r="J498" i="1"/>
  <c r="K498" i="1" s="1"/>
  <c r="J620" i="1"/>
  <c r="K620" i="1" s="1"/>
  <c r="J742" i="1"/>
  <c r="K742" i="1" s="1"/>
  <c r="J864" i="1"/>
  <c r="K864" i="1" s="1"/>
  <c r="J11" i="1"/>
  <c r="K11" i="1" s="1"/>
  <c r="J133" i="1"/>
  <c r="K133" i="1" s="1"/>
  <c r="J255" i="1"/>
  <c r="K255" i="1" s="1"/>
  <c r="J377" i="1"/>
  <c r="K377" i="1" s="1"/>
  <c r="J499" i="1"/>
  <c r="K499" i="1" s="1"/>
  <c r="J621" i="1"/>
  <c r="K621" i="1" s="1"/>
  <c r="J743" i="1"/>
  <c r="K743" i="1" s="1"/>
  <c r="J865" i="1"/>
  <c r="K865" i="1" s="1"/>
  <c r="J12" i="1"/>
  <c r="K12" i="1" s="1"/>
  <c r="J134" i="1"/>
  <c r="K134" i="1" s="1"/>
  <c r="J256" i="1"/>
  <c r="K256" i="1" s="1"/>
  <c r="J378" i="1"/>
  <c r="K378" i="1" s="1"/>
  <c r="J500" i="1"/>
  <c r="K500" i="1" s="1"/>
  <c r="J622" i="1"/>
  <c r="K622" i="1" s="1"/>
  <c r="J744" i="1"/>
  <c r="K744" i="1" s="1"/>
  <c r="J866" i="1"/>
  <c r="K866" i="1" s="1"/>
  <c r="J13" i="1"/>
  <c r="K13" i="1" s="1"/>
  <c r="J135" i="1"/>
  <c r="K135" i="1" s="1"/>
  <c r="J257" i="1"/>
  <c r="K257" i="1" s="1"/>
  <c r="J379" i="1"/>
  <c r="K379" i="1" s="1"/>
  <c r="J501" i="1"/>
  <c r="K501" i="1" s="1"/>
  <c r="J623" i="1"/>
  <c r="K623" i="1" s="1"/>
  <c r="J745" i="1"/>
  <c r="K745" i="1" s="1"/>
  <c r="J867" i="1"/>
  <c r="K867" i="1" s="1"/>
  <c r="J14" i="1"/>
  <c r="K14" i="1" s="1"/>
  <c r="J136" i="1"/>
  <c r="K136" i="1" s="1"/>
  <c r="J258" i="1"/>
  <c r="K258" i="1" s="1"/>
  <c r="J380" i="1"/>
  <c r="K380" i="1" s="1"/>
  <c r="J502" i="1"/>
  <c r="K502" i="1" s="1"/>
  <c r="J624" i="1"/>
  <c r="K624" i="1" s="1"/>
  <c r="J746" i="1"/>
  <c r="K746" i="1" s="1"/>
  <c r="J868" i="1"/>
  <c r="K868" i="1" s="1"/>
  <c r="J15" i="1"/>
  <c r="K15" i="1" s="1"/>
  <c r="J137" i="1"/>
  <c r="K137" i="1" s="1"/>
  <c r="J259" i="1"/>
  <c r="K259" i="1" s="1"/>
  <c r="J381" i="1"/>
  <c r="K381" i="1" s="1"/>
  <c r="J503" i="1"/>
  <c r="K503" i="1" s="1"/>
  <c r="J625" i="1"/>
  <c r="K625" i="1" s="1"/>
  <c r="J747" i="1"/>
  <c r="K747" i="1" s="1"/>
  <c r="J869" i="1"/>
  <c r="K869" i="1" s="1"/>
  <c r="J16" i="1"/>
  <c r="K16" i="1" s="1"/>
  <c r="J138" i="1"/>
  <c r="K138" i="1" s="1"/>
  <c r="J260" i="1"/>
  <c r="K260" i="1" s="1"/>
  <c r="J382" i="1"/>
  <c r="K382" i="1" s="1"/>
  <c r="J504" i="1"/>
  <c r="K504" i="1" s="1"/>
  <c r="J626" i="1"/>
  <c r="K626" i="1" s="1"/>
  <c r="J748" i="1"/>
  <c r="K748" i="1" s="1"/>
  <c r="J870" i="1"/>
  <c r="K870" i="1" s="1"/>
  <c r="J17" i="1"/>
  <c r="K17" i="1" s="1"/>
  <c r="J139" i="1"/>
  <c r="K139" i="1" s="1"/>
  <c r="J261" i="1"/>
  <c r="K261" i="1" s="1"/>
  <c r="J383" i="1"/>
  <c r="K383" i="1" s="1"/>
  <c r="J505" i="1"/>
  <c r="K505" i="1" s="1"/>
  <c r="J627" i="1"/>
  <c r="K627" i="1" s="1"/>
  <c r="J749" i="1"/>
  <c r="K749" i="1" s="1"/>
  <c r="J871" i="1"/>
  <c r="K871" i="1" s="1"/>
  <c r="J18" i="1"/>
  <c r="K18" i="1" s="1"/>
  <c r="J140" i="1"/>
  <c r="K140" i="1" s="1"/>
  <c r="J262" i="1"/>
  <c r="K262" i="1" s="1"/>
  <c r="J384" i="1"/>
  <c r="K384" i="1" s="1"/>
  <c r="J506" i="1"/>
  <c r="K506" i="1" s="1"/>
  <c r="J628" i="1"/>
  <c r="K628" i="1" s="1"/>
  <c r="J750" i="1"/>
  <c r="K750" i="1" s="1"/>
  <c r="J872" i="1"/>
  <c r="K872" i="1" s="1"/>
  <c r="J19" i="1"/>
  <c r="K19" i="1" s="1"/>
  <c r="J141" i="1"/>
  <c r="K141" i="1" s="1"/>
  <c r="J263" i="1"/>
  <c r="K263" i="1" s="1"/>
  <c r="J385" i="1"/>
  <c r="K385" i="1" s="1"/>
  <c r="J507" i="1"/>
  <c r="K507" i="1" s="1"/>
  <c r="J629" i="1"/>
  <c r="K629" i="1" s="1"/>
  <c r="J751" i="1"/>
  <c r="K751" i="1" s="1"/>
  <c r="J873" i="1"/>
  <c r="K873" i="1" s="1"/>
  <c r="J20" i="1"/>
  <c r="K20" i="1" s="1"/>
  <c r="J142" i="1"/>
  <c r="K142" i="1" s="1"/>
  <c r="J264" i="1"/>
  <c r="K264" i="1" s="1"/>
  <c r="J386" i="1"/>
  <c r="K386" i="1" s="1"/>
  <c r="J508" i="1"/>
  <c r="K508" i="1" s="1"/>
  <c r="J630" i="1"/>
  <c r="K630" i="1" s="1"/>
  <c r="J752" i="1"/>
  <c r="K752" i="1" s="1"/>
  <c r="J874" i="1"/>
  <c r="K874" i="1" s="1"/>
  <c r="J21" i="1"/>
  <c r="K21" i="1" s="1"/>
  <c r="J143" i="1"/>
  <c r="K143" i="1" s="1"/>
  <c r="J265" i="1"/>
  <c r="K265" i="1" s="1"/>
  <c r="J387" i="1"/>
  <c r="K387" i="1" s="1"/>
  <c r="J509" i="1"/>
  <c r="K509" i="1" s="1"/>
  <c r="J631" i="1"/>
  <c r="K631" i="1" s="1"/>
  <c r="J753" i="1"/>
  <c r="K753" i="1" s="1"/>
  <c r="J875" i="1"/>
  <c r="K875" i="1" s="1"/>
  <c r="J22" i="1"/>
  <c r="K22" i="1" s="1"/>
  <c r="J144" i="1"/>
  <c r="K144" i="1" s="1"/>
  <c r="J266" i="1"/>
  <c r="K266" i="1" s="1"/>
  <c r="J388" i="1"/>
  <c r="K388" i="1" s="1"/>
  <c r="J510" i="1"/>
  <c r="K510" i="1" s="1"/>
  <c r="J632" i="1"/>
  <c r="K632" i="1" s="1"/>
  <c r="J754" i="1"/>
  <c r="K754" i="1" s="1"/>
  <c r="J876" i="1"/>
  <c r="K876" i="1" s="1"/>
  <c r="J23" i="1"/>
  <c r="K23" i="1" s="1"/>
  <c r="J145" i="1"/>
  <c r="K145" i="1" s="1"/>
  <c r="J267" i="1"/>
  <c r="K267" i="1" s="1"/>
  <c r="J389" i="1"/>
  <c r="K389" i="1" s="1"/>
  <c r="J511" i="1"/>
  <c r="K511" i="1" s="1"/>
  <c r="J633" i="1"/>
  <c r="K633" i="1" s="1"/>
  <c r="J755" i="1"/>
  <c r="K755" i="1" s="1"/>
  <c r="J877" i="1"/>
  <c r="K877" i="1" s="1"/>
  <c r="J24" i="1"/>
  <c r="K24" i="1" s="1"/>
  <c r="J146" i="1"/>
  <c r="K146" i="1" s="1"/>
  <c r="J268" i="1"/>
  <c r="K268" i="1" s="1"/>
  <c r="J390" i="1"/>
  <c r="K390" i="1" s="1"/>
  <c r="J512" i="1"/>
  <c r="K512" i="1" s="1"/>
  <c r="J634" i="1"/>
  <c r="K634" i="1" s="1"/>
  <c r="J756" i="1"/>
  <c r="K756" i="1" s="1"/>
  <c r="J878" i="1"/>
  <c r="K878" i="1" s="1"/>
  <c r="J25" i="1"/>
  <c r="K25" i="1" s="1"/>
  <c r="J147" i="1"/>
  <c r="K147" i="1" s="1"/>
  <c r="J269" i="1"/>
  <c r="K269" i="1" s="1"/>
  <c r="J391" i="1"/>
  <c r="K391" i="1" s="1"/>
  <c r="J513" i="1"/>
  <c r="K513" i="1" s="1"/>
  <c r="J635" i="1"/>
  <c r="K635" i="1" s="1"/>
  <c r="J757" i="1"/>
  <c r="K757" i="1" s="1"/>
  <c r="J879" i="1"/>
  <c r="K879" i="1" s="1"/>
  <c r="J26" i="1"/>
  <c r="K26" i="1" s="1"/>
  <c r="J148" i="1"/>
  <c r="K148" i="1" s="1"/>
  <c r="J270" i="1"/>
  <c r="K270" i="1" s="1"/>
  <c r="J392" i="1"/>
  <c r="K392" i="1" s="1"/>
  <c r="J514" i="1"/>
  <c r="K514" i="1" s="1"/>
  <c r="J636" i="1"/>
  <c r="K636" i="1" s="1"/>
  <c r="J758" i="1"/>
  <c r="K758" i="1" s="1"/>
  <c r="J880" i="1"/>
  <c r="K880" i="1" s="1"/>
  <c r="J27" i="1"/>
  <c r="K27" i="1" s="1"/>
  <c r="J149" i="1"/>
  <c r="K149" i="1" s="1"/>
  <c r="J271" i="1"/>
  <c r="K271" i="1" s="1"/>
  <c r="J393" i="1"/>
  <c r="K393" i="1" s="1"/>
  <c r="J515" i="1"/>
  <c r="K515" i="1" s="1"/>
  <c r="J637" i="1"/>
  <c r="K637" i="1" s="1"/>
  <c r="J759" i="1"/>
  <c r="K759" i="1" s="1"/>
  <c r="J881" i="1"/>
  <c r="K881" i="1" s="1"/>
  <c r="J28" i="1"/>
  <c r="K28" i="1" s="1"/>
  <c r="J150" i="1"/>
  <c r="K150" i="1" s="1"/>
  <c r="J272" i="1"/>
  <c r="K272" i="1" s="1"/>
  <c r="J394" i="1"/>
  <c r="K394" i="1" s="1"/>
  <c r="J516" i="1"/>
  <c r="K516" i="1" s="1"/>
  <c r="J638" i="1"/>
  <c r="K638" i="1" s="1"/>
  <c r="J760" i="1"/>
  <c r="K760" i="1" s="1"/>
  <c r="J882" i="1"/>
  <c r="K882" i="1" s="1"/>
  <c r="J29" i="1"/>
  <c r="K29" i="1" s="1"/>
  <c r="J151" i="1"/>
  <c r="K151" i="1" s="1"/>
  <c r="J273" i="1"/>
  <c r="K273" i="1" s="1"/>
  <c r="J395" i="1"/>
  <c r="K395" i="1" s="1"/>
  <c r="J517" i="1"/>
  <c r="K517" i="1" s="1"/>
  <c r="J639" i="1"/>
  <c r="K639" i="1" s="1"/>
  <c r="J761" i="1"/>
  <c r="K761" i="1" s="1"/>
  <c r="J883" i="1"/>
  <c r="K883" i="1" s="1"/>
  <c r="J30" i="1"/>
  <c r="K30" i="1" s="1"/>
  <c r="J152" i="1"/>
  <c r="K152" i="1" s="1"/>
  <c r="J274" i="1"/>
  <c r="K274" i="1" s="1"/>
  <c r="J396" i="1"/>
  <c r="K396" i="1" s="1"/>
  <c r="J518" i="1"/>
  <c r="K518" i="1" s="1"/>
  <c r="J640" i="1"/>
  <c r="K640" i="1" s="1"/>
  <c r="J762" i="1"/>
  <c r="K762" i="1" s="1"/>
  <c r="J884" i="1"/>
  <c r="K884" i="1" s="1"/>
  <c r="J31" i="1"/>
  <c r="K31" i="1" s="1"/>
  <c r="J153" i="1"/>
  <c r="K153" i="1" s="1"/>
  <c r="J275" i="1"/>
  <c r="K275" i="1" s="1"/>
  <c r="J397" i="1"/>
  <c r="K397" i="1" s="1"/>
  <c r="J519" i="1"/>
  <c r="K519" i="1" s="1"/>
  <c r="J641" i="1"/>
  <c r="K641" i="1" s="1"/>
  <c r="J763" i="1"/>
  <c r="K763" i="1" s="1"/>
  <c r="J885" i="1"/>
  <c r="K885" i="1" s="1"/>
  <c r="J32" i="1"/>
  <c r="K32" i="1" s="1"/>
  <c r="J154" i="1"/>
  <c r="K154" i="1" s="1"/>
  <c r="J276" i="1"/>
  <c r="K276" i="1" s="1"/>
  <c r="J398" i="1"/>
  <c r="K398" i="1" s="1"/>
  <c r="J520" i="1"/>
  <c r="K520" i="1" s="1"/>
  <c r="J642" i="1"/>
  <c r="K642" i="1" s="1"/>
  <c r="J764" i="1"/>
  <c r="K764" i="1" s="1"/>
  <c r="J886" i="1"/>
  <c r="K886" i="1" s="1"/>
  <c r="J33" i="1"/>
  <c r="K33" i="1" s="1"/>
  <c r="J155" i="1"/>
  <c r="K155" i="1" s="1"/>
  <c r="J277" i="1"/>
  <c r="K277" i="1" s="1"/>
  <c r="J399" i="1"/>
  <c r="K399" i="1" s="1"/>
  <c r="J521" i="1"/>
  <c r="K521" i="1" s="1"/>
  <c r="J643" i="1"/>
  <c r="K643" i="1" s="1"/>
  <c r="J765" i="1"/>
  <c r="K765" i="1" s="1"/>
  <c r="J887" i="1"/>
  <c r="K887" i="1" s="1"/>
  <c r="J34" i="1"/>
  <c r="K34" i="1" s="1"/>
  <c r="J156" i="1"/>
  <c r="K156" i="1" s="1"/>
  <c r="J278" i="1"/>
  <c r="K278" i="1" s="1"/>
  <c r="J400" i="1"/>
  <c r="K400" i="1" s="1"/>
  <c r="J522" i="1"/>
  <c r="K522" i="1" s="1"/>
  <c r="J644" i="1"/>
  <c r="K644" i="1" s="1"/>
  <c r="J766" i="1"/>
  <c r="K766" i="1" s="1"/>
  <c r="J888" i="1"/>
  <c r="K888" i="1" s="1"/>
  <c r="J35" i="1"/>
  <c r="K35" i="1" s="1"/>
  <c r="J157" i="1"/>
  <c r="K157" i="1" s="1"/>
  <c r="J279" i="1"/>
  <c r="K279" i="1" s="1"/>
  <c r="J401" i="1"/>
  <c r="K401" i="1" s="1"/>
  <c r="J523" i="1"/>
  <c r="K523" i="1" s="1"/>
  <c r="J645" i="1"/>
  <c r="K645" i="1" s="1"/>
  <c r="J767" i="1"/>
  <c r="K767" i="1" s="1"/>
  <c r="J889" i="1"/>
  <c r="K889" i="1" s="1"/>
  <c r="J36" i="1"/>
  <c r="K36" i="1" s="1"/>
  <c r="J158" i="1"/>
  <c r="K158" i="1" s="1"/>
  <c r="J280" i="1"/>
  <c r="K280" i="1" s="1"/>
  <c r="J402" i="1"/>
  <c r="K402" i="1" s="1"/>
  <c r="J524" i="1"/>
  <c r="K524" i="1" s="1"/>
  <c r="J646" i="1"/>
  <c r="K646" i="1" s="1"/>
  <c r="J768" i="1"/>
  <c r="K768" i="1" s="1"/>
  <c r="J890" i="1"/>
  <c r="K890" i="1" s="1"/>
  <c r="J37" i="1"/>
  <c r="K37" i="1" s="1"/>
  <c r="J159" i="1"/>
  <c r="K159" i="1" s="1"/>
  <c r="J281" i="1"/>
  <c r="K281" i="1" s="1"/>
  <c r="J403" i="1"/>
  <c r="K403" i="1" s="1"/>
  <c r="J525" i="1"/>
  <c r="K525" i="1" s="1"/>
  <c r="J647" i="1"/>
  <c r="K647" i="1" s="1"/>
  <c r="J769" i="1"/>
  <c r="K769" i="1" s="1"/>
  <c r="J891" i="1"/>
  <c r="K891" i="1" s="1"/>
  <c r="J38" i="1"/>
  <c r="K38" i="1" s="1"/>
  <c r="J160" i="1"/>
  <c r="K160" i="1" s="1"/>
  <c r="J282" i="1"/>
  <c r="K282" i="1" s="1"/>
  <c r="J404" i="1"/>
  <c r="K404" i="1" s="1"/>
  <c r="J526" i="1"/>
  <c r="K526" i="1" s="1"/>
  <c r="J648" i="1"/>
  <c r="K648" i="1" s="1"/>
  <c r="J770" i="1"/>
  <c r="K770" i="1" s="1"/>
  <c r="J892" i="1"/>
  <c r="K892" i="1" s="1"/>
  <c r="J39" i="1"/>
  <c r="K39" i="1" s="1"/>
  <c r="J161" i="1"/>
  <c r="K161" i="1" s="1"/>
  <c r="J283" i="1"/>
  <c r="K283" i="1" s="1"/>
  <c r="J405" i="1"/>
  <c r="K405" i="1" s="1"/>
  <c r="J527" i="1"/>
  <c r="K527" i="1" s="1"/>
  <c r="J649" i="1"/>
  <c r="K649" i="1" s="1"/>
  <c r="J771" i="1"/>
  <c r="K771" i="1" s="1"/>
  <c r="J893" i="1"/>
  <c r="K893" i="1" s="1"/>
  <c r="J40" i="1"/>
  <c r="K40" i="1" s="1"/>
  <c r="J162" i="1"/>
  <c r="K162" i="1" s="1"/>
  <c r="J284" i="1"/>
  <c r="K284" i="1" s="1"/>
  <c r="J406" i="1"/>
  <c r="K406" i="1" s="1"/>
  <c r="J528" i="1"/>
  <c r="K528" i="1" s="1"/>
  <c r="J650" i="1"/>
  <c r="K650" i="1" s="1"/>
  <c r="J772" i="1"/>
  <c r="K772" i="1" s="1"/>
  <c r="J894" i="1"/>
  <c r="K894" i="1" s="1"/>
  <c r="J41" i="1"/>
  <c r="K41" i="1" s="1"/>
  <c r="J163" i="1"/>
  <c r="K163" i="1" s="1"/>
  <c r="J285" i="1"/>
  <c r="K285" i="1" s="1"/>
  <c r="J407" i="1"/>
  <c r="K407" i="1" s="1"/>
  <c r="J529" i="1"/>
  <c r="K529" i="1" s="1"/>
  <c r="J651" i="1"/>
  <c r="K651" i="1" s="1"/>
  <c r="J773" i="1"/>
  <c r="K773" i="1" s="1"/>
  <c r="J895" i="1"/>
  <c r="K895" i="1" s="1"/>
  <c r="J42" i="1"/>
  <c r="K42" i="1" s="1"/>
  <c r="J164" i="1"/>
  <c r="K164" i="1" s="1"/>
  <c r="J286" i="1"/>
  <c r="K286" i="1" s="1"/>
  <c r="J408" i="1"/>
  <c r="K408" i="1" s="1"/>
  <c r="J530" i="1"/>
  <c r="K530" i="1" s="1"/>
  <c r="J652" i="1"/>
  <c r="K652" i="1" s="1"/>
  <c r="J774" i="1"/>
  <c r="K774" i="1" s="1"/>
  <c r="J896" i="1"/>
  <c r="K896" i="1" s="1"/>
  <c r="J43" i="1"/>
  <c r="K43" i="1" s="1"/>
  <c r="J165" i="1"/>
  <c r="K165" i="1" s="1"/>
  <c r="J287" i="1"/>
  <c r="K287" i="1" s="1"/>
  <c r="J409" i="1"/>
  <c r="K409" i="1" s="1"/>
  <c r="J531" i="1"/>
  <c r="K531" i="1" s="1"/>
  <c r="J653" i="1"/>
  <c r="K653" i="1" s="1"/>
  <c r="J775" i="1"/>
  <c r="K775" i="1" s="1"/>
  <c r="J897" i="1"/>
  <c r="K897" i="1" s="1"/>
  <c r="J44" i="1"/>
  <c r="K44" i="1" s="1"/>
  <c r="J166" i="1"/>
  <c r="K166" i="1" s="1"/>
  <c r="J288" i="1"/>
  <c r="K288" i="1" s="1"/>
  <c r="J410" i="1"/>
  <c r="K410" i="1" s="1"/>
  <c r="J532" i="1"/>
  <c r="K532" i="1" s="1"/>
  <c r="J654" i="1"/>
  <c r="K654" i="1" s="1"/>
  <c r="J776" i="1"/>
  <c r="K776" i="1" s="1"/>
  <c r="J898" i="1"/>
  <c r="K898" i="1" s="1"/>
  <c r="J45" i="1"/>
  <c r="K45" i="1" s="1"/>
  <c r="J167" i="1"/>
  <c r="K167" i="1" s="1"/>
  <c r="J289" i="1"/>
  <c r="K289" i="1" s="1"/>
  <c r="J411" i="1"/>
  <c r="K411" i="1" s="1"/>
  <c r="J533" i="1"/>
  <c r="K533" i="1" s="1"/>
  <c r="J655" i="1"/>
  <c r="K655" i="1" s="1"/>
  <c r="J777" i="1"/>
  <c r="K777" i="1" s="1"/>
  <c r="J899" i="1"/>
  <c r="K899" i="1" s="1"/>
  <c r="J46" i="1"/>
  <c r="K46" i="1" s="1"/>
  <c r="J168" i="1"/>
  <c r="K168" i="1" s="1"/>
  <c r="J290" i="1"/>
  <c r="K290" i="1" s="1"/>
  <c r="J412" i="1"/>
  <c r="K412" i="1" s="1"/>
  <c r="J534" i="1"/>
  <c r="K534" i="1" s="1"/>
  <c r="J656" i="1"/>
  <c r="K656" i="1" s="1"/>
  <c r="J778" i="1"/>
  <c r="K778" i="1" s="1"/>
  <c r="J900" i="1"/>
  <c r="K900" i="1" s="1"/>
  <c r="J47" i="1"/>
  <c r="K47" i="1" s="1"/>
  <c r="J169" i="1"/>
  <c r="K169" i="1" s="1"/>
  <c r="J291" i="1"/>
  <c r="K291" i="1" s="1"/>
  <c r="J413" i="1"/>
  <c r="K413" i="1" s="1"/>
  <c r="J535" i="1"/>
  <c r="K535" i="1" s="1"/>
  <c r="J657" i="1"/>
  <c r="K657" i="1" s="1"/>
  <c r="J779" i="1"/>
  <c r="K779" i="1" s="1"/>
  <c r="J901" i="1"/>
  <c r="K901" i="1" s="1"/>
  <c r="J48" i="1"/>
  <c r="K48" i="1" s="1"/>
  <c r="J170" i="1"/>
  <c r="K170" i="1" s="1"/>
  <c r="J292" i="1"/>
  <c r="K292" i="1" s="1"/>
  <c r="J414" i="1"/>
  <c r="K414" i="1" s="1"/>
  <c r="J536" i="1"/>
  <c r="K536" i="1" s="1"/>
  <c r="J658" i="1"/>
  <c r="K658" i="1" s="1"/>
  <c r="J780" i="1"/>
  <c r="K780" i="1" s="1"/>
  <c r="J902" i="1"/>
  <c r="K902" i="1" s="1"/>
  <c r="J49" i="1"/>
  <c r="K49" i="1" s="1"/>
  <c r="J171" i="1"/>
  <c r="K171" i="1" s="1"/>
  <c r="J293" i="1"/>
  <c r="K293" i="1" s="1"/>
  <c r="J415" i="1"/>
  <c r="K415" i="1" s="1"/>
  <c r="J537" i="1"/>
  <c r="K537" i="1" s="1"/>
  <c r="J659" i="1"/>
  <c r="K659" i="1" s="1"/>
  <c r="J781" i="1"/>
  <c r="K781" i="1" s="1"/>
  <c r="J903" i="1"/>
  <c r="K903" i="1" s="1"/>
  <c r="J50" i="1"/>
  <c r="K50" i="1" s="1"/>
  <c r="J172" i="1"/>
  <c r="K172" i="1" s="1"/>
  <c r="J294" i="1"/>
  <c r="K294" i="1" s="1"/>
  <c r="J416" i="1"/>
  <c r="K416" i="1" s="1"/>
  <c r="J538" i="1"/>
  <c r="K538" i="1" s="1"/>
  <c r="J660" i="1"/>
  <c r="K660" i="1" s="1"/>
  <c r="J782" i="1"/>
  <c r="K782" i="1" s="1"/>
  <c r="J904" i="1"/>
  <c r="K904" i="1" s="1"/>
  <c r="J51" i="1"/>
  <c r="K51" i="1" s="1"/>
  <c r="J173" i="1"/>
  <c r="K173" i="1" s="1"/>
  <c r="J295" i="1"/>
  <c r="K295" i="1" s="1"/>
  <c r="J417" i="1"/>
  <c r="K417" i="1" s="1"/>
  <c r="J539" i="1"/>
  <c r="K539" i="1" s="1"/>
  <c r="J661" i="1"/>
  <c r="K661" i="1" s="1"/>
  <c r="J783" i="1"/>
  <c r="K783" i="1" s="1"/>
  <c r="J905" i="1"/>
  <c r="K905" i="1" s="1"/>
  <c r="J52" i="1"/>
  <c r="K52" i="1" s="1"/>
  <c r="J174" i="1"/>
  <c r="K174" i="1" s="1"/>
  <c r="J296" i="1"/>
  <c r="K296" i="1" s="1"/>
  <c r="J418" i="1"/>
  <c r="K418" i="1" s="1"/>
  <c r="J540" i="1"/>
  <c r="K540" i="1" s="1"/>
  <c r="J662" i="1"/>
  <c r="K662" i="1" s="1"/>
  <c r="J784" i="1"/>
  <c r="K784" i="1" s="1"/>
  <c r="J906" i="1"/>
  <c r="K906" i="1" s="1"/>
  <c r="J53" i="1"/>
  <c r="K53" i="1" s="1"/>
  <c r="J175" i="1"/>
  <c r="K175" i="1" s="1"/>
  <c r="J297" i="1"/>
  <c r="K297" i="1" s="1"/>
  <c r="J419" i="1"/>
  <c r="K419" i="1" s="1"/>
  <c r="J541" i="1"/>
  <c r="K541" i="1" s="1"/>
  <c r="J663" i="1"/>
  <c r="K663" i="1" s="1"/>
  <c r="J785" i="1"/>
  <c r="K785" i="1" s="1"/>
  <c r="J907" i="1"/>
  <c r="K907" i="1" s="1"/>
  <c r="J54" i="1"/>
  <c r="K54" i="1" s="1"/>
  <c r="J176" i="1"/>
  <c r="K176" i="1" s="1"/>
  <c r="J298" i="1"/>
  <c r="K298" i="1" s="1"/>
  <c r="J420" i="1"/>
  <c r="K420" i="1" s="1"/>
  <c r="J542" i="1"/>
  <c r="K542" i="1" s="1"/>
  <c r="J664" i="1"/>
  <c r="K664" i="1" s="1"/>
  <c r="J786" i="1"/>
  <c r="K786" i="1" s="1"/>
  <c r="J908" i="1"/>
  <c r="K908" i="1" s="1"/>
  <c r="J55" i="1"/>
  <c r="K55" i="1" s="1"/>
  <c r="J177" i="1"/>
  <c r="K177" i="1" s="1"/>
  <c r="J299" i="1"/>
  <c r="K299" i="1" s="1"/>
  <c r="J421" i="1"/>
  <c r="K421" i="1" s="1"/>
  <c r="J543" i="1"/>
  <c r="K543" i="1" s="1"/>
  <c r="J665" i="1"/>
  <c r="K665" i="1" s="1"/>
  <c r="J787" i="1"/>
  <c r="K787" i="1" s="1"/>
  <c r="J909" i="1"/>
  <c r="K909" i="1" s="1"/>
  <c r="J56" i="1"/>
  <c r="K56" i="1" s="1"/>
  <c r="J178" i="1"/>
  <c r="K178" i="1" s="1"/>
  <c r="J300" i="1"/>
  <c r="K300" i="1" s="1"/>
  <c r="J422" i="1"/>
  <c r="K422" i="1" s="1"/>
  <c r="J544" i="1"/>
  <c r="K544" i="1" s="1"/>
  <c r="J666" i="1"/>
  <c r="K666" i="1" s="1"/>
  <c r="J788" i="1"/>
  <c r="K788" i="1" s="1"/>
  <c r="J910" i="1"/>
  <c r="K910" i="1" s="1"/>
  <c r="J57" i="1"/>
  <c r="K57" i="1" s="1"/>
  <c r="J179" i="1"/>
  <c r="K179" i="1" s="1"/>
  <c r="J301" i="1"/>
  <c r="K301" i="1" s="1"/>
  <c r="J423" i="1"/>
  <c r="K423" i="1" s="1"/>
  <c r="J545" i="1"/>
  <c r="K545" i="1" s="1"/>
  <c r="J667" i="1"/>
  <c r="K667" i="1" s="1"/>
  <c r="J789" i="1"/>
  <c r="K789" i="1" s="1"/>
  <c r="J911" i="1"/>
  <c r="K911" i="1" s="1"/>
  <c r="J58" i="1"/>
  <c r="K58" i="1" s="1"/>
  <c r="J180" i="1"/>
  <c r="K180" i="1" s="1"/>
  <c r="J302" i="1"/>
  <c r="K302" i="1" s="1"/>
  <c r="J424" i="1"/>
  <c r="K424" i="1" s="1"/>
  <c r="J546" i="1"/>
  <c r="K546" i="1" s="1"/>
  <c r="J668" i="1"/>
  <c r="K668" i="1" s="1"/>
  <c r="J790" i="1"/>
  <c r="K790" i="1" s="1"/>
  <c r="J912" i="1"/>
  <c r="K912" i="1" s="1"/>
  <c r="J59" i="1"/>
  <c r="K59" i="1" s="1"/>
  <c r="J181" i="1"/>
  <c r="K181" i="1" s="1"/>
  <c r="J303" i="1"/>
  <c r="K303" i="1" s="1"/>
  <c r="J425" i="1"/>
  <c r="K425" i="1" s="1"/>
  <c r="J547" i="1"/>
  <c r="K547" i="1" s="1"/>
  <c r="J669" i="1"/>
  <c r="K669" i="1" s="1"/>
  <c r="J791" i="1"/>
  <c r="K791" i="1" s="1"/>
  <c r="J913" i="1"/>
  <c r="K913" i="1" s="1"/>
  <c r="J60" i="1"/>
  <c r="K60" i="1" s="1"/>
  <c r="J182" i="1"/>
  <c r="K182" i="1" s="1"/>
  <c r="J304" i="1"/>
  <c r="K304" i="1" s="1"/>
  <c r="J426" i="1"/>
  <c r="K426" i="1" s="1"/>
  <c r="J548" i="1"/>
  <c r="K548" i="1" s="1"/>
  <c r="J670" i="1"/>
  <c r="K670" i="1" s="1"/>
  <c r="J792" i="1"/>
  <c r="K792" i="1" s="1"/>
  <c r="J914" i="1"/>
  <c r="K914" i="1" s="1"/>
  <c r="J61" i="1"/>
  <c r="K61" i="1" s="1"/>
  <c r="J183" i="1"/>
  <c r="K183" i="1" s="1"/>
  <c r="J305" i="1"/>
  <c r="K305" i="1" s="1"/>
  <c r="J427" i="1"/>
  <c r="K427" i="1" s="1"/>
  <c r="J549" i="1"/>
  <c r="K549" i="1" s="1"/>
  <c r="J671" i="1"/>
  <c r="K671" i="1" s="1"/>
  <c r="J793" i="1"/>
  <c r="K793" i="1" s="1"/>
  <c r="J915" i="1"/>
  <c r="K915" i="1" s="1"/>
  <c r="J62" i="1"/>
  <c r="K62" i="1" s="1"/>
  <c r="J184" i="1"/>
  <c r="K184" i="1" s="1"/>
  <c r="J306" i="1"/>
  <c r="K306" i="1" s="1"/>
  <c r="J428" i="1"/>
  <c r="K428" i="1" s="1"/>
  <c r="J550" i="1"/>
  <c r="K550" i="1" s="1"/>
  <c r="J672" i="1"/>
  <c r="K672" i="1" s="1"/>
  <c r="J794" i="1"/>
  <c r="K794" i="1" s="1"/>
  <c r="J916" i="1"/>
  <c r="K916" i="1" s="1"/>
  <c r="J63" i="1"/>
  <c r="K63" i="1" s="1"/>
  <c r="J185" i="1"/>
  <c r="K185" i="1" s="1"/>
  <c r="J307" i="1"/>
  <c r="K307" i="1" s="1"/>
  <c r="J429" i="1"/>
  <c r="K429" i="1" s="1"/>
  <c r="J551" i="1"/>
  <c r="K551" i="1" s="1"/>
  <c r="J673" i="1"/>
  <c r="K673" i="1" s="1"/>
  <c r="J795" i="1"/>
  <c r="K795" i="1" s="1"/>
  <c r="J917" i="1"/>
  <c r="K917" i="1" s="1"/>
  <c r="J64" i="1"/>
  <c r="K64" i="1" s="1"/>
  <c r="J186" i="1"/>
  <c r="K186" i="1" s="1"/>
  <c r="J308" i="1"/>
  <c r="K308" i="1" s="1"/>
  <c r="J430" i="1"/>
  <c r="K430" i="1" s="1"/>
  <c r="J552" i="1"/>
  <c r="K552" i="1" s="1"/>
  <c r="J674" i="1"/>
  <c r="K674" i="1" s="1"/>
  <c r="J796" i="1"/>
  <c r="K796" i="1" s="1"/>
  <c r="J918" i="1"/>
  <c r="K918" i="1" s="1"/>
  <c r="J65" i="1"/>
  <c r="K65" i="1" s="1"/>
  <c r="J187" i="1"/>
  <c r="K187" i="1" s="1"/>
  <c r="J309" i="1"/>
  <c r="K309" i="1" s="1"/>
  <c r="J431" i="1"/>
  <c r="K431" i="1" s="1"/>
  <c r="J553" i="1"/>
  <c r="K553" i="1" s="1"/>
  <c r="J675" i="1"/>
  <c r="K675" i="1" s="1"/>
  <c r="J797" i="1"/>
  <c r="K797" i="1" s="1"/>
  <c r="J919" i="1"/>
  <c r="K919" i="1" s="1"/>
  <c r="J66" i="1"/>
  <c r="K66" i="1" s="1"/>
  <c r="J188" i="1"/>
  <c r="K188" i="1" s="1"/>
  <c r="J310" i="1"/>
  <c r="K310" i="1" s="1"/>
  <c r="J432" i="1"/>
  <c r="K432" i="1" s="1"/>
  <c r="J554" i="1"/>
  <c r="K554" i="1" s="1"/>
  <c r="J676" i="1"/>
  <c r="K676" i="1" s="1"/>
  <c r="J798" i="1"/>
  <c r="K798" i="1" s="1"/>
  <c r="J920" i="1"/>
  <c r="K920" i="1" s="1"/>
  <c r="J67" i="1"/>
  <c r="K67" i="1" s="1"/>
  <c r="J189" i="1"/>
  <c r="K189" i="1" s="1"/>
  <c r="J311" i="1"/>
  <c r="K311" i="1" s="1"/>
  <c r="J433" i="1"/>
  <c r="K433" i="1" s="1"/>
  <c r="J555" i="1"/>
  <c r="K555" i="1" s="1"/>
  <c r="J677" i="1"/>
  <c r="K677" i="1" s="1"/>
  <c r="J799" i="1"/>
  <c r="K799" i="1" s="1"/>
  <c r="J921" i="1"/>
  <c r="K921" i="1" s="1"/>
  <c r="J68" i="1"/>
  <c r="K68" i="1" s="1"/>
  <c r="J190" i="1"/>
  <c r="K190" i="1" s="1"/>
  <c r="J312" i="1"/>
  <c r="K312" i="1" s="1"/>
  <c r="J434" i="1"/>
  <c r="K434" i="1" s="1"/>
  <c r="J556" i="1"/>
  <c r="K556" i="1" s="1"/>
  <c r="J678" i="1"/>
  <c r="K678" i="1" s="1"/>
  <c r="J800" i="1"/>
  <c r="K800" i="1" s="1"/>
  <c r="J922" i="1"/>
  <c r="K922" i="1" s="1"/>
  <c r="J69" i="1"/>
  <c r="K69" i="1" s="1"/>
  <c r="J191" i="1"/>
  <c r="K191" i="1" s="1"/>
  <c r="J313" i="1"/>
  <c r="K313" i="1" s="1"/>
  <c r="J435" i="1"/>
  <c r="K435" i="1" s="1"/>
  <c r="J557" i="1"/>
  <c r="K557" i="1" s="1"/>
  <c r="J679" i="1"/>
  <c r="K679" i="1" s="1"/>
  <c r="J801" i="1"/>
  <c r="K801" i="1" s="1"/>
  <c r="J923" i="1"/>
  <c r="K923" i="1" s="1"/>
  <c r="J70" i="1"/>
  <c r="K70" i="1" s="1"/>
  <c r="J192" i="1"/>
  <c r="K192" i="1" s="1"/>
  <c r="J314" i="1"/>
  <c r="K314" i="1" s="1"/>
  <c r="J436" i="1"/>
  <c r="K436" i="1" s="1"/>
  <c r="J558" i="1"/>
  <c r="K558" i="1" s="1"/>
  <c r="J680" i="1"/>
  <c r="K680" i="1" s="1"/>
  <c r="J802" i="1"/>
  <c r="K802" i="1" s="1"/>
  <c r="J924" i="1"/>
  <c r="K924" i="1" s="1"/>
  <c r="J71" i="1"/>
  <c r="K71" i="1" s="1"/>
  <c r="J193" i="1"/>
  <c r="K193" i="1" s="1"/>
  <c r="J315" i="1"/>
  <c r="K315" i="1" s="1"/>
  <c r="J437" i="1"/>
  <c r="K437" i="1" s="1"/>
  <c r="J559" i="1"/>
  <c r="K559" i="1" s="1"/>
  <c r="J681" i="1"/>
  <c r="K681" i="1" s="1"/>
  <c r="J803" i="1"/>
  <c r="K803" i="1" s="1"/>
  <c r="J925" i="1"/>
  <c r="K925" i="1" s="1"/>
  <c r="J72" i="1"/>
  <c r="K72" i="1" s="1"/>
  <c r="J194" i="1"/>
  <c r="K194" i="1" s="1"/>
  <c r="J316" i="1"/>
  <c r="K316" i="1" s="1"/>
  <c r="J438" i="1"/>
  <c r="K438" i="1" s="1"/>
  <c r="J560" i="1"/>
  <c r="K560" i="1" s="1"/>
  <c r="J682" i="1"/>
  <c r="K682" i="1" s="1"/>
  <c r="J804" i="1"/>
  <c r="K804" i="1" s="1"/>
  <c r="J926" i="1"/>
  <c r="K926" i="1" s="1"/>
  <c r="J73" i="1"/>
  <c r="K73" i="1" s="1"/>
  <c r="J195" i="1"/>
  <c r="K195" i="1" s="1"/>
  <c r="J317" i="1"/>
  <c r="K317" i="1" s="1"/>
  <c r="J439" i="1"/>
  <c r="K439" i="1" s="1"/>
  <c r="J561" i="1"/>
  <c r="K561" i="1" s="1"/>
  <c r="J683" i="1"/>
  <c r="K683" i="1" s="1"/>
  <c r="J805" i="1"/>
  <c r="K805" i="1" s="1"/>
  <c r="J927" i="1"/>
  <c r="K927" i="1" s="1"/>
  <c r="J74" i="1"/>
  <c r="K74" i="1" s="1"/>
  <c r="J196" i="1"/>
  <c r="K196" i="1" s="1"/>
  <c r="J318" i="1"/>
  <c r="K318" i="1" s="1"/>
  <c r="J440" i="1"/>
  <c r="K440" i="1" s="1"/>
  <c r="J562" i="1"/>
  <c r="K562" i="1" s="1"/>
  <c r="J684" i="1"/>
  <c r="K684" i="1" s="1"/>
  <c r="J806" i="1"/>
  <c r="K806" i="1" s="1"/>
  <c r="J928" i="1"/>
  <c r="K928" i="1" s="1"/>
  <c r="J75" i="1"/>
  <c r="K75" i="1" s="1"/>
  <c r="J197" i="1"/>
  <c r="K197" i="1" s="1"/>
  <c r="J319" i="1"/>
  <c r="K319" i="1" s="1"/>
  <c r="J441" i="1"/>
  <c r="K441" i="1" s="1"/>
  <c r="J563" i="1"/>
  <c r="K563" i="1" s="1"/>
  <c r="J685" i="1"/>
  <c r="K685" i="1" s="1"/>
  <c r="J807" i="1"/>
  <c r="K807" i="1" s="1"/>
  <c r="J929" i="1"/>
  <c r="K929" i="1" s="1"/>
  <c r="J76" i="1"/>
  <c r="K76" i="1" s="1"/>
  <c r="J198" i="1"/>
  <c r="K198" i="1" s="1"/>
  <c r="J320" i="1"/>
  <c r="K320" i="1" s="1"/>
  <c r="J442" i="1"/>
  <c r="K442" i="1" s="1"/>
  <c r="J564" i="1"/>
  <c r="K564" i="1" s="1"/>
  <c r="J686" i="1"/>
  <c r="K686" i="1" s="1"/>
  <c r="J808" i="1"/>
  <c r="K808" i="1" s="1"/>
  <c r="J930" i="1"/>
  <c r="K930" i="1" s="1"/>
  <c r="J77" i="1"/>
  <c r="K77" i="1" s="1"/>
  <c r="J199" i="1"/>
  <c r="K199" i="1" s="1"/>
  <c r="J321" i="1"/>
  <c r="K321" i="1" s="1"/>
  <c r="J443" i="1"/>
  <c r="K443" i="1" s="1"/>
  <c r="J565" i="1"/>
  <c r="K565" i="1" s="1"/>
  <c r="J687" i="1"/>
  <c r="K687" i="1" s="1"/>
  <c r="J809" i="1"/>
  <c r="K809" i="1" s="1"/>
  <c r="J931" i="1"/>
  <c r="K931" i="1" s="1"/>
  <c r="J78" i="1"/>
  <c r="K78" i="1" s="1"/>
  <c r="J200" i="1"/>
  <c r="K200" i="1" s="1"/>
  <c r="J322" i="1"/>
  <c r="K322" i="1" s="1"/>
  <c r="J444" i="1"/>
  <c r="K444" i="1" s="1"/>
  <c r="J566" i="1"/>
  <c r="K566" i="1" s="1"/>
  <c r="J688" i="1"/>
  <c r="K688" i="1" s="1"/>
  <c r="J810" i="1"/>
  <c r="K810" i="1" s="1"/>
  <c r="J932" i="1"/>
  <c r="K932" i="1" s="1"/>
  <c r="J79" i="1"/>
  <c r="K79" i="1" s="1"/>
  <c r="J201" i="1"/>
  <c r="K201" i="1" s="1"/>
  <c r="J323" i="1"/>
  <c r="K323" i="1" s="1"/>
  <c r="J445" i="1"/>
  <c r="K445" i="1" s="1"/>
  <c r="J567" i="1"/>
  <c r="K567" i="1" s="1"/>
  <c r="J689" i="1"/>
  <c r="K689" i="1" s="1"/>
  <c r="J811" i="1"/>
  <c r="K811" i="1" s="1"/>
  <c r="J933" i="1"/>
  <c r="K933" i="1" s="1"/>
  <c r="J80" i="1"/>
  <c r="K80" i="1" s="1"/>
  <c r="J202" i="1"/>
  <c r="K202" i="1" s="1"/>
  <c r="J324" i="1"/>
  <c r="K324" i="1" s="1"/>
  <c r="J446" i="1"/>
  <c r="K446" i="1" s="1"/>
  <c r="J568" i="1"/>
  <c r="K568" i="1" s="1"/>
  <c r="J690" i="1"/>
  <c r="K690" i="1" s="1"/>
  <c r="J812" i="1"/>
  <c r="K812" i="1" s="1"/>
  <c r="J934" i="1"/>
  <c r="K934" i="1" s="1"/>
  <c r="J81" i="1"/>
  <c r="K81" i="1" s="1"/>
  <c r="J203" i="1"/>
  <c r="K203" i="1" s="1"/>
  <c r="J325" i="1"/>
  <c r="K325" i="1" s="1"/>
  <c r="J447" i="1"/>
  <c r="K447" i="1" s="1"/>
  <c r="J569" i="1"/>
  <c r="K569" i="1" s="1"/>
  <c r="J691" i="1"/>
  <c r="K691" i="1" s="1"/>
  <c r="J813" i="1"/>
  <c r="K813" i="1" s="1"/>
  <c r="J935" i="1"/>
  <c r="K935" i="1" s="1"/>
  <c r="J82" i="1"/>
  <c r="K82" i="1" s="1"/>
  <c r="J204" i="1"/>
  <c r="K204" i="1" s="1"/>
  <c r="J326" i="1"/>
  <c r="K326" i="1" s="1"/>
  <c r="J448" i="1"/>
  <c r="K448" i="1" s="1"/>
  <c r="J570" i="1"/>
  <c r="K570" i="1" s="1"/>
  <c r="J692" i="1"/>
  <c r="K692" i="1" s="1"/>
  <c r="J814" i="1"/>
  <c r="K814" i="1" s="1"/>
  <c r="J936" i="1"/>
  <c r="K936" i="1" s="1"/>
  <c r="J83" i="1"/>
  <c r="K83" i="1" s="1"/>
  <c r="J205" i="1"/>
  <c r="K205" i="1" s="1"/>
  <c r="J327" i="1"/>
  <c r="K327" i="1" s="1"/>
  <c r="J449" i="1"/>
  <c r="K449" i="1" s="1"/>
  <c r="J571" i="1"/>
  <c r="K571" i="1" s="1"/>
  <c r="J693" i="1"/>
  <c r="K693" i="1" s="1"/>
  <c r="J815" i="1"/>
  <c r="K815" i="1" s="1"/>
  <c r="J937" i="1"/>
  <c r="K937" i="1" s="1"/>
  <c r="J84" i="1"/>
  <c r="K84" i="1" s="1"/>
  <c r="J206" i="1"/>
  <c r="K206" i="1" s="1"/>
  <c r="J328" i="1"/>
  <c r="K328" i="1" s="1"/>
  <c r="J450" i="1"/>
  <c r="K450" i="1" s="1"/>
  <c r="J572" i="1"/>
  <c r="K572" i="1" s="1"/>
  <c r="J694" i="1"/>
  <c r="K694" i="1" s="1"/>
  <c r="J816" i="1"/>
  <c r="K816" i="1" s="1"/>
  <c r="J938" i="1"/>
  <c r="K938" i="1" s="1"/>
  <c r="J85" i="1"/>
  <c r="K85" i="1" s="1"/>
  <c r="J207" i="1"/>
  <c r="K207" i="1" s="1"/>
  <c r="J329" i="1"/>
  <c r="K329" i="1" s="1"/>
  <c r="J451" i="1"/>
  <c r="K451" i="1" s="1"/>
  <c r="J573" i="1"/>
  <c r="K573" i="1" s="1"/>
  <c r="J695" i="1"/>
  <c r="K695" i="1" s="1"/>
  <c r="J817" i="1"/>
  <c r="K817" i="1" s="1"/>
  <c r="J939" i="1"/>
  <c r="K939" i="1" s="1"/>
  <c r="J86" i="1"/>
  <c r="K86" i="1" s="1"/>
  <c r="J208" i="1"/>
  <c r="K208" i="1" s="1"/>
  <c r="J330" i="1"/>
  <c r="K330" i="1" s="1"/>
  <c r="J452" i="1"/>
  <c r="K452" i="1" s="1"/>
  <c r="J574" i="1"/>
  <c r="K574" i="1" s="1"/>
  <c r="J696" i="1"/>
  <c r="K696" i="1" s="1"/>
  <c r="J818" i="1"/>
  <c r="K818" i="1" s="1"/>
  <c r="J940" i="1"/>
  <c r="K940" i="1" s="1"/>
  <c r="J87" i="1"/>
  <c r="K87" i="1" s="1"/>
  <c r="J209" i="1"/>
  <c r="K209" i="1" s="1"/>
  <c r="J331" i="1"/>
  <c r="K331" i="1" s="1"/>
  <c r="J453" i="1"/>
  <c r="K453" i="1" s="1"/>
  <c r="J575" i="1"/>
  <c r="K575" i="1" s="1"/>
  <c r="J697" i="1"/>
  <c r="K697" i="1" s="1"/>
  <c r="J819" i="1"/>
  <c r="K819" i="1" s="1"/>
  <c r="J941" i="1"/>
  <c r="K941" i="1" s="1"/>
  <c r="J88" i="1"/>
  <c r="K88" i="1" s="1"/>
  <c r="J210" i="1"/>
  <c r="K210" i="1" s="1"/>
  <c r="J332" i="1"/>
  <c r="K332" i="1" s="1"/>
  <c r="J454" i="1"/>
  <c r="K454" i="1" s="1"/>
  <c r="J576" i="1"/>
  <c r="K576" i="1" s="1"/>
  <c r="J698" i="1"/>
  <c r="K698" i="1" s="1"/>
  <c r="J820" i="1"/>
  <c r="K820" i="1" s="1"/>
  <c r="J942" i="1"/>
  <c r="K942" i="1" s="1"/>
  <c r="J89" i="1"/>
  <c r="K89" i="1" s="1"/>
  <c r="J211" i="1"/>
  <c r="K211" i="1" s="1"/>
  <c r="J333" i="1"/>
  <c r="K333" i="1" s="1"/>
  <c r="J455" i="1"/>
  <c r="K455" i="1" s="1"/>
  <c r="J577" i="1"/>
  <c r="K577" i="1" s="1"/>
  <c r="J699" i="1"/>
  <c r="K699" i="1" s="1"/>
  <c r="J821" i="1"/>
  <c r="K821" i="1" s="1"/>
  <c r="J943" i="1"/>
  <c r="K943" i="1" s="1"/>
  <c r="J90" i="1"/>
  <c r="K90" i="1" s="1"/>
  <c r="J212" i="1"/>
  <c r="K212" i="1" s="1"/>
  <c r="J334" i="1"/>
  <c r="K334" i="1" s="1"/>
  <c r="J456" i="1"/>
  <c r="K456" i="1" s="1"/>
  <c r="J578" i="1"/>
  <c r="K578" i="1" s="1"/>
  <c r="J700" i="1"/>
  <c r="K700" i="1" s="1"/>
  <c r="J822" i="1"/>
  <c r="K822" i="1" s="1"/>
  <c r="J944" i="1"/>
  <c r="K944" i="1" s="1"/>
  <c r="J91" i="1"/>
  <c r="K91" i="1" s="1"/>
  <c r="J213" i="1"/>
  <c r="K213" i="1" s="1"/>
  <c r="J335" i="1"/>
  <c r="K335" i="1" s="1"/>
  <c r="J457" i="1"/>
  <c r="K457" i="1" s="1"/>
  <c r="J579" i="1"/>
  <c r="K579" i="1" s="1"/>
  <c r="J701" i="1"/>
  <c r="K701" i="1" s="1"/>
  <c r="J823" i="1"/>
  <c r="K823" i="1" s="1"/>
  <c r="J945" i="1"/>
  <c r="K945" i="1" s="1"/>
  <c r="J92" i="1"/>
  <c r="K92" i="1" s="1"/>
  <c r="J214" i="1"/>
  <c r="K214" i="1" s="1"/>
  <c r="J336" i="1"/>
  <c r="K336" i="1" s="1"/>
  <c r="J458" i="1"/>
  <c r="K458" i="1" s="1"/>
  <c r="J580" i="1"/>
  <c r="K580" i="1" s="1"/>
  <c r="J702" i="1"/>
  <c r="K702" i="1" s="1"/>
  <c r="J824" i="1"/>
  <c r="K824" i="1" s="1"/>
  <c r="J946" i="1"/>
  <c r="K946" i="1" s="1"/>
  <c r="J93" i="1"/>
  <c r="K93" i="1" s="1"/>
  <c r="J215" i="1"/>
  <c r="K215" i="1" s="1"/>
  <c r="J337" i="1"/>
  <c r="K337" i="1" s="1"/>
  <c r="J459" i="1"/>
  <c r="K459" i="1" s="1"/>
  <c r="J581" i="1"/>
  <c r="K581" i="1" s="1"/>
  <c r="J703" i="1"/>
  <c r="K703" i="1" s="1"/>
  <c r="J825" i="1"/>
  <c r="K825" i="1" s="1"/>
  <c r="J947" i="1"/>
  <c r="K947" i="1" s="1"/>
  <c r="J94" i="1"/>
  <c r="K94" i="1" s="1"/>
  <c r="J216" i="1"/>
  <c r="K216" i="1" s="1"/>
  <c r="J338" i="1"/>
  <c r="K338" i="1" s="1"/>
  <c r="J460" i="1"/>
  <c r="K460" i="1" s="1"/>
  <c r="J582" i="1"/>
  <c r="K582" i="1" s="1"/>
  <c r="J704" i="1"/>
  <c r="K704" i="1" s="1"/>
  <c r="J826" i="1"/>
  <c r="K826" i="1" s="1"/>
  <c r="J948" i="1"/>
  <c r="K948" i="1" s="1"/>
  <c r="J95" i="1"/>
  <c r="K95" i="1" s="1"/>
  <c r="J217" i="1"/>
  <c r="K217" i="1" s="1"/>
  <c r="J339" i="1"/>
  <c r="K339" i="1" s="1"/>
  <c r="J461" i="1"/>
  <c r="K461" i="1" s="1"/>
  <c r="J583" i="1"/>
  <c r="K583" i="1" s="1"/>
  <c r="J705" i="1"/>
  <c r="K705" i="1" s="1"/>
  <c r="J827" i="1"/>
  <c r="K827" i="1" s="1"/>
  <c r="J949" i="1"/>
  <c r="K949" i="1" s="1"/>
  <c r="J96" i="1"/>
  <c r="K96" i="1" s="1"/>
  <c r="J218" i="1"/>
  <c r="K218" i="1" s="1"/>
  <c r="J340" i="1"/>
  <c r="K340" i="1" s="1"/>
  <c r="J462" i="1"/>
  <c r="K462" i="1" s="1"/>
  <c r="J584" i="1"/>
  <c r="K584" i="1" s="1"/>
  <c r="J706" i="1"/>
  <c r="K706" i="1" s="1"/>
  <c r="J828" i="1"/>
  <c r="K828" i="1" s="1"/>
  <c r="J950" i="1"/>
  <c r="K950" i="1" s="1"/>
  <c r="J97" i="1"/>
  <c r="K97" i="1" s="1"/>
  <c r="J219" i="1"/>
  <c r="K219" i="1" s="1"/>
  <c r="J341" i="1"/>
  <c r="K341" i="1" s="1"/>
  <c r="J463" i="1"/>
  <c r="K463" i="1" s="1"/>
  <c r="J585" i="1"/>
  <c r="K585" i="1" s="1"/>
  <c r="J707" i="1"/>
  <c r="K707" i="1" s="1"/>
  <c r="J829" i="1"/>
  <c r="K829" i="1" s="1"/>
  <c r="J951" i="1"/>
  <c r="K951" i="1" s="1"/>
  <c r="J98" i="1"/>
  <c r="K98" i="1" s="1"/>
  <c r="J220" i="1"/>
  <c r="K220" i="1" s="1"/>
  <c r="J342" i="1"/>
  <c r="K342" i="1" s="1"/>
  <c r="J464" i="1"/>
  <c r="K464" i="1" s="1"/>
  <c r="J586" i="1"/>
  <c r="K586" i="1" s="1"/>
  <c r="J708" i="1"/>
  <c r="K708" i="1" s="1"/>
  <c r="J830" i="1"/>
  <c r="K830" i="1" s="1"/>
  <c r="J952" i="1"/>
  <c r="K952" i="1" s="1"/>
  <c r="J99" i="1"/>
  <c r="K99" i="1" s="1"/>
  <c r="J221" i="1"/>
  <c r="K221" i="1" s="1"/>
  <c r="J343" i="1"/>
  <c r="K343" i="1" s="1"/>
  <c r="J465" i="1"/>
  <c r="K465" i="1" s="1"/>
  <c r="J587" i="1"/>
  <c r="K587" i="1" s="1"/>
  <c r="J709" i="1"/>
  <c r="K709" i="1" s="1"/>
  <c r="J831" i="1"/>
  <c r="K831" i="1" s="1"/>
  <c r="J953" i="1"/>
  <c r="K953" i="1" s="1"/>
  <c r="J100" i="1"/>
  <c r="K100" i="1" s="1"/>
  <c r="J222" i="1"/>
  <c r="K222" i="1" s="1"/>
  <c r="J344" i="1"/>
  <c r="K344" i="1" s="1"/>
  <c r="J466" i="1"/>
  <c r="K466" i="1" s="1"/>
  <c r="J588" i="1"/>
  <c r="K588" i="1" s="1"/>
  <c r="J710" i="1"/>
  <c r="K710" i="1" s="1"/>
  <c r="J832" i="1"/>
  <c r="K832" i="1" s="1"/>
  <c r="J954" i="1"/>
  <c r="K954" i="1" s="1"/>
  <c r="J101" i="1"/>
  <c r="K101" i="1" s="1"/>
  <c r="J223" i="1"/>
  <c r="K223" i="1" s="1"/>
  <c r="J345" i="1"/>
  <c r="K345" i="1" s="1"/>
  <c r="J467" i="1"/>
  <c r="K467" i="1" s="1"/>
  <c r="J589" i="1"/>
  <c r="K589" i="1" s="1"/>
  <c r="J711" i="1"/>
  <c r="K711" i="1" s="1"/>
  <c r="J833" i="1"/>
  <c r="K833" i="1" s="1"/>
  <c r="J955" i="1"/>
  <c r="K955" i="1" s="1"/>
  <c r="J102" i="1"/>
  <c r="K102" i="1" s="1"/>
  <c r="J224" i="1"/>
  <c r="K224" i="1" s="1"/>
  <c r="J346" i="1"/>
  <c r="K346" i="1" s="1"/>
  <c r="J468" i="1"/>
  <c r="K468" i="1" s="1"/>
  <c r="J590" i="1"/>
  <c r="K590" i="1" s="1"/>
  <c r="J712" i="1"/>
  <c r="K712" i="1" s="1"/>
  <c r="J834" i="1"/>
  <c r="K834" i="1" s="1"/>
  <c r="J956" i="1"/>
  <c r="K956" i="1" s="1"/>
  <c r="J103" i="1"/>
  <c r="K103" i="1" s="1"/>
  <c r="J225" i="1"/>
  <c r="K225" i="1" s="1"/>
  <c r="J347" i="1"/>
  <c r="K347" i="1" s="1"/>
  <c r="J469" i="1"/>
  <c r="K469" i="1" s="1"/>
  <c r="J591" i="1"/>
  <c r="K591" i="1" s="1"/>
  <c r="J713" i="1"/>
  <c r="K713" i="1" s="1"/>
  <c r="J835" i="1"/>
  <c r="K835" i="1" s="1"/>
  <c r="J957" i="1"/>
  <c r="K957" i="1" s="1"/>
  <c r="J104" i="1"/>
  <c r="K104" i="1" s="1"/>
  <c r="J226" i="1"/>
  <c r="K226" i="1" s="1"/>
  <c r="J348" i="1"/>
  <c r="K348" i="1" s="1"/>
  <c r="J470" i="1"/>
  <c r="K470" i="1" s="1"/>
  <c r="J592" i="1"/>
  <c r="K592" i="1" s="1"/>
  <c r="J714" i="1"/>
  <c r="K714" i="1" s="1"/>
  <c r="J836" i="1"/>
  <c r="K836" i="1" s="1"/>
  <c r="J958" i="1"/>
  <c r="K958" i="1" s="1"/>
  <c r="J105" i="1"/>
  <c r="K105" i="1" s="1"/>
  <c r="J227" i="1"/>
  <c r="K227" i="1" s="1"/>
  <c r="J349" i="1"/>
  <c r="K349" i="1" s="1"/>
  <c r="J471" i="1"/>
  <c r="K471" i="1" s="1"/>
  <c r="J593" i="1"/>
  <c r="K593" i="1" s="1"/>
  <c r="J715" i="1"/>
  <c r="K715" i="1" s="1"/>
  <c r="J837" i="1"/>
  <c r="K837" i="1" s="1"/>
  <c r="J959" i="1"/>
  <c r="K959" i="1" s="1"/>
  <c r="J106" i="1"/>
  <c r="K106" i="1" s="1"/>
  <c r="J228" i="1"/>
  <c r="K228" i="1" s="1"/>
  <c r="J350" i="1"/>
  <c r="K350" i="1" s="1"/>
  <c r="J472" i="1"/>
  <c r="K472" i="1" s="1"/>
  <c r="J594" i="1"/>
  <c r="K594" i="1" s="1"/>
  <c r="J716" i="1"/>
  <c r="K716" i="1" s="1"/>
  <c r="J838" i="1"/>
  <c r="K838" i="1" s="1"/>
  <c r="J960" i="1"/>
  <c r="K960" i="1" s="1"/>
  <c r="J107" i="1"/>
  <c r="K107" i="1" s="1"/>
  <c r="J229" i="1"/>
  <c r="K229" i="1" s="1"/>
  <c r="J351" i="1"/>
  <c r="K351" i="1" s="1"/>
  <c r="J473" i="1"/>
  <c r="K473" i="1" s="1"/>
  <c r="J595" i="1"/>
  <c r="K595" i="1" s="1"/>
  <c r="J717" i="1"/>
  <c r="K717" i="1" s="1"/>
  <c r="J839" i="1"/>
  <c r="K839" i="1" s="1"/>
  <c r="J961" i="1"/>
  <c r="K961" i="1" s="1"/>
  <c r="J108" i="1"/>
  <c r="K108" i="1" s="1"/>
  <c r="J230" i="1"/>
  <c r="K230" i="1" s="1"/>
  <c r="J352" i="1"/>
  <c r="K352" i="1" s="1"/>
  <c r="J474" i="1"/>
  <c r="K474" i="1" s="1"/>
  <c r="J596" i="1"/>
  <c r="K596" i="1" s="1"/>
  <c r="J718" i="1"/>
  <c r="K718" i="1" s="1"/>
  <c r="J840" i="1"/>
  <c r="K840" i="1" s="1"/>
  <c r="J962" i="1"/>
  <c r="K962" i="1" s="1"/>
  <c r="J109" i="1"/>
  <c r="K109" i="1" s="1"/>
  <c r="J231" i="1"/>
  <c r="K231" i="1" s="1"/>
  <c r="J353" i="1"/>
  <c r="K353" i="1" s="1"/>
  <c r="J475" i="1"/>
  <c r="K475" i="1" s="1"/>
  <c r="J597" i="1"/>
  <c r="K597" i="1" s="1"/>
  <c r="J719" i="1"/>
  <c r="K719" i="1" s="1"/>
  <c r="J841" i="1"/>
  <c r="K841" i="1" s="1"/>
  <c r="J963" i="1"/>
  <c r="K963" i="1" s="1"/>
  <c r="J110" i="1"/>
  <c r="K110" i="1" s="1"/>
  <c r="J232" i="1"/>
  <c r="K232" i="1" s="1"/>
  <c r="J354" i="1"/>
  <c r="K354" i="1" s="1"/>
  <c r="J476" i="1"/>
  <c r="K476" i="1" s="1"/>
  <c r="J598" i="1"/>
  <c r="K598" i="1" s="1"/>
  <c r="J720" i="1"/>
  <c r="K720" i="1" s="1"/>
  <c r="J842" i="1"/>
  <c r="K842" i="1" s="1"/>
  <c r="J964" i="1"/>
  <c r="K964" i="1" s="1"/>
  <c r="J111" i="1"/>
  <c r="K111" i="1" s="1"/>
  <c r="J233" i="1"/>
  <c r="K233" i="1" s="1"/>
  <c r="J355" i="1"/>
  <c r="K355" i="1" s="1"/>
  <c r="J477" i="1"/>
  <c r="K477" i="1" s="1"/>
  <c r="J599" i="1"/>
  <c r="K599" i="1" s="1"/>
  <c r="J721" i="1"/>
  <c r="K721" i="1" s="1"/>
  <c r="J843" i="1"/>
  <c r="K843" i="1" s="1"/>
  <c r="J965" i="1"/>
  <c r="K965" i="1" s="1"/>
  <c r="J112" i="1"/>
  <c r="K112" i="1" s="1"/>
  <c r="J234" i="1"/>
  <c r="K234" i="1" s="1"/>
  <c r="J356" i="1"/>
  <c r="K356" i="1" s="1"/>
  <c r="J478" i="1"/>
  <c r="K478" i="1" s="1"/>
  <c r="J600" i="1"/>
  <c r="K600" i="1" s="1"/>
  <c r="J722" i="1"/>
  <c r="K722" i="1" s="1"/>
  <c r="J844" i="1"/>
  <c r="K844" i="1" s="1"/>
  <c r="J966" i="1"/>
  <c r="K966" i="1" s="1"/>
  <c r="J113" i="1"/>
  <c r="K113" i="1" s="1"/>
  <c r="J235" i="1"/>
  <c r="K235" i="1" s="1"/>
  <c r="J357" i="1"/>
  <c r="K357" i="1" s="1"/>
  <c r="J479" i="1"/>
  <c r="K479" i="1" s="1"/>
  <c r="J601" i="1"/>
  <c r="K601" i="1" s="1"/>
  <c r="J723" i="1"/>
  <c r="K723" i="1" s="1"/>
  <c r="J845" i="1"/>
  <c r="K845" i="1" s="1"/>
  <c r="J967" i="1"/>
  <c r="K967" i="1" s="1"/>
  <c r="J114" i="1"/>
  <c r="K114" i="1" s="1"/>
  <c r="J236" i="1"/>
  <c r="K236" i="1" s="1"/>
  <c r="J358" i="1"/>
  <c r="K358" i="1" s="1"/>
  <c r="J480" i="1"/>
  <c r="K480" i="1" s="1"/>
  <c r="J602" i="1"/>
  <c r="K602" i="1" s="1"/>
  <c r="J724" i="1"/>
  <c r="K724" i="1" s="1"/>
  <c r="J846" i="1"/>
  <c r="K846" i="1" s="1"/>
  <c r="J968" i="1"/>
  <c r="K968" i="1" s="1"/>
  <c r="J115" i="1"/>
  <c r="K115" i="1" s="1"/>
  <c r="J237" i="1"/>
  <c r="K237" i="1" s="1"/>
  <c r="J359" i="1"/>
  <c r="K359" i="1" s="1"/>
  <c r="J481" i="1"/>
  <c r="K481" i="1" s="1"/>
  <c r="J603" i="1"/>
  <c r="K603" i="1" s="1"/>
  <c r="J725" i="1"/>
  <c r="K725" i="1" s="1"/>
  <c r="J847" i="1"/>
  <c r="K847" i="1" s="1"/>
  <c r="J969" i="1"/>
  <c r="K969" i="1" s="1"/>
  <c r="J116" i="1"/>
  <c r="K116" i="1" s="1"/>
  <c r="J238" i="1"/>
  <c r="K238" i="1" s="1"/>
  <c r="J360" i="1"/>
  <c r="K360" i="1" s="1"/>
  <c r="J482" i="1"/>
  <c r="K482" i="1" s="1"/>
  <c r="J604" i="1"/>
  <c r="K604" i="1" s="1"/>
  <c r="J726" i="1"/>
  <c r="K726" i="1" s="1"/>
  <c r="J848" i="1"/>
  <c r="K848" i="1" s="1"/>
  <c r="J970" i="1"/>
  <c r="K970" i="1" s="1"/>
  <c r="J117" i="1"/>
  <c r="K117" i="1" s="1"/>
  <c r="J239" i="1"/>
  <c r="K239" i="1" s="1"/>
  <c r="J361" i="1"/>
  <c r="K361" i="1" s="1"/>
  <c r="J483" i="1"/>
  <c r="K483" i="1" s="1"/>
  <c r="J605" i="1"/>
  <c r="K605" i="1" s="1"/>
  <c r="J727" i="1"/>
  <c r="K727" i="1" s="1"/>
  <c r="J849" i="1"/>
  <c r="K849" i="1" s="1"/>
  <c r="J971" i="1"/>
  <c r="K971" i="1" s="1"/>
  <c r="J118" i="1"/>
  <c r="K118" i="1" s="1"/>
  <c r="J240" i="1"/>
  <c r="K240" i="1" s="1"/>
  <c r="J362" i="1"/>
  <c r="K362" i="1" s="1"/>
  <c r="J484" i="1"/>
  <c r="K484" i="1" s="1"/>
  <c r="J606" i="1"/>
  <c r="K606" i="1" s="1"/>
  <c r="J728" i="1"/>
  <c r="K728" i="1" s="1"/>
  <c r="J850" i="1"/>
  <c r="K850" i="1" s="1"/>
  <c r="J972" i="1"/>
  <c r="K972" i="1" s="1"/>
  <c r="J119" i="1"/>
  <c r="K119" i="1" s="1"/>
  <c r="J241" i="1"/>
  <c r="K241" i="1" s="1"/>
  <c r="J363" i="1"/>
  <c r="K363" i="1" s="1"/>
  <c r="J485" i="1"/>
  <c r="K485" i="1" s="1"/>
  <c r="J607" i="1"/>
  <c r="K607" i="1" s="1"/>
  <c r="J729" i="1"/>
  <c r="K729" i="1" s="1"/>
  <c r="J851" i="1"/>
  <c r="K851" i="1" s="1"/>
  <c r="J973" i="1"/>
  <c r="K973" i="1" s="1"/>
  <c r="J120" i="1"/>
  <c r="K120" i="1" s="1"/>
  <c r="J242" i="1"/>
  <c r="K242" i="1" s="1"/>
  <c r="J364" i="1"/>
  <c r="K364" i="1" s="1"/>
  <c r="J486" i="1"/>
  <c r="K486" i="1" s="1"/>
  <c r="J608" i="1"/>
  <c r="K608" i="1" s="1"/>
  <c r="J730" i="1"/>
  <c r="K730" i="1" s="1"/>
  <c r="J852" i="1"/>
  <c r="K852" i="1" s="1"/>
  <c r="J974" i="1"/>
  <c r="K974" i="1" s="1"/>
  <c r="J121" i="1"/>
  <c r="K121" i="1" s="1"/>
  <c r="J243" i="1"/>
  <c r="K243" i="1" s="1"/>
  <c r="J365" i="1"/>
  <c r="K365" i="1" s="1"/>
  <c r="J487" i="1"/>
  <c r="K487" i="1" s="1"/>
  <c r="J609" i="1"/>
  <c r="K609" i="1" s="1"/>
  <c r="J731" i="1"/>
  <c r="K731" i="1" s="1"/>
  <c r="J853" i="1"/>
  <c r="K853" i="1" s="1"/>
  <c r="J975" i="1"/>
  <c r="K975" i="1" s="1"/>
  <c r="J122" i="1"/>
  <c r="K122" i="1" s="1"/>
  <c r="J244" i="1"/>
  <c r="K244" i="1" s="1"/>
  <c r="J366" i="1"/>
  <c r="K366" i="1" s="1"/>
  <c r="J488" i="1"/>
  <c r="K488" i="1" s="1"/>
  <c r="J610" i="1"/>
  <c r="K610" i="1" s="1"/>
  <c r="J732" i="1"/>
  <c r="K732" i="1" s="1"/>
  <c r="J854" i="1"/>
  <c r="K854" i="1" s="1"/>
  <c r="J976" i="1"/>
  <c r="K976" i="1" s="1"/>
  <c r="J123" i="1"/>
  <c r="K123" i="1" s="1"/>
  <c r="J245" i="1"/>
  <c r="K245" i="1" s="1"/>
  <c r="J367" i="1"/>
  <c r="K367" i="1" s="1"/>
  <c r="J489" i="1"/>
  <c r="K489" i="1" s="1"/>
  <c r="J611" i="1"/>
  <c r="K611" i="1" s="1"/>
  <c r="J733" i="1"/>
  <c r="K733" i="1" s="1"/>
  <c r="J855" i="1"/>
  <c r="K855" i="1" s="1"/>
  <c r="J977" i="1"/>
  <c r="K977" i="1" s="1"/>
  <c r="F2" i="1"/>
  <c r="L2" i="1" s="1"/>
  <c r="M2" i="1" s="1"/>
  <c r="N2" i="1" s="1"/>
  <c r="F124" i="1"/>
  <c r="L124" i="1" s="1"/>
  <c r="M124" i="1" s="1"/>
  <c r="N124" i="1" s="1"/>
  <c r="F246" i="1"/>
  <c r="L246" i="1" s="1"/>
  <c r="M246" i="1" s="1"/>
  <c r="N246" i="1" s="1"/>
  <c r="F368" i="1"/>
  <c r="L368" i="1" s="1"/>
  <c r="M368" i="1" s="1"/>
  <c r="N368" i="1" s="1"/>
  <c r="F490" i="1"/>
  <c r="L490" i="1" s="1"/>
  <c r="M490" i="1" s="1"/>
  <c r="N490" i="1" s="1"/>
  <c r="F612" i="1"/>
  <c r="L612" i="1" s="1"/>
  <c r="M612" i="1" s="1"/>
  <c r="N612" i="1" s="1"/>
  <c r="F734" i="1"/>
  <c r="L734" i="1" s="1"/>
  <c r="M734" i="1" s="1"/>
  <c r="N734" i="1" s="1"/>
  <c r="F856" i="1"/>
  <c r="L856" i="1" s="1"/>
  <c r="M856" i="1" s="1"/>
  <c r="N856" i="1" s="1"/>
  <c r="F3" i="1"/>
  <c r="L3" i="1" s="1"/>
  <c r="M3" i="1" s="1"/>
  <c r="N3" i="1" s="1"/>
  <c r="F125" i="1"/>
  <c r="L125" i="1" s="1"/>
  <c r="M125" i="1" s="1"/>
  <c r="N125" i="1" s="1"/>
  <c r="F247" i="1"/>
  <c r="L247" i="1" s="1"/>
  <c r="M247" i="1" s="1"/>
  <c r="N247" i="1" s="1"/>
  <c r="F369" i="1"/>
  <c r="L369" i="1" s="1"/>
  <c r="M369" i="1" s="1"/>
  <c r="N369" i="1" s="1"/>
  <c r="F491" i="1"/>
  <c r="L491" i="1" s="1"/>
  <c r="M491" i="1" s="1"/>
  <c r="N491" i="1" s="1"/>
  <c r="F613" i="1"/>
  <c r="L613" i="1" s="1"/>
  <c r="M613" i="1" s="1"/>
  <c r="N613" i="1" s="1"/>
  <c r="F735" i="1"/>
  <c r="L735" i="1" s="1"/>
  <c r="M735" i="1" s="1"/>
  <c r="N735" i="1" s="1"/>
  <c r="F857" i="1"/>
  <c r="L857" i="1" s="1"/>
  <c r="M857" i="1" s="1"/>
  <c r="N857" i="1" s="1"/>
  <c r="F4" i="1"/>
  <c r="L4" i="1" s="1"/>
  <c r="M4" i="1" s="1"/>
  <c r="N4" i="1" s="1"/>
  <c r="F126" i="1"/>
  <c r="L126" i="1" s="1"/>
  <c r="M126" i="1" s="1"/>
  <c r="N126" i="1" s="1"/>
  <c r="F248" i="1"/>
  <c r="L248" i="1" s="1"/>
  <c r="M248" i="1" s="1"/>
  <c r="N248" i="1" s="1"/>
  <c r="F370" i="1"/>
  <c r="L370" i="1" s="1"/>
  <c r="M370" i="1" s="1"/>
  <c r="N370" i="1" s="1"/>
  <c r="F492" i="1"/>
  <c r="L492" i="1" s="1"/>
  <c r="M492" i="1" s="1"/>
  <c r="N492" i="1" s="1"/>
  <c r="F614" i="1"/>
  <c r="L614" i="1" s="1"/>
  <c r="M614" i="1" s="1"/>
  <c r="N614" i="1" s="1"/>
  <c r="F736" i="1"/>
  <c r="L736" i="1" s="1"/>
  <c r="M736" i="1" s="1"/>
  <c r="N736" i="1" s="1"/>
  <c r="F858" i="1"/>
  <c r="L858" i="1" s="1"/>
  <c r="M858" i="1" s="1"/>
  <c r="N858" i="1" s="1"/>
  <c r="F5" i="1"/>
  <c r="L5" i="1" s="1"/>
  <c r="M5" i="1" s="1"/>
  <c r="N5" i="1" s="1"/>
  <c r="F127" i="1"/>
  <c r="L127" i="1" s="1"/>
  <c r="M127" i="1" s="1"/>
  <c r="N127" i="1" s="1"/>
  <c r="F249" i="1"/>
  <c r="L249" i="1" s="1"/>
  <c r="M249" i="1" s="1"/>
  <c r="N249" i="1" s="1"/>
  <c r="F371" i="1"/>
  <c r="L371" i="1" s="1"/>
  <c r="M371" i="1" s="1"/>
  <c r="N371" i="1" s="1"/>
  <c r="F493" i="1"/>
  <c r="L493" i="1" s="1"/>
  <c r="M493" i="1" s="1"/>
  <c r="N493" i="1" s="1"/>
  <c r="F615" i="1"/>
  <c r="L615" i="1" s="1"/>
  <c r="M615" i="1" s="1"/>
  <c r="N615" i="1" s="1"/>
  <c r="F737" i="1"/>
  <c r="L737" i="1" s="1"/>
  <c r="M737" i="1" s="1"/>
  <c r="N737" i="1" s="1"/>
  <c r="F859" i="1"/>
  <c r="L859" i="1" s="1"/>
  <c r="M859" i="1" s="1"/>
  <c r="N859" i="1" s="1"/>
  <c r="F6" i="1"/>
  <c r="L6" i="1" s="1"/>
  <c r="M6" i="1" s="1"/>
  <c r="N6" i="1" s="1"/>
  <c r="F128" i="1"/>
  <c r="L128" i="1" s="1"/>
  <c r="M128" i="1" s="1"/>
  <c r="N128" i="1" s="1"/>
  <c r="F250" i="1"/>
  <c r="L250" i="1" s="1"/>
  <c r="M250" i="1" s="1"/>
  <c r="N250" i="1" s="1"/>
  <c r="F372" i="1"/>
  <c r="L372" i="1" s="1"/>
  <c r="M372" i="1" s="1"/>
  <c r="N372" i="1" s="1"/>
  <c r="F494" i="1"/>
  <c r="L494" i="1" s="1"/>
  <c r="M494" i="1" s="1"/>
  <c r="N494" i="1" s="1"/>
  <c r="F616" i="1"/>
  <c r="L616" i="1" s="1"/>
  <c r="M616" i="1" s="1"/>
  <c r="N616" i="1" s="1"/>
  <c r="F738" i="1"/>
  <c r="L738" i="1" s="1"/>
  <c r="M738" i="1" s="1"/>
  <c r="N738" i="1" s="1"/>
  <c r="F860" i="1"/>
  <c r="L860" i="1" s="1"/>
  <c r="M860" i="1" s="1"/>
  <c r="N860" i="1" s="1"/>
  <c r="F7" i="1"/>
  <c r="L7" i="1" s="1"/>
  <c r="M7" i="1" s="1"/>
  <c r="N7" i="1" s="1"/>
  <c r="F129" i="1"/>
  <c r="L129" i="1" s="1"/>
  <c r="M129" i="1" s="1"/>
  <c r="N129" i="1" s="1"/>
  <c r="F251" i="1"/>
  <c r="L251" i="1" s="1"/>
  <c r="M251" i="1" s="1"/>
  <c r="N251" i="1" s="1"/>
  <c r="F373" i="1"/>
  <c r="L373" i="1" s="1"/>
  <c r="M373" i="1" s="1"/>
  <c r="N373" i="1" s="1"/>
  <c r="F495" i="1"/>
  <c r="L495" i="1" s="1"/>
  <c r="M495" i="1" s="1"/>
  <c r="N495" i="1" s="1"/>
  <c r="F617" i="1"/>
  <c r="L617" i="1" s="1"/>
  <c r="M617" i="1" s="1"/>
  <c r="N617" i="1" s="1"/>
  <c r="F739" i="1"/>
  <c r="L739" i="1" s="1"/>
  <c r="M739" i="1" s="1"/>
  <c r="N739" i="1" s="1"/>
  <c r="F861" i="1"/>
  <c r="L861" i="1" s="1"/>
  <c r="M861" i="1" s="1"/>
  <c r="N861" i="1" s="1"/>
  <c r="F8" i="1"/>
  <c r="L8" i="1" s="1"/>
  <c r="M8" i="1" s="1"/>
  <c r="N8" i="1" s="1"/>
  <c r="F130" i="1"/>
  <c r="L130" i="1" s="1"/>
  <c r="M130" i="1" s="1"/>
  <c r="N130" i="1" s="1"/>
  <c r="F252" i="1"/>
  <c r="L252" i="1" s="1"/>
  <c r="M252" i="1" s="1"/>
  <c r="N252" i="1" s="1"/>
  <c r="F374" i="1"/>
  <c r="L374" i="1" s="1"/>
  <c r="M374" i="1" s="1"/>
  <c r="N374" i="1" s="1"/>
  <c r="F496" i="1"/>
  <c r="L496" i="1" s="1"/>
  <c r="M496" i="1" s="1"/>
  <c r="N496" i="1" s="1"/>
  <c r="F618" i="1"/>
  <c r="L618" i="1" s="1"/>
  <c r="M618" i="1" s="1"/>
  <c r="N618" i="1" s="1"/>
  <c r="F740" i="1"/>
  <c r="L740" i="1" s="1"/>
  <c r="M740" i="1" s="1"/>
  <c r="N740" i="1" s="1"/>
  <c r="F862" i="1"/>
  <c r="L862" i="1" s="1"/>
  <c r="M862" i="1" s="1"/>
  <c r="N862" i="1" s="1"/>
  <c r="F9" i="1"/>
  <c r="L9" i="1" s="1"/>
  <c r="M9" i="1" s="1"/>
  <c r="N9" i="1" s="1"/>
  <c r="F131" i="1"/>
  <c r="L131" i="1" s="1"/>
  <c r="M131" i="1" s="1"/>
  <c r="N131" i="1" s="1"/>
  <c r="F253" i="1"/>
  <c r="L253" i="1" s="1"/>
  <c r="M253" i="1" s="1"/>
  <c r="N253" i="1" s="1"/>
  <c r="F375" i="1"/>
  <c r="L375" i="1" s="1"/>
  <c r="M375" i="1" s="1"/>
  <c r="N375" i="1" s="1"/>
  <c r="F497" i="1"/>
  <c r="L497" i="1" s="1"/>
  <c r="M497" i="1" s="1"/>
  <c r="N497" i="1" s="1"/>
  <c r="F619" i="1"/>
  <c r="L619" i="1" s="1"/>
  <c r="M619" i="1" s="1"/>
  <c r="N619" i="1" s="1"/>
  <c r="F741" i="1"/>
  <c r="L741" i="1" s="1"/>
  <c r="M741" i="1" s="1"/>
  <c r="N741" i="1" s="1"/>
  <c r="F863" i="1"/>
  <c r="L863" i="1" s="1"/>
  <c r="M863" i="1" s="1"/>
  <c r="N863" i="1" s="1"/>
  <c r="F10" i="1"/>
  <c r="L10" i="1" s="1"/>
  <c r="M10" i="1" s="1"/>
  <c r="N10" i="1" s="1"/>
  <c r="F132" i="1"/>
  <c r="L132" i="1" s="1"/>
  <c r="M132" i="1" s="1"/>
  <c r="N132" i="1" s="1"/>
  <c r="F254" i="1"/>
  <c r="L254" i="1" s="1"/>
  <c r="M254" i="1" s="1"/>
  <c r="N254" i="1" s="1"/>
  <c r="F376" i="1"/>
  <c r="L376" i="1" s="1"/>
  <c r="M376" i="1" s="1"/>
  <c r="N376" i="1" s="1"/>
  <c r="F498" i="1"/>
  <c r="L498" i="1" s="1"/>
  <c r="M498" i="1" s="1"/>
  <c r="N498" i="1" s="1"/>
  <c r="F620" i="1"/>
  <c r="L620" i="1" s="1"/>
  <c r="M620" i="1" s="1"/>
  <c r="N620" i="1" s="1"/>
  <c r="F742" i="1"/>
  <c r="L742" i="1" s="1"/>
  <c r="M742" i="1" s="1"/>
  <c r="N742" i="1" s="1"/>
  <c r="F864" i="1"/>
  <c r="L864" i="1" s="1"/>
  <c r="M864" i="1" s="1"/>
  <c r="N864" i="1" s="1"/>
  <c r="F11" i="1"/>
  <c r="L11" i="1" s="1"/>
  <c r="M11" i="1" s="1"/>
  <c r="N11" i="1" s="1"/>
  <c r="F133" i="1"/>
  <c r="L133" i="1" s="1"/>
  <c r="M133" i="1" s="1"/>
  <c r="N133" i="1" s="1"/>
  <c r="F255" i="1"/>
  <c r="L255" i="1" s="1"/>
  <c r="M255" i="1" s="1"/>
  <c r="N255" i="1" s="1"/>
  <c r="F377" i="1"/>
  <c r="L377" i="1" s="1"/>
  <c r="M377" i="1" s="1"/>
  <c r="N377" i="1" s="1"/>
  <c r="F499" i="1"/>
  <c r="L499" i="1" s="1"/>
  <c r="M499" i="1" s="1"/>
  <c r="N499" i="1" s="1"/>
  <c r="F621" i="1"/>
  <c r="L621" i="1" s="1"/>
  <c r="M621" i="1" s="1"/>
  <c r="N621" i="1" s="1"/>
  <c r="F743" i="1"/>
  <c r="L743" i="1" s="1"/>
  <c r="M743" i="1" s="1"/>
  <c r="N743" i="1" s="1"/>
  <c r="F865" i="1"/>
  <c r="L865" i="1" s="1"/>
  <c r="M865" i="1" s="1"/>
  <c r="N865" i="1" s="1"/>
  <c r="F12" i="1"/>
  <c r="L12" i="1" s="1"/>
  <c r="M12" i="1" s="1"/>
  <c r="N12" i="1" s="1"/>
  <c r="F134" i="1"/>
  <c r="L134" i="1" s="1"/>
  <c r="M134" i="1" s="1"/>
  <c r="N134" i="1" s="1"/>
  <c r="F256" i="1"/>
  <c r="L256" i="1" s="1"/>
  <c r="M256" i="1" s="1"/>
  <c r="N256" i="1" s="1"/>
  <c r="F378" i="1"/>
  <c r="L378" i="1" s="1"/>
  <c r="M378" i="1" s="1"/>
  <c r="N378" i="1" s="1"/>
  <c r="F500" i="1"/>
  <c r="L500" i="1" s="1"/>
  <c r="M500" i="1" s="1"/>
  <c r="N500" i="1" s="1"/>
  <c r="F622" i="1"/>
  <c r="L622" i="1" s="1"/>
  <c r="M622" i="1" s="1"/>
  <c r="N622" i="1" s="1"/>
  <c r="F744" i="1"/>
  <c r="L744" i="1" s="1"/>
  <c r="M744" i="1" s="1"/>
  <c r="N744" i="1" s="1"/>
  <c r="F866" i="1"/>
  <c r="L866" i="1" s="1"/>
  <c r="M866" i="1" s="1"/>
  <c r="N866" i="1" s="1"/>
  <c r="F13" i="1"/>
  <c r="L13" i="1" s="1"/>
  <c r="M13" i="1" s="1"/>
  <c r="N13" i="1" s="1"/>
  <c r="F135" i="1"/>
  <c r="L135" i="1" s="1"/>
  <c r="M135" i="1" s="1"/>
  <c r="N135" i="1" s="1"/>
  <c r="F257" i="1"/>
  <c r="L257" i="1" s="1"/>
  <c r="M257" i="1" s="1"/>
  <c r="N257" i="1" s="1"/>
  <c r="F379" i="1"/>
  <c r="L379" i="1" s="1"/>
  <c r="M379" i="1" s="1"/>
  <c r="N379" i="1" s="1"/>
  <c r="F501" i="1"/>
  <c r="L501" i="1" s="1"/>
  <c r="M501" i="1" s="1"/>
  <c r="N501" i="1" s="1"/>
  <c r="F623" i="1"/>
  <c r="L623" i="1" s="1"/>
  <c r="M623" i="1" s="1"/>
  <c r="N623" i="1" s="1"/>
  <c r="F745" i="1"/>
  <c r="L745" i="1" s="1"/>
  <c r="M745" i="1" s="1"/>
  <c r="N745" i="1" s="1"/>
  <c r="F867" i="1"/>
  <c r="L867" i="1" s="1"/>
  <c r="M867" i="1" s="1"/>
  <c r="N867" i="1" s="1"/>
  <c r="F14" i="1"/>
  <c r="L14" i="1" s="1"/>
  <c r="M14" i="1" s="1"/>
  <c r="N14" i="1" s="1"/>
  <c r="F136" i="1"/>
  <c r="L136" i="1" s="1"/>
  <c r="M136" i="1" s="1"/>
  <c r="N136" i="1" s="1"/>
  <c r="F258" i="1"/>
  <c r="L258" i="1" s="1"/>
  <c r="M258" i="1" s="1"/>
  <c r="N258" i="1" s="1"/>
  <c r="F380" i="1"/>
  <c r="L380" i="1" s="1"/>
  <c r="M380" i="1" s="1"/>
  <c r="N380" i="1" s="1"/>
  <c r="F502" i="1"/>
  <c r="L502" i="1" s="1"/>
  <c r="M502" i="1" s="1"/>
  <c r="N502" i="1" s="1"/>
  <c r="F624" i="1"/>
  <c r="L624" i="1" s="1"/>
  <c r="M624" i="1" s="1"/>
  <c r="N624" i="1" s="1"/>
  <c r="F746" i="1"/>
  <c r="L746" i="1" s="1"/>
  <c r="M746" i="1" s="1"/>
  <c r="N746" i="1" s="1"/>
  <c r="F868" i="1"/>
  <c r="L868" i="1" s="1"/>
  <c r="M868" i="1" s="1"/>
  <c r="N868" i="1" s="1"/>
  <c r="F15" i="1"/>
  <c r="L15" i="1" s="1"/>
  <c r="M15" i="1" s="1"/>
  <c r="N15" i="1" s="1"/>
  <c r="F137" i="1"/>
  <c r="L137" i="1" s="1"/>
  <c r="M137" i="1" s="1"/>
  <c r="N137" i="1" s="1"/>
  <c r="F259" i="1"/>
  <c r="L259" i="1" s="1"/>
  <c r="M259" i="1" s="1"/>
  <c r="N259" i="1" s="1"/>
  <c r="F381" i="1"/>
  <c r="L381" i="1" s="1"/>
  <c r="M381" i="1" s="1"/>
  <c r="N381" i="1" s="1"/>
  <c r="F503" i="1"/>
  <c r="L503" i="1" s="1"/>
  <c r="M503" i="1" s="1"/>
  <c r="N503" i="1" s="1"/>
  <c r="F625" i="1"/>
  <c r="L625" i="1" s="1"/>
  <c r="M625" i="1" s="1"/>
  <c r="N625" i="1" s="1"/>
  <c r="F747" i="1"/>
  <c r="L747" i="1" s="1"/>
  <c r="M747" i="1" s="1"/>
  <c r="N747" i="1" s="1"/>
  <c r="F869" i="1"/>
  <c r="L869" i="1" s="1"/>
  <c r="M869" i="1" s="1"/>
  <c r="N869" i="1" s="1"/>
  <c r="F16" i="1"/>
  <c r="L16" i="1" s="1"/>
  <c r="M16" i="1" s="1"/>
  <c r="N16" i="1" s="1"/>
  <c r="F138" i="1"/>
  <c r="L138" i="1" s="1"/>
  <c r="M138" i="1" s="1"/>
  <c r="N138" i="1" s="1"/>
  <c r="F260" i="1"/>
  <c r="L260" i="1" s="1"/>
  <c r="M260" i="1" s="1"/>
  <c r="N260" i="1" s="1"/>
  <c r="F382" i="1"/>
  <c r="L382" i="1" s="1"/>
  <c r="M382" i="1" s="1"/>
  <c r="N382" i="1" s="1"/>
  <c r="F504" i="1"/>
  <c r="L504" i="1" s="1"/>
  <c r="M504" i="1" s="1"/>
  <c r="N504" i="1" s="1"/>
  <c r="F626" i="1"/>
  <c r="L626" i="1" s="1"/>
  <c r="M626" i="1" s="1"/>
  <c r="N626" i="1" s="1"/>
  <c r="F748" i="1"/>
  <c r="L748" i="1" s="1"/>
  <c r="M748" i="1" s="1"/>
  <c r="N748" i="1" s="1"/>
  <c r="F870" i="1"/>
  <c r="L870" i="1" s="1"/>
  <c r="M870" i="1" s="1"/>
  <c r="N870" i="1" s="1"/>
  <c r="F17" i="1"/>
  <c r="L17" i="1" s="1"/>
  <c r="M17" i="1" s="1"/>
  <c r="N17" i="1" s="1"/>
  <c r="F139" i="1"/>
  <c r="L139" i="1" s="1"/>
  <c r="M139" i="1" s="1"/>
  <c r="N139" i="1" s="1"/>
  <c r="F261" i="1"/>
  <c r="L261" i="1" s="1"/>
  <c r="M261" i="1" s="1"/>
  <c r="N261" i="1" s="1"/>
  <c r="F383" i="1"/>
  <c r="L383" i="1" s="1"/>
  <c r="M383" i="1" s="1"/>
  <c r="N383" i="1" s="1"/>
  <c r="F505" i="1"/>
  <c r="L505" i="1" s="1"/>
  <c r="M505" i="1" s="1"/>
  <c r="N505" i="1" s="1"/>
  <c r="F627" i="1"/>
  <c r="L627" i="1" s="1"/>
  <c r="M627" i="1" s="1"/>
  <c r="N627" i="1" s="1"/>
  <c r="F749" i="1"/>
  <c r="L749" i="1" s="1"/>
  <c r="M749" i="1" s="1"/>
  <c r="N749" i="1" s="1"/>
  <c r="F871" i="1"/>
  <c r="L871" i="1" s="1"/>
  <c r="M871" i="1" s="1"/>
  <c r="N871" i="1" s="1"/>
  <c r="F18" i="1"/>
  <c r="L18" i="1" s="1"/>
  <c r="M18" i="1" s="1"/>
  <c r="N18" i="1" s="1"/>
  <c r="F140" i="1"/>
  <c r="L140" i="1" s="1"/>
  <c r="M140" i="1" s="1"/>
  <c r="N140" i="1" s="1"/>
  <c r="F262" i="1"/>
  <c r="L262" i="1" s="1"/>
  <c r="M262" i="1" s="1"/>
  <c r="N262" i="1" s="1"/>
  <c r="F384" i="1"/>
  <c r="L384" i="1" s="1"/>
  <c r="M384" i="1" s="1"/>
  <c r="N384" i="1" s="1"/>
  <c r="F506" i="1"/>
  <c r="L506" i="1" s="1"/>
  <c r="M506" i="1" s="1"/>
  <c r="N506" i="1" s="1"/>
  <c r="F628" i="1"/>
  <c r="L628" i="1" s="1"/>
  <c r="M628" i="1" s="1"/>
  <c r="N628" i="1" s="1"/>
  <c r="F750" i="1"/>
  <c r="L750" i="1" s="1"/>
  <c r="M750" i="1" s="1"/>
  <c r="N750" i="1" s="1"/>
  <c r="F872" i="1"/>
  <c r="L872" i="1" s="1"/>
  <c r="M872" i="1" s="1"/>
  <c r="N872" i="1" s="1"/>
  <c r="F19" i="1"/>
  <c r="L19" i="1" s="1"/>
  <c r="M19" i="1" s="1"/>
  <c r="N19" i="1" s="1"/>
  <c r="F141" i="1"/>
  <c r="L141" i="1" s="1"/>
  <c r="M141" i="1" s="1"/>
  <c r="N141" i="1" s="1"/>
  <c r="F263" i="1"/>
  <c r="L263" i="1" s="1"/>
  <c r="M263" i="1" s="1"/>
  <c r="N263" i="1" s="1"/>
  <c r="F385" i="1"/>
  <c r="L385" i="1" s="1"/>
  <c r="M385" i="1" s="1"/>
  <c r="N385" i="1" s="1"/>
  <c r="F507" i="1"/>
  <c r="L507" i="1" s="1"/>
  <c r="M507" i="1" s="1"/>
  <c r="N507" i="1" s="1"/>
  <c r="F629" i="1"/>
  <c r="L629" i="1" s="1"/>
  <c r="M629" i="1" s="1"/>
  <c r="N629" i="1" s="1"/>
  <c r="F751" i="1"/>
  <c r="L751" i="1" s="1"/>
  <c r="M751" i="1" s="1"/>
  <c r="N751" i="1" s="1"/>
  <c r="F873" i="1"/>
  <c r="L873" i="1" s="1"/>
  <c r="M873" i="1" s="1"/>
  <c r="N873" i="1" s="1"/>
  <c r="F20" i="1"/>
  <c r="L20" i="1" s="1"/>
  <c r="M20" i="1" s="1"/>
  <c r="N20" i="1" s="1"/>
  <c r="F142" i="1"/>
  <c r="L142" i="1" s="1"/>
  <c r="M142" i="1" s="1"/>
  <c r="N142" i="1" s="1"/>
  <c r="F264" i="1"/>
  <c r="L264" i="1" s="1"/>
  <c r="M264" i="1" s="1"/>
  <c r="N264" i="1" s="1"/>
  <c r="F386" i="1"/>
  <c r="L386" i="1" s="1"/>
  <c r="M386" i="1" s="1"/>
  <c r="N386" i="1" s="1"/>
  <c r="F508" i="1"/>
  <c r="L508" i="1" s="1"/>
  <c r="M508" i="1" s="1"/>
  <c r="N508" i="1" s="1"/>
  <c r="F630" i="1"/>
  <c r="L630" i="1" s="1"/>
  <c r="M630" i="1" s="1"/>
  <c r="N630" i="1" s="1"/>
  <c r="F752" i="1"/>
  <c r="L752" i="1" s="1"/>
  <c r="M752" i="1" s="1"/>
  <c r="N752" i="1" s="1"/>
  <c r="F874" i="1"/>
  <c r="L874" i="1" s="1"/>
  <c r="M874" i="1" s="1"/>
  <c r="N874" i="1" s="1"/>
  <c r="F21" i="1"/>
  <c r="L21" i="1" s="1"/>
  <c r="M21" i="1" s="1"/>
  <c r="N21" i="1" s="1"/>
  <c r="F143" i="1"/>
  <c r="L143" i="1" s="1"/>
  <c r="M143" i="1" s="1"/>
  <c r="N143" i="1" s="1"/>
  <c r="F265" i="1"/>
  <c r="L265" i="1" s="1"/>
  <c r="M265" i="1" s="1"/>
  <c r="N265" i="1" s="1"/>
  <c r="F387" i="1"/>
  <c r="L387" i="1" s="1"/>
  <c r="M387" i="1" s="1"/>
  <c r="N387" i="1" s="1"/>
  <c r="F509" i="1"/>
  <c r="L509" i="1" s="1"/>
  <c r="M509" i="1" s="1"/>
  <c r="N509" i="1" s="1"/>
  <c r="F631" i="1"/>
  <c r="L631" i="1" s="1"/>
  <c r="M631" i="1" s="1"/>
  <c r="N631" i="1" s="1"/>
  <c r="F753" i="1"/>
  <c r="L753" i="1" s="1"/>
  <c r="M753" i="1" s="1"/>
  <c r="N753" i="1" s="1"/>
  <c r="F875" i="1"/>
  <c r="L875" i="1" s="1"/>
  <c r="M875" i="1" s="1"/>
  <c r="N875" i="1" s="1"/>
  <c r="F22" i="1"/>
  <c r="L22" i="1" s="1"/>
  <c r="M22" i="1" s="1"/>
  <c r="N22" i="1" s="1"/>
  <c r="F144" i="1"/>
  <c r="L144" i="1" s="1"/>
  <c r="M144" i="1" s="1"/>
  <c r="N144" i="1" s="1"/>
  <c r="F266" i="1"/>
  <c r="L266" i="1" s="1"/>
  <c r="M266" i="1" s="1"/>
  <c r="N266" i="1" s="1"/>
  <c r="F388" i="1"/>
  <c r="L388" i="1" s="1"/>
  <c r="M388" i="1" s="1"/>
  <c r="N388" i="1" s="1"/>
  <c r="F510" i="1"/>
  <c r="L510" i="1" s="1"/>
  <c r="M510" i="1" s="1"/>
  <c r="N510" i="1" s="1"/>
  <c r="F632" i="1"/>
  <c r="L632" i="1" s="1"/>
  <c r="M632" i="1" s="1"/>
  <c r="N632" i="1" s="1"/>
  <c r="F754" i="1"/>
  <c r="L754" i="1" s="1"/>
  <c r="M754" i="1" s="1"/>
  <c r="N754" i="1" s="1"/>
  <c r="F876" i="1"/>
  <c r="L876" i="1" s="1"/>
  <c r="M876" i="1" s="1"/>
  <c r="N876" i="1" s="1"/>
  <c r="F23" i="1"/>
  <c r="L23" i="1" s="1"/>
  <c r="M23" i="1" s="1"/>
  <c r="N23" i="1" s="1"/>
  <c r="F145" i="1"/>
  <c r="L145" i="1" s="1"/>
  <c r="M145" i="1" s="1"/>
  <c r="N145" i="1" s="1"/>
  <c r="F267" i="1"/>
  <c r="L267" i="1" s="1"/>
  <c r="M267" i="1" s="1"/>
  <c r="N267" i="1" s="1"/>
  <c r="F389" i="1"/>
  <c r="L389" i="1" s="1"/>
  <c r="M389" i="1" s="1"/>
  <c r="N389" i="1" s="1"/>
  <c r="F511" i="1"/>
  <c r="L511" i="1" s="1"/>
  <c r="M511" i="1" s="1"/>
  <c r="N511" i="1" s="1"/>
  <c r="F633" i="1"/>
  <c r="L633" i="1" s="1"/>
  <c r="M633" i="1" s="1"/>
  <c r="N633" i="1" s="1"/>
  <c r="F755" i="1"/>
  <c r="L755" i="1" s="1"/>
  <c r="M755" i="1" s="1"/>
  <c r="N755" i="1" s="1"/>
  <c r="F877" i="1"/>
  <c r="L877" i="1" s="1"/>
  <c r="M877" i="1" s="1"/>
  <c r="N877" i="1" s="1"/>
  <c r="F24" i="1"/>
  <c r="L24" i="1" s="1"/>
  <c r="M24" i="1" s="1"/>
  <c r="N24" i="1" s="1"/>
  <c r="F146" i="1"/>
  <c r="L146" i="1" s="1"/>
  <c r="M146" i="1" s="1"/>
  <c r="N146" i="1" s="1"/>
  <c r="F268" i="1"/>
  <c r="L268" i="1" s="1"/>
  <c r="M268" i="1" s="1"/>
  <c r="N268" i="1" s="1"/>
  <c r="F390" i="1"/>
  <c r="L390" i="1" s="1"/>
  <c r="M390" i="1" s="1"/>
  <c r="N390" i="1" s="1"/>
  <c r="F512" i="1"/>
  <c r="L512" i="1" s="1"/>
  <c r="M512" i="1" s="1"/>
  <c r="N512" i="1" s="1"/>
  <c r="F634" i="1"/>
  <c r="L634" i="1" s="1"/>
  <c r="M634" i="1" s="1"/>
  <c r="N634" i="1" s="1"/>
  <c r="F756" i="1"/>
  <c r="L756" i="1" s="1"/>
  <c r="M756" i="1" s="1"/>
  <c r="N756" i="1" s="1"/>
  <c r="F878" i="1"/>
  <c r="L878" i="1" s="1"/>
  <c r="M878" i="1" s="1"/>
  <c r="N878" i="1" s="1"/>
  <c r="F25" i="1"/>
  <c r="L25" i="1" s="1"/>
  <c r="M25" i="1" s="1"/>
  <c r="N25" i="1" s="1"/>
  <c r="F147" i="1"/>
  <c r="L147" i="1" s="1"/>
  <c r="M147" i="1" s="1"/>
  <c r="N147" i="1" s="1"/>
  <c r="F269" i="1"/>
  <c r="L269" i="1" s="1"/>
  <c r="M269" i="1" s="1"/>
  <c r="N269" i="1" s="1"/>
  <c r="F391" i="1"/>
  <c r="L391" i="1" s="1"/>
  <c r="M391" i="1" s="1"/>
  <c r="N391" i="1" s="1"/>
  <c r="F513" i="1"/>
  <c r="L513" i="1" s="1"/>
  <c r="M513" i="1" s="1"/>
  <c r="N513" i="1" s="1"/>
  <c r="F635" i="1"/>
  <c r="L635" i="1" s="1"/>
  <c r="M635" i="1" s="1"/>
  <c r="N635" i="1" s="1"/>
  <c r="F757" i="1"/>
  <c r="L757" i="1" s="1"/>
  <c r="M757" i="1" s="1"/>
  <c r="N757" i="1" s="1"/>
  <c r="F879" i="1"/>
  <c r="L879" i="1" s="1"/>
  <c r="M879" i="1" s="1"/>
  <c r="N879" i="1" s="1"/>
  <c r="F26" i="1"/>
  <c r="L26" i="1" s="1"/>
  <c r="M26" i="1" s="1"/>
  <c r="N26" i="1" s="1"/>
  <c r="F148" i="1"/>
  <c r="L148" i="1" s="1"/>
  <c r="M148" i="1" s="1"/>
  <c r="N148" i="1" s="1"/>
  <c r="F270" i="1"/>
  <c r="L270" i="1" s="1"/>
  <c r="M270" i="1" s="1"/>
  <c r="N270" i="1" s="1"/>
  <c r="F392" i="1"/>
  <c r="L392" i="1" s="1"/>
  <c r="M392" i="1" s="1"/>
  <c r="N392" i="1" s="1"/>
  <c r="F514" i="1"/>
  <c r="L514" i="1" s="1"/>
  <c r="M514" i="1" s="1"/>
  <c r="N514" i="1" s="1"/>
  <c r="F636" i="1"/>
  <c r="L636" i="1" s="1"/>
  <c r="M636" i="1" s="1"/>
  <c r="N636" i="1" s="1"/>
  <c r="F758" i="1"/>
  <c r="L758" i="1" s="1"/>
  <c r="M758" i="1" s="1"/>
  <c r="N758" i="1" s="1"/>
  <c r="F880" i="1"/>
  <c r="L880" i="1" s="1"/>
  <c r="M880" i="1" s="1"/>
  <c r="N880" i="1" s="1"/>
  <c r="F27" i="1"/>
  <c r="L27" i="1" s="1"/>
  <c r="M27" i="1" s="1"/>
  <c r="N27" i="1" s="1"/>
  <c r="F149" i="1"/>
  <c r="L149" i="1" s="1"/>
  <c r="M149" i="1" s="1"/>
  <c r="N149" i="1" s="1"/>
  <c r="F271" i="1"/>
  <c r="L271" i="1" s="1"/>
  <c r="M271" i="1" s="1"/>
  <c r="N271" i="1" s="1"/>
  <c r="F393" i="1"/>
  <c r="L393" i="1" s="1"/>
  <c r="M393" i="1" s="1"/>
  <c r="N393" i="1" s="1"/>
  <c r="F515" i="1"/>
  <c r="L515" i="1" s="1"/>
  <c r="M515" i="1" s="1"/>
  <c r="N515" i="1" s="1"/>
  <c r="F637" i="1"/>
  <c r="L637" i="1" s="1"/>
  <c r="M637" i="1" s="1"/>
  <c r="N637" i="1" s="1"/>
  <c r="F759" i="1"/>
  <c r="L759" i="1" s="1"/>
  <c r="M759" i="1" s="1"/>
  <c r="N759" i="1" s="1"/>
  <c r="F881" i="1"/>
  <c r="L881" i="1" s="1"/>
  <c r="M881" i="1" s="1"/>
  <c r="N881" i="1" s="1"/>
  <c r="F28" i="1"/>
  <c r="L28" i="1" s="1"/>
  <c r="M28" i="1" s="1"/>
  <c r="N28" i="1" s="1"/>
  <c r="F150" i="1"/>
  <c r="L150" i="1" s="1"/>
  <c r="M150" i="1" s="1"/>
  <c r="N150" i="1" s="1"/>
  <c r="F272" i="1"/>
  <c r="L272" i="1" s="1"/>
  <c r="M272" i="1" s="1"/>
  <c r="N272" i="1" s="1"/>
  <c r="F394" i="1"/>
  <c r="L394" i="1" s="1"/>
  <c r="M394" i="1" s="1"/>
  <c r="N394" i="1" s="1"/>
  <c r="F516" i="1"/>
  <c r="L516" i="1" s="1"/>
  <c r="M516" i="1" s="1"/>
  <c r="N516" i="1" s="1"/>
  <c r="F638" i="1"/>
  <c r="L638" i="1" s="1"/>
  <c r="M638" i="1" s="1"/>
  <c r="N638" i="1" s="1"/>
  <c r="F760" i="1"/>
  <c r="L760" i="1" s="1"/>
  <c r="M760" i="1" s="1"/>
  <c r="N760" i="1" s="1"/>
  <c r="F882" i="1"/>
  <c r="L882" i="1" s="1"/>
  <c r="M882" i="1" s="1"/>
  <c r="N882" i="1" s="1"/>
  <c r="F29" i="1"/>
  <c r="L29" i="1" s="1"/>
  <c r="M29" i="1" s="1"/>
  <c r="N29" i="1" s="1"/>
  <c r="F151" i="1"/>
  <c r="L151" i="1" s="1"/>
  <c r="M151" i="1" s="1"/>
  <c r="N151" i="1" s="1"/>
  <c r="F273" i="1"/>
  <c r="L273" i="1" s="1"/>
  <c r="M273" i="1" s="1"/>
  <c r="N273" i="1" s="1"/>
  <c r="F395" i="1"/>
  <c r="L395" i="1" s="1"/>
  <c r="M395" i="1" s="1"/>
  <c r="N395" i="1" s="1"/>
  <c r="F517" i="1"/>
  <c r="L517" i="1" s="1"/>
  <c r="M517" i="1" s="1"/>
  <c r="N517" i="1" s="1"/>
  <c r="F639" i="1"/>
  <c r="L639" i="1" s="1"/>
  <c r="M639" i="1" s="1"/>
  <c r="N639" i="1" s="1"/>
  <c r="F761" i="1"/>
  <c r="L761" i="1" s="1"/>
  <c r="M761" i="1" s="1"/>
  <c r="N761" i="1" s="1"/>
  <c r="F883" i="1"/>
  <c r="L883" i="1" s="1"/>
  <c r="M883" i="1" s="1"/>
  <c r="N883" i="1" s="1"/>
  <c r="F30" i="1"/>
  <c r="L30" i="1" s="1"/>
  <c r="M30" i="1" s="1"/>
  <c r="N30" i="1" s="1"/>
  <c r="F152" i="1"/>
  <c r="L152" i="1" s="1"/>
  <c r="M152" i="1" s="1"/>
  <c r="N152" i="1" s="1"/>
  <c r="F274" i="1"/>
  <c r="L274" i="1" s="1"/>
  <c r="M274" i="1" s="1"/>
  <c r="N274" i="1" s="1"/>
  <c r="F396" i="1"/>
  <c r="L396" i="1" s="1"/>
  <c r="M396" i="1" s="1"/>
  <c r="N396" i="1" s="1"/>
  <c r="F518" i="1"/>
  <c r="L518" i="1" s="1"/>
  <c r="M518" i="1" s="1"/>
  <c r="N518" i="1" s="1"/>
  <c r="F640" i="1"/>
  <c r="L640" i="1" s="1"/>
  <c r="M640" i="1" s="1"/>
  <c r="N640" i="1" s="1"/>
  <c r="F762" i="1"/>
  <c r="L762" i="1" s="1"/>
  <c r="M762" i="1" s="1"/>
  <c r="N762" i="1" s="1"/>
  <c r="F884" i="1"/>
  <c r="L884" i="1" s="1"/>
  <c r="M884" i="1" s="1"/>
  <c r="N884" i="1" s="1"/>
  <c r="F31" i="1"/>
  <c r="L31" i="1" s="1"/>
  <c r="M31" i="1" s="1"/>
  <c r="N31" i="1" s="1"/>
  <c r="F153" i="1"/>
  <c r="L153" i="1" s="1"/>
  <c r="M153" i="1" s="1"/>
  <c r="N153" i="1" s="1"/>
  <c r="F275" i="1"/>
  <c r="L275" i="1" s="1"/>
  <c r="M275" i="1" s="1"/>
  <c r="N275" i="1" s="1"/>
  <c r="F397" i="1"/>
  <c r="L397" i="1" s="1"/>
  <c r="M397" i="1" s="1"/>
  <c r="N397" i="1" s="1"/>
  <c r="F519" i="1"/>
  <c r="L519" i="1" s="1"/>
  <c r="M519" i="1" s="1"/>
  <c r="N519" i="1" s="1"/>
  <c r="F641" i="1"/>
  <c r="L641" i="1" s="1"/>
  <c r="M641" i="1" s="1"/>
  <c r="N641" i="1" s="1"/>
  <c r="F763" i="1"/>
  <c r="L763" i="1" s="1"/>
  <c r="M763" i="1" s="1"/>
  <c r="N763" i="1" s="1"/>
  <c r="F885" i="1"/>
  <c r="L885" i="1" s="1"/>
  <c r="M885" i="1" s="1"/>
  <c r="N885" i="1" s="1"/>
  <c r="F32" i="1"/>
  <c r="L32" i="1" s="1"/>
  <c r="M32" i="1" s="1"/>
  <c r="N32" i="1" s="1"/>
  <c r="F154" i="1"/>
  <c r="L154" i="1" s="1"/>
  <c r="M154" i="1" s="1"/>
  <c r="N154" i="1" s="1"/>
  <c r="F276" i="1"/>
  <c r="L276" i="1" s="1"/>
  <c r="M276" i="1" s="1"/>
  <c r="N276" i="1" s="1"/>
  <c r="F398" i="1"/>
  <c r="L398" i="1" s="1"/>
  <c r="M398" i="1" s="1"/>
  <c r="N398" i="1" s="1"/>
  <c r="F520" i="1"/>
  <c r="L520" i="1" s="1"/>
  <c r="M520" i="1" s="1"/>
  <c r="N520" i="1" s="1"/>
  <c r="F642" i="1"/>
  <c r="L642" i="1" s="1"/>
  <c r="M642" i="1" s="1"/>
  <c r="N642" i="1" s="1"/>
  <c r="F764" i="1"/>
  <c r="L764" i="1" s="1"/>
  <c r="M764" i="1" s="1"/>
  <c r="N764" i="1" s="1"/>
  <c r="F886" i="1"/>
  <c r="L886" i="1" s="1"/>
  <c r="M886" i="1" s="1"/>
  <c r="N886" i="1" s="1"/>
  <c r="F33" i="1"/>
  <c r="L33" i="1" s="1"/>
  <c r="M33" i="1" s="1"/>
  <c r="N33" i="1" s="1"/>
  <c r="F155" i="1"/>
  <c r="L155" i="1" s="1"/>
  <c r="M155" i="1" s="1"/>
  <c r="N155" i="1" s="1"/>
  <c r="F277" i="1"/>
  <c r="L277" i="1" s="1"/>
  <c r="M277" i="1" s="1"/>
  <c r="N277" i="1" s="1"/>
  <c r="F399" i="1"/>
  <c r="L399" i="1" s="1"/>
  <c r="M399" i="1" s="1"/>
  <c r="N399" i="1" s="1"/>
  <c r="F521" i="1"/>
  <c r="L521" i="1" s="1"/>
  <c r="M521" i="1" s="1"/>
  <c r="N521" i="1" s="1"/>
  <c r="F643" i="1"/>
  <c r="L643" i="1" s="1"/>
  <c r="M643" i="1" s="1"/>
  <c r="N643" i="1" s="1"/>
  <c r="F765" i="1"/>
  <c r="L765" i="1" s="1"/>
  <c r="M765" i="1" s="1"/>
  <c r="N765" i="1" s="1"/>
  <c r="F887" i="1"/>
  <c r="L887" i="1" s="1"/>
  <c r="M887" i="1" s="1"/>
  <c r="N887" i="1" s="1"/>
  <c r="F34" i="1"/>
  <c r="L34" i="1" s="1"/>
  <c r="M34" i="1" s="1"/>
  <c r="N34" i="1" s="1"/>
  <c r="F156" i="1"/>
  <c r="L156" i="1" s="1"/>
  <c r="M156" i="1" s="1"/>
  <c r="N156" i="1" s="1"/>
  <c r="F278" i="1"/>
  <c r="L278" i="1" s="1"/>
  <c r="M278" i="1" s="1"/>
  <c r="N278" i="1" s="1"/>
  <c r="F400" i="1"/>
  <c r="L400" i="1" s="1"/>
  <c r="M400" i="1" s="1"/>
  <c r="N400" i="1" s="1"/>
  <c r="F522" i="1"/>
  <c r="L522" i="1" s="1"/>
  <c r="M522" i="1" s="1"/>
  <c r="N522" i="1" s="1"/>
  <c r="F644" i="1"/>
  <c r="L644" i="1" s="1"/>
  <c r="M644" i="1" s="1"/>
  <c r="N644" i="1" s="1"/>
  <c r="F766" i="1"/>
  <c r="L766" i="1" s="1"/>
  <c r="M766" i="1" s="1"/>
  <c r="N766" i="1" s="1"/>
  <c r="F888" i="1"/>
  <c r="L888" i="1" s="1"/>
  <c r="M888" i="1" s="1"/>
  <c r="N888" i="1" s="1"/>
  <c r="F35" i="1"/>
  <c r="L35" i="1" s="1"/>
  <c r="M35" i="1" s="1"/>
  <c r="N35" i="1" s="1"/>
  <c r="F157" i="1"/>
  <c r="L157" i="1" s="1"/>
  <c r="M157" i="1" s="1"/>
  <c r="N157" i="1" s="1"/>
  <c r="F279" i="1"/>
  <c r="L279" i="1" s="1"/>
  <c r="M279" i="1" s="1"/>
  <c r="N279" i="1" s="1"/>
  <c r="F401" i="1"/>
  <c r="L401" i="1" s="1"/>
  <c r="M401" i="1" s="1"/>
  <c r="N401" i="1" s="1"/>
  <c r="F523" i="1"/>
  <c r="L523" i="1" s="1"/>
  <c r="M523" i="1" s="1"/>
  <c r="N523" i="1" s="1"/>
  <c r="F645" i="1"/>
  <c r="L645" i="1" s="1"/>
  <c r="M645" i="1" s="1"/>
  <c r="N645" i="1" s="1"/>
  <c r="F767" i="1"/>
  <c r="L767" i="1" s="1"/>
  <c r="M767" i="1" s="1"/>
  <c r="N767" i="1" s="1"/>
  <c r="F889" i="1"/>
  <c r="L889" i="1" s="1"/>
  <c r="M889" i="1" s="1"/>
  <c r="N889" i="1" s="1"/>
  <c r="F36" i="1"/>
  <c r="L36" i="1" s="1"/>
  <c r="M36" i="1" s="1"/>
  <c r="N36" i="1" s="1"/>
  <c r="F158" i="1"/>
  <c r="L158" i="1" s="1"/>
  <c r="M158" i="1" s="1"/>
  <c r="N158" i="1" s="1"/>
  <c r="F280" i="1"/>
  <c r="L280" i="1" s="1"/>
  <c r="M280" i="1" s="1"/>
  <c r="N280" i="1" s="1"/>
  <c r="F402" i="1"/>
  <c r="L402" i="1" s="1"/>
  <c r="M402" i="1" s="1"/>
  <c r="N402" i="1" s="1"/>
  <c r="F524" i="1"/>
  <c r="L524" i="1" s="1"/>
  <c r="M524" i="1" s="1"/>
  <c r="N524" i="1" s="1"/>
  <c r="F646" i="1"/>
  <c r="L646" i="1" s="1"/>
  <c r="M646" i="1" s="1"/>
  <c r="N646" i="1" s="1"/>
  <c r="F768" i="1"/>
  <c r="L768" i="1" s="1"/>
  <c r="M768" i="1" s="1"/>
  <c r="N768" i="1" s="1"/>
  <c r="F890" i="1"/>
  <c r="L890" i="1" s="1"/>
  <c r="M890" i="1" s="1"/>
  <c r="N890" i="1" s="1"/>
  <c r="F37" i="1"/>
  <c r="L37" i="1" s="1"/>
  <c r="M37" i="1" s="1"/>
  <c r="N37" i="1" s="1"/>
  <c r="F159" i="1"/>
  <c r="L159" i="1" s="1"/>
  <c r="M159" i="1" s="1"/>
  <c r="N159" i="1" s="1"/>
  <c r="F281" i="1"/>
  <c r="L281" i="1" s="1"/>
  <c r="M281" i="1" s="1"/>
  <c r="N281" i="1" s="1"/>
  <c r="F403" i="1"/>
  <c r="L403" i="1" s="1"/>
  <c r="M403" i="1" s="1"/>
  <c r="N403" i="1" s="1"/>
  <c r="F525" i="1"/>
  <c r="L525" i="1" s="1"/>
  <c r="M525" i="1" s="1"/>
  <c r="N525" i="1" s="1"/>
  <c r="F647" i="1"/>
  <c r="L647" i="1" s="1"/>
  <c r="M647" i="1" s="1"/>
  <c r="N647" i="1" s="1"/>
  <c r="F769" i="1"/>
  <c r="L769" i="1" s="1"/>
  <c r="M769" i="1" s="1"/>
  <c r="N769" i="1" s="1"/>
  <c r="F891" i="1"/>
  <c r="L891" i="1" s="1"/>
  <c r="M891" i="1" s="1"/>
  <c r="N891" i="1" s="1"/>
  <c r="F38" i="1"/>
  <c r="L38" i="1" s="1"/>
  <c r="M38" i="1" s="1"/>
  <c r="N38" i="1" s="1"/>
  <c r="F160" i="1"/>
  <c r="L160" i="1" s="1"/>
  <c r="M160" i="1" s="1"/>
  <c r="N160" i="1" s="1"/>
  <c r="F282" i="1"/>
  <c r="L282" i="1" s="1"/>
  <c r="M282" i="1" s="1"/>
  <c r="N282" i="1" s="1"/>
  <c r="F404" i="1"/>
  <c r="L404" i="1" s="1"/>
  <c r="M404" i="1" s="1"/>
  <c r="N404" i="1" s="1"/>
  <c r="F526" i="1"/>
  <c r="L526" i="1" s="1"/>
  <c r="M526" i="1" s="1"/>
  <c r="N526" i="1" s="1"/>
  <c r="F648" i="1"/>
  <c r="L648" i="1" s="1"/>
  <c r="M648" i="1" s="1"/>
  <c r="N648" i="1" s="1"/>
  <c r="F770" i="1"/>
  <c r="L770" i="1" s="1"/>
  <c r="M770" i="1" s="1"/>
  <c r="N770" i="1" s="1"/>
  <c r="F892" i="1"/>
  <c r="L892" i="1" s="1"/>
  <c r="M892" i="1" s="1"/>
  <c r="N892" i="1" s="1"/>
  <c r="F39" i="1"/>
  <c r="L39" i="1" s="1"/>
  <c r="M39" i="1" s="1"/>
  <c r="N39" i="1" s="1"/>
  <c r="F161" i="1"/>
  <c r="L161" i="1" s="1"/>
  <c r="M161" i="1" s="1"/>
  <c r="N161" i="1" s="1"/>
  <c r="F283" i="1"/>
  <c r="L283" i="1" s="1"/>
  <c r="M283" i="1" s="1"/>
  <c r="N283" i="1" s="1"/>
  <c r="F405" i="1"/>
  <c r="L405" i="1" s="1"/>
  <c r="M405" i="1" s="1"/>
  <c r="N405" i="1" s="1"/>
  <c r="F527" i="1"/>
  <c r="L527" i="1" s="1"/>
  <c r="M527" i="1" s="1"/>
  <c r="N527" i="1" s="1"/>
  <c r="F649" i="1"/>
  <c r="L649" i="1" s="1"/>
  <c r="M649" i="1" s="1"/>
  <c r="N649" i="1" s="1"/>
  <c r="F771" i="1"/>
  <c r="L771" i="1" s="1"/>
  <c r="M771" i="1" s="1"/>
  <c r="N771" i="1" s="1"/>
  <c r="F893" i="1"/>
  <c r="L893" i="1" s="1"/>
  <c r="M893" i="1" s="1"/>
  <c r="N893" i="1" s="1"/>
  <c r="F40" i="1"/>
  <c r="L40" i="1" s="1"/>
  <c r="M40" i="1" s="1"/>
  <c r="N40" i="1" s="1"/>
  <c r="F162" i="1"/>
  <c r="L162" i="1" s="1"/>
  <c r="M162" i="1" s="1"/>
  <c r="N162" i="1" s="1"/>
  <c r="F284" i="1"/>
  <c r="L284" i="1" s="1"/>
  <c r="M284" i="1" s="1"/>
  <c r="N284" i="1" s="1"/>
  <c r="F406" i="1"/>
  <c r="L406" i="1" s="1"/>
  <c r="M406" i="1" s="1"/>
  <c r="N406" i="1" s="1"/>
  <c r="F528" i="1"/>
  <c r="L528" i="1" s="1"/>
  <c r="M528" i="1" s="1"/>
  <c r="N528" i="1" s="1"/>
  <c r="F650" i="1"/>
  <c r="L650" i="1" s="1"/>
  <c r="M650" i="1" s="1"/>
  <c r="N650" i="1" s="1"/>
  <c r="F772" i="1"/>
  <c r="L772" i="1" s="1"/>
  <c r="M772" i="1" s="1"/>
  <c r="N772" i="1" s="1"/>
  <c r="F894" i="1"/>
  <c r="L894" i="1" s="1"/>
  <c r="M894" i="1" s="1"/>
  <c r="N894" i="1" s="1"/>
  <c r="F41" i="1"/>
  <c r="L41" i="1" s="1"/>
  <c r="M41" i="1" s="1"/>
  <c r="N41" i="1" s="1"/>
  <c r="F163" i="1"/>
  <c r="L163" i="1" s="1"/>
  <c r="M163" i="1" s="1"/>
  <c r="N163" i="1" s="1"/>
  <c r="F285" i="1"/>
  <c r="L285" i="1" s="1"/>
  <c r="M285" i="1" s="1"/>
  <c r="N285" i="1" s="1"/>
  <c r="F407" i="1"/>
  <c r="L407" i="1" s="1"/>
  <c r="M407" i="1" s="1"/>
  <c r="N407" i="1" s="1"/>
  <c r="F529" i="1"/>
  <c r="L529" i="1" s="1"/>
  <c r="M529" i="1" s="1"/>
  <c r="N529" i="1" s="1"/>
  <c r="F651" i="1"/>
  <c r="L651" i="1" s="1"/>
  <c r="M651" i="1" s="1"/>
  <c r="N651" i="1" s="1"/>
  <c r="F773" i="1"/>
  <c r="L773" i="1" s="1"/>
  <c r="M773" i="1" s="1"/>
  <c r="N773" i="1" s="1"/>
  <c r="F895" i="1"/>
  <c r="L895" i="1" s="1"/>
  <c r="M895" i="1" s="1"/>
  <c r="N895" i="1" s="1"/>
  <c r="F42" i="1"/>
  <c r="L42" i="1" s="1"/>
  <c r="M42" i="1" s="1"/>
  <c r="N42" i="1" s="1"/>
  <c r="F164" i="1"/>
  <c r="L164" i="1" s="1"/>
  <c r="M164" i="1" s="1"/>
  <c r="N164" i="1" s="1"/>
  <c r="F286" i="1"/>
  <c r="L286" i="1" s="1"/>
  <c r="M286" i="1" s="1"/>
  <c r="N286" i="1" s="1"/>
  <c r="F408" i="1"/>
  <c r="L408" i="1" s="1"/>
  <c r="M408" i="1" s="1"/>
  <c r="N408" i="1" s="1"/>
  <c r="F530" i="1"/>
  <c r="L530" i="1" s="1"/>
  <c r="M530" i="1" s="1"/>
  <c r="N530" i="1" s="1"/>
  <c r="F652" i="1"/>
  <c r="L652" i="1" s="1"/>
  <c r="M652" i="1" s="1"/>
  <c r="N652" i="1" s="1"/>
  <c r="F774" i="1"/>
  <c r="L774" i="1" s="1"/>
  <c r="M774" i="1" s="1"/>
  <c r="N774" i="1" s="1"/>
  <c r="F896" i="1"/>
  <c r="L896" i="1" s="1"/>
  <c r="M896" i="1" s="1"/>
  <c r="N896" i="1" s="1"/>
  <c r="F43" i="1"/>
  <c r="L43" i="1" s="1"/>
  <c r="M43" i="1" s="1"/>
  <c r="N43" i="1" s="1"/>
  <c r="F165" i="1"/>
  <c r="L165" i="1" s="1"/>
  <c r="M165" i="1" s="1"/>
  <c r="N165" i="1" s="1"/>
  <c r="F287" i="1"/>
  <c r="L287" i="1" s="1"/>
  <c r="M287" i="1" s="1"/>
  <c r="N287" i="1" s="1"/>
  <c r="F409" i="1"/>
  <c r="L409" i="1" s="1"/>
  <c r="M409" i="1" s="1"/>
  <c r="N409" i="1" s="1"/>
  <c r="F531" i="1"/>
  <c r="L531" i="1" s="1"/>
  <c r="M531" i="1" s="1"/>
  <c r="N531" i="1" s="1"/>
  <c r="F653" i="1"/>
  <c r="L653" i="1" s="1"/>
  <c r="M653" i="1" s="1"/>
  <c r="N653" i="1" s="1"/>
  <c r="F775" i="1"/>
  <c r="L775" i="1" s="1"/>
  <c r="M775" i="1" s="1"/>
  <c r="N775" i="1" s="1"/>
  <c r="F897" i="1"/>
  <c r="L897" i="1" s="1"/>
  <c r="M897" i="1" s="1"/>
  <c r="N897" i="1" s="1"/>
  <c r="F44" i="1"/>
  <c r="L44" i="1" s="1"/>
  <c r="M44" i="1" s="1"/>
  <c r="N44" i="1" s="1"/>
  <c r="F166" i="1"/>
  <c r="L166" i="1" s="1"/>
  <c r="M166" i="1" s="1"/>
  <c r="N166" i="1" s="1"/>
  <c r="F288" i="1"/>
  <c r="L288" i="1" s="1"/>
  <c r="M288" i="1" s="1"/>
  <c r="N288" i="1" s="1"/>
  <c r="F410" i="1"/>
  <c r="L410" i="1" s="1"/>
  <c r="M410" i="1" s="1"/>
  <c r="N410" i="1" s="1"/>
  <c r="F532" i="1"/>
  <c r="L532" i="1" s="1"/>
  <c r="M532" i="1" s="1"/>
  <c r="N532" i="1" s="1"/>
  <c r="F654" i="1"/>
  <c r="L654" i="1" s="1"/>
  <c r="M654" i="1" s="1"/>
  <c r="N654" i="1" s="1"/>
  <c r="F776" i="1"/>
  <c r="L776" i="1" s="1"/>
  <c r="M776" i="1" s="1"/>
  <c r="N776" i="1" s="1"/>
  <c r="F898" i="1"/>
  <c r="L898" i="1" s="1"/>
  <c r="M898" i="1" s="1"/>
  <c r="N898" i="1" s="1"/>
  <c r="F45" i="1"/>
  <c r="L45" i="1" s="1"/>
  <c r="M45" i="1" s="1"/>
  <c r="N45" i="1" s="1"/>
  <c r="F167" i="1"/>
  <c r="L167" i="1" s="1"/>
  <c r="M167" i="1" s="1"/>
  <c r="N167" i="1" s="1"/>
  <c r="F289" i="1"/>
  <c r="L289" i="1" s="1"/>
  <c r="M289" i="1" s="1"/>
  <c r="N289" i="1" s="1"/>
  <c r="F411" i="1"/>
  <c r="L411" i="1" s="1"/>
  <c r="M411" i="1" s="1"/>
  <c r="N411" i="1" s="1"/>
  <c r="F533" i="1"/>
  <c r="L533" i="1" s="1"/>
  <c r="M533" i="1" s="1"/>
  <c r="N533" i="1" s="1"/>
  <c r="F655" i="1"/>
  <c r="L655" i="1" s="1"/>
  <c r="M655" i="1" s="1"/>
  <c r="N655" i="1" s="1"/>
  <c r="F777" i="1"/>
  <c r="L777" i="1" s="1"/>
  <c r="M777" i="1" s="1"/>
  <c r="N777" i="1" s="1"/>
  <c r="F899" i="1"/>
  <c r="L899" i="1" s="1"/>
  <c r="M899" i="1" s="1"/>
  <c r="N899" i="1" s="1"/>
  <c r="F46" i="1"/>
  <c r="L46" i="1" s="1"/>
  <c r="M46" i="1" s="1"/>
  <c r="N46" i="1" s="1"/>
  <c r="F168" i="1"/>
  <c r="L168" i="1" s="1"/>
  <c r="M168" i="1" s="1"/>
  <c r="N168" i="1" s="1"/>
  <c r="F290" i="1"/>
  <c r="L290" i="1" s="1"/>
  <c r="M290" i="1" s="1"/>
  <c r="N290" i="1" s="1"/>
  <c r="F412" i="1"/>
  <c r="L412" i="1" s="1"/>
  <c r="M412" i="1" s="1"/>
  <c r="N412" i="1" s="1"/>
  <c r="F534" i="1"/>
  <c r="L534" i="1" s="1"/>
  <c r="M534" i="1" s="1"/>
  <c r="N534" i="1" s="1"/>
  <c r="F656" i="1"/>
  <c r="L656" i="1" s="1"/>
  <c r="M656" i="1" s="1"/>
  <c r="N656" i="1" s="1"/>
  <c r="F778" i="1"/>
  <c r="L778" i="1" s="1"/>
  <c r="M778" i="1" s="1"/>
  <c r="N778" i="1" s="1"/>
  <c r="F900" i="1"/>
  <c r="L900" i="1" s="1"/>
  <c r="M900" i="1" s="1"/>
  <c r="N900" i="1" s="1"/>
  <c r="F47" i="1"/>
  <c r="L47" i="1" s="1"/>
  <c r="M47" i="1" s="1"/>
  <c r="N47" i="1" s="1"/>
  <c r="F169" i="1"/>
  <c r="L169" i="1" s="1"/>
  <c r="M169" i="1" s="1"/>
  <c r="N169" i="1" s="1"/>
  <c r="F291" i="1"/>
  <c r="L291" i="1" s="1"/>
  <c r="M291" i="1" s="1"/>
  <c r="N291" i="1" s="1"/>
  <c r="F413" i="1"/>
  <c r="L413" i="1" s="1"/>
  <c r="M413" i="1" s="1"/>
  <c r="N413" i="1" s="1"/>
  <c r="F535" i="1"/>
  <c r="L535" i="1" s="1"/>
  <c r="M535" i="1" s="1"/>
  <c r="N535" i="1" s="1"/>
  <c r="F657" i="1"/>
  <c r="L657" i="1" s="1"/>
  <c r="M657" i="1" s="1"/>
  <c r="N657" i="1" s="1"/>
  <c r="F779" i="1"/>
  <c r="L779" i="1" s="1"/>
  <c r="M779" i="1" s="1"/>
  <c r="N779" i="1" s="1"/>
  <c r="F901" i="1"/>
  <c r="L901" i="1" s="1"/>
  <c r="M901" i="1" s="1"/>
  <c r="N901" i="1" s="1"/>
  <c r="F48" i="1"/>
  <c r="L48" i="1" s="1"/>
  <c r="M48" i="1" s="1"/>
  <c r="N48" i="1" s="1"/>
  <c r="F170" i="1"/>
  <c r="L170" i="1" s="1"/>
  <c r="M170" i="1" s="1"/>
  <c r="N170" i="1" s="1"/>
  <c r="F292" i="1"/>
  <c r="L292" i="1" s="1"/>
  <c r="M292" i="1" s="1"/>
  <c r="N292" i="1" s="1"/>
  <c r="F414" i="1"/>
  <c r="L414" i="1" s="1"/>
  <c r="M414" i="1" s="1"/>
  <c r="N414" i="1" s="1"/>
  <c r="F536" i="1"/>
  <c r="L536" i="1" s="1"/>
  <c r="M536" i="1" s="1"/>
  <c r="N536" i="1" s="1"/>
  <c r="F658" i="1"/>
  <c r="L658" i="1" s="1"/>
  <c r="M658" i="1" s="1"/>
  <c r="N658" i="1" s="1"/>
  <c r="F780" i="1"/>
  <c r="L780" i="1" s="1"/>
  <c r="M780" i="1" s="1"/>
  <c r="N780" i="1" s="1"/>
  <c r="F902" i="1"/>
  <c r="L902" i="1" s="1"/>
  <c r="M902" i="1" s="1"/>
  <c r="N902" i="1" s="1"/>
  <c r="F49" i="1"/>
  <c r="L49" i="1" s="1"/>
  <c r="M49" i="1" s="1"/>
  <c r="N49" i="1" s="1"/>
  <c r="F171" i="1"/>
  <c r="L171" i="1" s="1"/>
  <c r="M171" i="1" s="1"/>
  <c r="N171" i="1" s="1"/>
  <c r="F293" i="1"/>
  <c r="L293" i="1" s="1"/>
  <c r="M293" i="1" s="1"/>
  <c r="N293" i="1" s="1"/>
  <c r="F415" i="1"/>
  <c r="L415" i="1" s="1"/>
  <c r="M415" i="1" s="1"/>
  <c r="N415" i="1" s="1"/>
  <c r="F537" i="1"/>
  <c r="L537" i="1" s="1"/>
  <c r="M537" i="1" s="1"/>
  <c r="N537" i="1" s="1"/>
  <c r="F659" i="1"/>
  <c r="L659" i="1" s="1"/>
  <c r="M659" i="1" s="1"/>
  <c r="N659" i="1" s="1"/>
  <c r="F781" i="1"/>
  <c r="L781" i="1" s="1"/>
  <c r="M781" i="1" s="1"/>
  <c r="N781" i="1" s="1"/>
  <c r="F903" i="1"/>
  <c r="L903" i="1" s="1"/>
  <c r="M903" i="1" s="1"/>
  <c r="N903" i="1" s="1"/>
  <c r="F50" i="1"/>
  <c r="L50" i="1" s="1"/>
  <c r="M50" i="1" s="1"/>
  <c r="N50" i="1" s="1"/>
  <c r="F172" i="1"/>
  <c r="L172" i="1" s="1"/>
  <c r="M172" i="1" s="1"/>
  <c r="N172" i="1" s="1"/>
  <c r="F294" i="1"/>
  <c r="L294" i="1" s="1"/>
  <c r="M294" i="1" s="1"/>
  <c r="N294" i="1" s="1"/>
  <c r="F416" i="1"/>
  <c r="L416" i="1" s="1"/>
  <c r="M416" i="1" s="1"/>
  <c r="N416" i="1" s="1"/>
  <c r="F538" i="1"/>
  <c r="L538" i="1" s="1"/>
  <c r="M538" i="1" s="1"/>
  <c r="N538" i="1" s="1"/>
  <c r="F660" i="1"/>
  <c r="L660" i="1" s="1"/>
  <c r="M660" i="1" s="1"/>
  <c r="N660" i="1" s="1"/>
  <c r="F782" i="1"/>
  <c r="L782" i="1" s="1"/>
  <c r="M782" i="1" s="1"/>
  <c r="N782" i="1" s="1"/>
  <c r="F904" i="1"/>
  <c r="L904" i="1" s="1"/>
  <c r="M904" i="1" s="1"/>
  <c r="N904" i="1" s="1"/>
  <c r="F51" i="1"/>
  <c r="L51" i="1" s="1"/>
  <c r="M51" i="1" s="1"/>
  <c r="N51" i="1" s="1"/>
  <c r="F173" i="1"/>
  <c r="L173" i="1" s="1"/>
  <c r="M173" i="1" s="1"/>
  <c r="N173" i="1" s="1"/>
  <c r="F295" i="1"/>
  <c r="L295" i="1" s="1"/>
  <c r="M295" i="1" s="1"/>
  <c r="N295" i="1" s="1"/>
  <c r="F417" i="1"/>
  <c r="L417" i="1" s="1"/>
  <c r="M417" i="1" s="1"/>
  <c r="N417" i="1" s="1"/>
  <c r="F539" i="1"/>
  <c r="L539" i="1" s="1"/>
  <c r="M539" i="1" s="1"/>
  <c r="N539" i="1" s="1"/>
  <c r="F661" i="1"/>
  <c r="L661" i="1" s="1"/>
  <c r="M661" i="1" s="1"/>
  <c r="N661" i="1" s="1"/>
  <c r="F783" i="1"/>
  <c r="L783" i="1" s="1"/>
  <c r="M783" i="1" s="1"/>
  <c r="N783" i="1" s="1"/>
  <c r="F905" i="1"/>
  <c r="L905" i="1" s="1"/>
  <c r="M905" i="1" s="1"/>
  <c r="N905" i="1" s="1"/>
  <c r="F52" i="1"/>
  <c r="L52" i="1" s="1"/>
  <c r="M52" i="1" s="1"/>
  <c r="N52" i="1" s="1"/>
  <c r="F174" i="1"/>
  <c r="L174" i="1" s="1"/>
  <c r="M174" i="1" s="1"/>
  <c r="N174" i="1" s="1"/>
  <c r="F296" i="1"/>
  <c r="L296" i="1" s="1"/>
  <c r="M296" i="1" s="1"/>
  <c r="N296" i="1" s="1"/>
  <c r="F418" i="1"/>
  <c r="L418" i="1" s="1"/>
  <c r="M418" i="1" s="1"/>
  <c r="N418" i="1" s="1"/>
  <c r="F540" i="1"/>
  <c r="L540" i="1" s="1"/>
  <c r="M540" i="1" s="1"/>
  <c r="N540" i="1" s="1"/>
  <c r="F662" i="1"/>
  <c r="L662" i="1" s="1"/>
  <c r="M662" i="1" s="1"/>
  <c r="N662" i="1" s="1"/>
  <c r="F784" i="1"/>
  <c r="L784" i="1" s="1"/>
  <c r="M784" i="1" s="1"/>
  <c r="N784" i="1" s="1"/>
  <c r="F906" i="1"/>
  <c r="L906" i="1" s="1"/>
  <c r="M906" i="1" s="1"/>
  <c r="N906" i="1" s="1"/>
  <c r="F53" i="1"/>
  <c r="L53" i="1" s="1"/>
  <c r="M53" i="1" s="1"/>
  <c r="N53" i="1" s="1"/>
  <c r="F175" i="1"/>
  <c r="L175" i="1" s="1"/>
  <c r="M175" i="1" s="1"/>
  <c r="N175" i="1" s="1"/>
  <c r="F297" i="1"/>
  <c r="L297" i="1" s="1"/>
  <c r="M297" i="1" s="1"/>
  <c r="N297" i="1" s="1"/>
  <c r="F419" i="1"/>
  <c r="L419" i="1" s="1"/>
  <c r="M419" i="1" s="1"/>
  <c r="N419" i="1" s="1"/>
  <c r="F541" i="1"/>
  <c r="L541" i="1" s="1"/>
  <c r="M541" i="1" s="1"/>
  <c r="N541" i="1" s="1"/>
  <c r="F663" i="1"/>
  <c r="L663" i="1" s="1"/>
  <c r="M663" i="1" s="1"/>
  <c r="N663" i="1" s="1"/>
  <c r="F785" i="1"/>
  <c r="L785" i="1" s="1"/>
  <c r="M785" i="1" s="1"/>
  <c r="N785" i="1" s="1"/>
  <c r="F907" i="1"/>
  <c r="L907" i="1" s="1"/>
  <c r="M907" i="1" s="1"/>
  <c r="N907" i="1" s="1"/>
  <c r="F54" i="1"/>
  <c r="L54" i="1" s="1"/>
  <c r="M54" i="1" s="1"/>
  <c r="N54" i="1" s="1"/>
  <c r="F176" i="1"/>
  <c r="L176" i="1" s="1"/>
  <c r="M176" i="1" s="1"/>
  <c r="N176" i="1" s="1"/>
  <c r="F298" i="1"/>
  <c r="L298" i="1" s="1"/>
  <c r="M298" i="1" s="1"/>
  <c r="N298" i="1" s="1"/>
  <c r="F420" i="1"/>
  <c r="L420" i="1" s="1"/>
  <c r="M420" i="1" s="1"/>
  <c r="N420" i="1" s="1"/>
  <c r="F542" i="1"/>
  <c r="L542" i="1" s="1"/>
  <c r="M542" i="1" s="1"/>
  <c r="N542" i="1" s="1"/>
  <c r="F664" i="1"/>
  <c r="L664" i="1" s="1"/>
  <c r="M664" i="1" s="1"/>
  <c r="N664" i="1" s="1"/>
  <c r="F786" i="1"/>
  <c r="L786" i="1" s="1"/>
  <c r="M786" i="1" s="1"/>
  <c r="N786" i="1" s="1"/>
  <c r="F908" i="1"/>
  <c r="L908" i="1" s="1"/>
  <c r="M908" i="1" s="1"/>
  <c r="N908" i="1" s="1"/>
  <c r="F55" i="1"/>
  <c r="L55" i="1" s="1"/>
  <c r="M55" i="1" s="1"/>
  <c r="N55" i="1" s="1"/>
  <c r="F177" i="1"/>
  <c r="L177" i="1" s="1"/>
  <c r="M177" i="1" s="1"/>
  <c r="N177" i="1" s="1"/>
  <c r="F299" i="1"/>
  <c r="L299" i="1" s="1"/>
  <c r="M299" i="1" s="1"/>
  <c r="N299" i="1" s="1"/>
  <c r="F421" i="1"/>
  <c r="L421" i="1" s="1"/>
  <c r="M421" i="1" s="1"/>
  <c r="N421" i="1" s="1"/>
  <c r="F543" i="1"/>
  <c r="L543" i="1" s="1"/>
  <c r="M543" i="1" s="1"/>
  <c r="N543" i="1" s="1"/>
  <c r="F665" i="1"/>
  <c r="L665" i="1" s="1"/>
  <c r="M665" i="1" s="1"/>
  <c r="N665" i="1" s="1"/>
  <c r="F787" i="1"/>
  <c r="L787" i="1" s="1"/>
  <c r="M787" i="1" s="1"/>
  <c r="N787" i="1" s="1"/>
  <c r="F909" i="1"/>
  <c r="L909" i="1" s="1"/>
  <c r="M909" i="1" s="1"/>
  <c r="N909" i="1" s="1"/>
  <c r="F56" i="1"/>
  <c r="L56" i="1" s="1"/>
  <c r="M56" i="1" s="1"/>
  <c r="N56" i="1" s="1"/>
  <c r="F178" i="1"/>
  <c r="L178" i="1" s="1"/>
  <c r="M178" i="1" s="1"/>
  <c r="N178" i="1" s="1"/>
  <c r="F300" i="1"/>
  <c r="L300" i="1" s="1"/>
  <c r="M300" i="1" s="1"/>
  <c r="N300" i="1" s="1"/>
  <c r="F422" i="1"/>
  <c r="L422" i="1" s="1"/>
  <c r="M422" i="1" s="1"/>
  <c r="N422" i="1" s="1"/>
  <c r="F544" i="1"/>
  <c r="L544" i="1" s="1"/>
  <c r="M544" i="1" s="1"/>
  <c r="N544" i="1" s="1"/>
  <c r="F666" i="1"/>
  <c r="L666" i="1" s="1"/>
  <c r="M666" i="1" s="1"/>
  <c r="N666" i="1" s="1"/>
  <c r="F788" i="1"/>
  <c r="L788" i="1" s="1"/>
  <c r="M788" i="1" s="1"/>
  <c r="N788" i="1" s="1"/>
  <c r="F910" i="1"/>
  <c r="L910" i="1" s="1"/>
  <c r="M910" i="1" s="1"/>
  <c r="N910" i="1" s="1"/>
  <c r="F57" i="1"/>
  <c r="L57" i="1" s="1"/>
  <c r="M57" i="1" s="1"/>
  <c r="N57" i="1" s="1"/>
  <c r="F179" i="1"/>
  <c r="L179" i="1" s="1"/>
  <c r="M179" i="1" s="1"/>
  <c r="N179" i="1" s="1"/>
  <c r="F301" i="1"/>
  <c r="L301" i="1" s="1"/>
  <c r="M301" i="1" s="1"/>
  <c r="N301" i="1" s="1"/>
  <c r="F423" i="1"/>
  <c r="L423" i="1" s="1"/>
  <c r="M423" i="1" s="1"/>
  <c r="N423" i="1" s="1"/>
  <c r="F545" i="1"/>
  <c r="L545" i="1" s="1"/>
  <c r="M545" i="1" s="1"/>
  <c r="N545" i="1" s="1"/>
  <c r="F667" i="1"/>
  <c r="L667" i="1" s="1"/>
  <c r="M667" i="1" s="1"/>
  <c r="N667" i="1" s="1"/>
  <c r="F789" i="1"/>
  <c r="L789" i="1" s="1"/>
  <c r="M789" i="1" s="1"/>
  <c r="N789" i="1" s="1"/>
  <c r="F911" i="1"/>
  <c r="L911" i="1" s="1"/>
  <c r="M911" i="1" s="1"/>
  <c r="N911" i="1" s="1"/>
  <c r="F58" i="1"/>
  <c r="L58" i="1" s="1"/>
  <c r="M58" i="1" s="1"/>
  <c r="N58" i="1" s="1"/>
  <c r="F180" i="1"/>
  <c r="L180" i="1" s="1"/>
  <c r="M180" i="1" s="1"/>
  <c r="N180" i="1" s="1"/>
  <c r="F302" i="1"/>
  <c r="L302" i="1" s="1"/>
  <c r="M302" i="1" s="1"/>
  <c r="N302" i="1" s="1"/>
  <c r="F424" i="1"/>
  <c r="L424" i="1" s="1"/>
  <c r="M424" i="1" s="1"/>
  <c r="N424" i="1" s="1"/>
  <c r="F546" i="1"/>
  <c r="L546" i="1" s="1"/>
  <c r="M546" i="1" s="1"/>
  <c r="N546" i="1" s="1"/>
  <c r="F668" i="1"/>
  <c r="L668" i="1" s="1"/>
  <c r="M668" i="1" s="1"/>
  <c r="N668" i="1" s="1"/>
  <c r="F790" i="1"/>
  <c r="L790" i="1" s="1"/>
  <c r="M790" i="1" s="1"/>
  <c r="N790" i="1" s="1"/>
  <c r="F912" i="1"/>
  <c r="L912" i="1" s="1"/>
  <c r="M912" i="1" s="1"/>
  <c r="N912" i="1" s="1"/>
  <c r="F59" i="1"/>
  <c r="L59" i="1" s="1"/>
  <c r="M59" i="1" s="1"/>
  <c r="N59" i="1" s="1"/>
  <c r="F181" i="1"/>
  <c r="L181" i="1" s="1"/>
  <c r="M181" i="1" s="1"/>
  <c r="N181" i="1" s="1"/>
  <c r="F303" i="1"/>
  <c r="L303" i="1" s="1"/>
  <c r="M303" i="1" s="1"/>
  <c r="N303" i="1" s="1"/>
  <c r="F425" i="1"/>
  <c r="L425" i="1" s="1"/>
  <c r="M425" i="1" s="1"/>
  <c r="N425" i="1" s="1"/>
  <c r="F547" i="1"/>
  <c r="L547" i="1" s="1"/>
  <c r="M547" i="1" s="1"/>
  <c r="N547" i="1" s="1"/>
  <c r="F669" i="1"/>
  <c r="L669" i="1" s="1"/>
  <c r="M669" i="1" s="1"/>
  <c r="N669" i="1" s="1"/>
  <c r="F791" i="1"/>
  <c r="L791" i="1" s="1"/>
  <c r="M791" i="1" s="1"/>
  <c r="N791" i="1" s="1"/>
  <c r="F913" i="1"/>
  <c r="L913" i="1" s="1"/>
  <c r="M913" i="1" s="1"/>
  <c r="N913" i="1" s="1"/>
  <c r="F60" i="1"/>
  <c r="L60" i="1" s="1"/>
  <c r="M60" i="1" s="1"/>
  <c r="N60" i="1" s="1"/>
  <c r="F182" i="1"/>
  <c r="L182" i="1" s="1"/>
  <c r="M182" i="1" s="1"/>
  <c r="N182" i="1" s="1"/>
  <c r="F304" i="1"/>
  <c r="L304" i="1" s="1"/>
  <c r="M304" i="1" s="1"/>
  <c r="N304" i="1" s="1"/>
  <c r="F426" i="1"/>
  <c r="L426" i="1" s="1"/>
  <c r="M426" i="1" s="1"/>
  <c r="N426" i="1" s="1"/>
  <c r="F548" i="1"/>
  <c r="L548" i="1" s="1"/>
  <c r="M548" i="1" s="1"/>
  <c r="N548" i="1" s="1"/>
  <c r="F670" i="1"/>
  <c r="L670" i="1" s="1"/>
  <c r="M670" i="1" s="1"/>
  <c r="N670" i="1" s="1"/>
  <c r="F792" i="1"/>
  <c r="L792" i="1" s="1"/>
  <c r="M792" i="1" s="1"/>
  <c r="N792" i="1" s="1"/>
  <c r="F914" i="1"/>
  <c r="L914" i="1" s="1"/>
  <c r="M914" i="1" s="1"/>
  <c r="N914" i="1" s="1"/>
  <c r="F61" i="1"/>
  <c r="L61" i="1" s="1"/>
  <c r="M61" i="1" s="1"/>
  <c r="N61" i="1" s="1"/>
  <c r="F183" i="1"/>
  <c r="L183" i="1" s="1"/>
  <c r="M183" i="1" s="1"/>
  <c r="N183" i="1" s="1"/>
  <c r="F305" i="1"/>
  <c r="L305" i="1" s="1"/>
  <c r="M305" i="1" s="1"/>
  <c r="N305" i="1" s="1"/>
  <c r="F427" i="1"/>
  <c r="L427" i="1" s="1"/>
  <c r="M427" i="1" s="1"/>
  <c r="N427" i="1" s="1"/>
  <c r="F549" i="1"/>
  <c r="L549" i="1" s="1"/>
  <c r="M549" i="1" s="1"/>
  <c r="N549" i="1" s="1"/>
  <c r="F671" i="1"/>
  <c r="L671" i="1" s="1"/>
  <c r="M671" i="1" s="1"/>
  <c r="N671" i="1" s="1"/>
  <c r="F793" i="1"/>
  <c r="L793" i="1" s="1"/>
  <c r="M793" i="1" s="1"/>
  <c r="N793" i="1" s="1"/>
  <c r="F915" i="1"/>
  <c r="L915" i="1" s="1"/>
  <c r="M915" i="1" s="1"/>
  <c r="N915" i="1" s="1"/>
  <c r="F62" i="1"/>
  <c r="L62" i="1" s="1"/>
  <c r="M62" i="1" s="1"/>
  <c r="N62" i="1" s="1"/>
  <c r="F184" i="1"/>
  <c r="L184" i="1" s="1"/>
  <c r="M184" i="1" s="1"/>
  <c r="N184" i="1" s="1"/>
  <c r="F306" i="1"/>
  <c r="L306" i="1" s="1"/>
  <c r="M306" i="1" s="1"/>
  <c r="N306" i="1" s="1"/>
  <c r="F428" i="1"/>
  <c r="L428" i="1" s="1"/>
  <c r="M428" i="1" s="1"/>
  <c r="N428" i="1" s="1"/>
  <c r="F550" i="1"/>
  <c r="L550" i="1" s="1"/>
  <c r="M550" i="1" s="1"/>
  <c r="N550" i="1" s="1"/>
  <c r="F672" i="1"/>
  <c r="L672" i="1" s="1"/>
  <c r="M672" i="1" s="1"/>
  <c r="N672" i="1" s="1"/>
  <c r="F794" i="1"/>
  <c r="L794" i="1" s="1"/>
  <c r="M794" i="1" s="1"/>
  <c r="N794" i="1" s="1"/>
  <c r="F916" i="1"/>
  <c r="L916" i="1" s="1"/>
  <c r="M916" i="1" s="1"/>
  <c r="N916" i="1" s="1"/>
  <c r="F63" i="1"/>
  <c r="L63" i="1" s="1"/>
  <c r="M63" i="1" s="1"/>
  <c r="N63" i="1" s="1"/>
  <c r="F185" i="1"/>
  <c r="L185" i="1" s="1"/>
  <c r="M185" i="1" s="1"/>
  <c r="N185" i="1" s="1"/>
  <c r="F307" i="1"/>
  <c r="L307" i="1" s="1"/>
  <c r="M307" i="1" s="1"/>
  <c r="N307" i="1" s="1"/>
  <c r="F429" i="1"/>
  <c r="L429" i="1" s="1"/>
  <c r="M429" i="1" s="1"/>
  <c r="N429" i="1" s="1"/>
  <c r="F551" i="1"/>
  <c r="L551" i="1" s="1"/>
  <c r="M551" i="1" s="1"/>
  <c r="N551" i="1" s="1"/>
  <c r="F673" i="1"/>
  <c r="L673" i="1" s="1"/>
  <c r="M673" i="1" s="1"/>
  <c r="N673" i="1" s="1"/>
  <c r="F795" i="1"/>
  <c r="L795" i="1" s="1"/>
  <c r="M795" i="1" s="1"/>
  <c r="N795" i="1" s="1"/>
  <c r="F917" i="1"/>
  <c r="L917" i="1" s="1"/>
  <c r="M917" i="1" s="1"/>
  <c r="N917" i="1" s="1"/>
  <c r="F64" i="1"/>
  <c r="L64" i="1" s="1"/>
  <c r="M64" i="1" s="1"/>
  <c r="N64" i="1" s="1"/>
  <c r="F186" i="1"/>
  <c r="L186" i="1" s="1"/>
  <c r="M186" i="1" s="1"/>
  <c r="N186" i="1" s="1"/>
  <c r="F308" i="1"/>
  <c r="L308" i="1" s="1"/>
  <c r="M308" i="1" s="1"/>
  <c r="N308" i="1" s="1"/>
  <c r="F430" i="1"/>
  <c r="L430" i="1" s="1"/>
  <c r="M430" i="1" s="1"/>
  <c r="N430" i="1" s="1"/>
  <c r="F552" i="1"/>
  <c r="L552" i="1" s="1"/>
  <c r="M552" i="1" s="1"/>
  <c r="N552" i="1" s="1"/>
  <c r="F674" i="1"/>
  <c r="L674" i="1" s="1"/>
  <c r="M674" i="1" s="1"/>
  <c r="N674" i="1" s="1"/>
  <c r="F796" i="1"/>
  <c r="L796" i="1" s="1"/>
  <c r="M796" i="1" s="1"/>
  <c r="N796" i="1" s="1"/>
  <c r="F918" i="1"/>
  <c r="L918" i="1" s="1"/>
  <c r="M918" i="1" s="1"/>
  <c r="N918" i="1" s="1"/>
  <c r="F65" i="1"/>
  <c r="L65" i="1" s="1"/>
  <c r="M65" i="1" s="1"/>
  <c r="N65" i="1" s="1"/>
  <c r="F187" i="1"/>
  <c r="L187" i="1" s="1"/>
  <c r="M187" i="1" s="1"/>
  <c r="N187" i="1" s="1"/>
  <c r="F309" i="1"/>
  <c r="L309" i="1" s="1"/>
  <c r="M309" i="1" s="1"/>
  <c r="N309" i="1" s="1"/>
  <c r="F431" i="1"/>
  <c r="L431" i="1" s="1"/>
  <c r="M431" i="1" s="1"/>
  <c r="N431" i="1" s="1"/>
  <c r="F553" i="1"/>
  <c r="L553" i="1" s="1"/>
  <c r="M553" i="1" s="1"/>
  <c r="N553" i="1" s="1"/>
  <c r="F675" i="1"/>
  <c r="L675" i="1" s="1"/>
  <c r="M675" i="1" s="1"/>
  <c r="N675" i="1" s="1"/>
  <c r="F797" i="1"/>
  <c r="L797" i="1" s="1"/>
  <c r="M797" i="1" s="1"/>
  <c r="N797" i="1" s="1"/>
  <c r="F919" i="1"/>
  <c r="L919" i="1" s="1"/>
  <c r="M919" i="1" s="1"/>
  <c r="N919" i="1" s="1"/>
  <c r="F66" i="1"/>
  <c r="L66" i="1" s="1"/>
  <c r="M66" i="1" s="1"/>
  <c r="N66" i="1" s="1"/>
  <c r="F188" i="1"/>
  <c r="L188" i="1" s="1"/>
  <c r="M188" i="1" s="1"/>
  <c r="N188" i="1" s="1"/>
  <c r="F310" i="1"/>
  <c r="L310" i="1" s="1"/>
  <c r="M310" i="1" s="1"/>
  <c r="N310" i="1" s="1"/>
  <c r="F432" i="1"/>
  <c r="L432" i="1" s="1"/>
  <c r="M432" i="1" s="1"/>
  <c r="N432" i="1" s="1"/>
  <c r="F554" i="1"/>
  <c r="L554" i="1" s="1"/>
  <c r="M554" i="1" s="1"/>
  <c r="N554" i="1" s="1"/>
  <c r="F676" i="1"/>
  <c r="L676" i="1" s="1"/>
  <c r="M676" i="1" s="1"/>
  <c r="N676" i="1" s="1"/>
  <c r="F798" i="1"/>
  <c r="L798" i="1" s="1"/>
  <c r="M798" i="1" s="1"/>
  <c r="N798" i="1" s="1"/>
  <c r="F920" i="1"/>
  <c r="L920" i="1" s="1"/>
  <c r="M920" i="1" s="1"/>
  <c r="N920" i="1" s="1"/>
  <c r="F67" i="1"/>
  <c r="L67" i="1" s="1"/>
  <c r="M67" i="1" s="1"/>
  <c r="N67" i="1" s="1"/>
  <c r="F189" i="1"/>
  <c r="L189" i="1" s="1"/>
  <c r="M189" i="1" s="1"/>
  <c r="N189" i="1" s="1"/>
  <c r="F311" i="1"/>
  <c r="L311" i="1" s="1"/>
  <c r="M311" i="1" s="1"/>
  <c r="N311" i="1" s="1"/>
  <c r="F433" i="1"/>
  <c r="L433" i="1" s="1"/>
  <c r="M433" i="1" s="1"/>
  <c r="N433" i="1" s="1"/>
  <c r="F555" i="1"/>
  <c r="L555" i="1" s="1"/>
  <c r="M555" i="1" s="1"/>
  <c r="N555" i="1" s="1"/>
  <c r="F677" i="1"/>
  <c r="L677" i="1" s="1"/>
  <c r="M677" i="1" s="1"/>
  <c r="N677" i="1" s="1"/>
  <c r="F799" i="1"/>
  <c r="L799" i="1" s="1"/>
  <c r="M799" i="1" s="1"/>
  <c r="N799" i="1" s="1"/>
  <c r="F921" i="1"/>
  <c r="L921" i="1" s="1"/>
  <c r="M921" i="1" s="1"/>
  <c r="N921" i="1" s="1"/>
  <c r="F68" i="1"/>
  <c r="L68" i="1" s="1"/>
  <c r="M68" i="1" s="1"/>
  <c r="N68" i="1" s="1"/>
  <c r="F190" i="1"/>
  <c r="L190" i="1" s="1"/>
  <c r="M190" i="1" s="1"/>
  <c r="N190" i="1" s="1"/>
  <c r="F312" i="1"/>
  <c r="L312" i="1" s="1"/>
  <c r="M312" i="1" s="1"/>
  <c r="N312" i="1" s="1"/>
  <c r="F434" i="1"/>
  <c r="L434" i="1" s="1"/>
  <c r="M434" i="1" s="1"/>
  <c r="N434" i="1" s="1"/>
  <c r="F556" i="1"/>
  <c r="L556" i="1" s="1"/>
  <c r="M556" i="1" s="1"/>
  <c r="N556" i="1" s="1"/>
  <c r="F678" i="1"/>
  <c r="L678" i="1" s="1"/>
  <c r="M678" i="1" s="1"/>
  <c r="N678" i="1" s="1"/>
  <c r="F800" i="1"/>
  <c r="L800" i="1" s="1"/>
  <c r="M800" i="1" s="1"/>
  <c r="N800" i="1" s="1"/>
  <c r="F922" i="1"/>
  <c r="L922" i="1" s="1"/>
  <c r="M922" i="1" s="1"/>
  <c r="N922" i="1" s="1"/>
  <c r="F69" i="1"/>
  <c r="L69" i="1" s="1"/>
  <c r="M69" i="1" s="1"/>
  <c r="N69" i="1" s="1"/>
  <c r="F191" i="1"/>
  <c r="L191" i="1" s="1"/>
  <c r="M191" i="1" s="1"/>
  <c r="N191" i="1" s="1"/>
  <c r="F313" i="1"/>
  <c r="L313" i="1" s="1"/>
  <c r="M313" i="1" s="1"/>
  <c r="N313" i="1" s="1"/>
  <c r="F435" i="1"/>
  <c r="L435" i="1" s="1"/>
  <c r="M435" i="1" s="1"/>
  <c r="N435" i="1" s="1"/>
  <c r="F557" i="1"/>
  <c r="L557" i="1" s="1"/>
  <c r="M557" i="1" s="1"/>
  <c r="N557" i="1" s="1"/>
  <c r="F679" i="1"/>
  <c r="L679" i="1" s="1"/>
  <c r="M679" i="1" s="1"/>
  <c r="N679" i="1" s="1"/>
  <c r="F801" i="1"/>
  <c r="L801" i="1" s="1"/>
  <c r="M801" i="1" s="1"/>
  <c r="N801" i="1" s="1"/>
  <c r="F923" i="1"/>
  <c r="L923" i="1" s="1"/>
  <c r="M923" i="1" s="1"/>
  <c r="N923" i="1" s="1"/>
  <c r="F70" i="1"/>
  <c r="L70" i="1" s="1"/>
  <c r="M70" i="1" s="1"/>
  <c r="N70" i="1" s="1"/>
  <c r="F192" i="1"/>
  <c r="L192" i="1" s="1"/>
  <c r="M192" i="1" s="1"/>
  <c r="N192" i="1" s="1"/>
  <c r="F314" i="1"/>
  <c r="L314" i="1" s="1"/>
  <c r="M314" i="1" s="1"/>
  <c r="N314" i="1" s="1"/>
  <c r="F436" i="1"/>
  <c r="L436" i="1" s="1"/>
  <c r="M436" i="1" s="1"/>
  <c r="N436" i="1" s="1"/>
  <c r="F558" i="1"/>
  <c r="L558" i="1" s="1"/>
  <c r="M558" i="1" s="1"/>
  <c r="N558" i="1" s="1"/>
  <c r="F680" i="1"/>
  <c r="L680" i="1" s="1"/>
  <c r="M680" i="1" s="1"/>
  <c r="N680" i="1" s="1"/>
  <c r="F802" i="1"/>
  <c r="L802" i="1" s="1"/>
  <c r="M802" i="1" s="1"/>
  <c r="N802" i="1" s="1"/>
  <c r="F924" i="1"/>
  <c r="L924" i="1" s="1"/>
  <c r="M924" i="1" s="1"/>
  <c r="N924" i="1" s="1"/>
  <c r="F71" i="1"/>
  <c r="L71" i="1" s="1"/>
  <c r="M71" i="1" s="1"/>
  <c r="N71" i="1" s="1"/>
  <c r="F193" i="1"/>
  <c r="L193" i="1" s="1"/>
  <c r="M193" i="1" s="1"/>
  <c r="N193" i="1" s="1"/>
  <c r="F315" i="1"/>
  <c r="L315" i="1" s="1"/>
  <c r="M315" i="1" s="1"/>
  <c r="N315" i="1" s="1"/>
  <c r="F437" i="1"/>
  <c r="L437" i="1" s="1"/>
  <c r="M437" i="1" s="1"/>
  <c r="N437" i="1" s="1"/>
  <c r="F559" i="1"/>
  <c r="L559" i="1" s="1"/>
  <c r="M559" i="1" s="1"/>
  <c r="N559" i="1" s="1"/>
  <c r="F681" i="1"/>
  <c r="L681" i="1" s="1"/>
  <c r="M681" i="1" s="1"/>
  <c r="N681" i="1" s="1"/>
  <c r="F803" i="1"/>
  <c r="L803" i="1" s="1"/>
  <c r="M803" i="1" s="1"/>
  <c r="N803" i="1" s="1"/>
  <c r="F925" i="1"/>
  <c r="L925" i="1" s="1"/>
  <c r="M925" i="1" s="1"/>
  <c r="N925" i="1" s="1"/>
  <c r="F72" i="1"/>
  <c r="L72" i="1" s="1"/>
  <c r="M72" i="1" s="1"/>
  <c r="N72" i="1" s="1"/>
  <c r="F194" i="1"/>
  <c r="L194" i="1" s="1"/>
  <c r="M194" i="1" s="1"/>
  <c r="N194" i="1" s="1"/>
  <c r="F316" i="1"/>
  <c r="L316" i="1" s="1"/>
  <c r="M316" i="1" s="1"/>
  <c r="N316" i="1" s="1"/>
  <c r="F438" i="1"/>
  <c r="L438" i="1" s="1"/>
  <c r="M438" i="1" s="1"/>
  <c r="N438" i="1" s="1"/>
  <c r="F560" i="1"/>
  <c r="L560" i="1" s="1"/>
  <c r="M560" i="1" s="1"/>
  <c r="N560" i="1" s="1"/>
  <c r="F682" i="1"/>
  <c r="L682" i="1" s="1"/>
  <c r="M682" i="1" s="1"/>
  <c r="N682" i="1" s="1"/>
  <c r="F804" i="1"/>
  <c r="L804" i="1" s="1"/>
  <c r="M804" i="1" s="1"/>
  <c r="N804" i="1" s="1"/>
  <c r="F926" i="1"/>
  <c r="L926" i="1" s="1"/>
  <c r="M926" i="1" s="1"/>
  <c r="N926" i="1" s="1"/>
  <c r="F73" i="1"/>
  <c r="L73" i="1" s="1"/>
  <c r="M73" i="1" s="1"/>
  <c r="N73" i="1" s="1"/>
  <c r="F195" i="1"/>
  <c r="L195" i="1" s="1"/>
  <c r="M195" i="1" s="1"/>
  <c r="N195" i="1" s="1"/>
  <c r="F317" i="1"/>
  <c r="L317" i="1" s="1"/>
  <c r="M317" i="1" s="1"/>
  <c r="N317" i="1" s="1"/>
  <c r="F439" i="1"/>
  <c r="L439" i="1" s="1"/>
  <c r="M439" i="1" s="1"/>
  <c r="N439" i="1" s="1"/>
  <c r="F561" i="1"/>
  <c r="L561" i="1" s="1"/>
  <c r="M561" i="1" s="1"/>
  <c r="N561" i="1" s="1"/>
  <c r="F683" i="1"/>
  <c r="L683" i="1" s="1"/>
  <c r="M683" i="1" s="1"/>
  <c r="N683" i="1" s="1"/>
  <c r="F805" i="1"/>
  <c r="L805" i="1" s="1"/>
  <c r="M805" i="1" s="1"/>
  <c r="N805" i="1" s="1"/>
  <c r="F927" i="1"/>
  <c r="L927" i="1" s="1"/>
  <c r="M927" i="1" s="1"/>
  <c r="N927" i="1" s="1"/>
  <c r="F74" i="1"/>
  <c r="L74" i="1" s="1"/>
  <c r="M74" i="1" s="1"/>
  <c r="N74" i="1" s="1"/>
  <c r="F196" i="1"/>
  <c r="L196" i="1" s="1"/>
  <c r="M196" i="1" s="1"/>
  <c r="N196" i="1" s="1"/>
  <c r="F318" i="1"/>
  <c r="L318" i="1" s="1"/>
  <c r="M318" i="1" s="1"/>
  <c r="N318" i="1" s="1"/>
  <c r="F440" i="1"/>
  <c r="L440" i="1" s="1"/>
  <c r="M440" i="1" s="1"/>
  <c r="N440" i="1" s="1"/>
  <c r="F562" i="1"/>
  <c r="L562" i="1" s="1"/>
  <c r="M562" i="1" s="1"/>
  <c r="N562" i="1" s="1"/>
  <c r="F684" i="1"/>
  <c r="L684" i="1" s="1"/>
  <c r="M684" i="1" s="1"/>
  <c r="N684" i="1" s="1"/>
  <c r="F806" i="1"/>
  <c r="L806" i="1" s="1"/>
  <c r="M806" i="1" s="1"/>
  <c r="N806" i="1" s="1"/>
  <c r="F928" i="1"/>
  <c r="L928" i="1" s="1"/>
  <c r="M928" i="1" s="1"/>
  <c r="N928" i="1" s="1"/>
  <c r="F75" i="1"/>
  <c r="L75" i="1" s="1"/>
  <c r="M75" i="1" s="1"/>
  <c r="N75" i="1" s="1"/>
  <c r="F197" i="1"/>
  <c r="L197" i="1" s="1"/>
  <c r="M197" i="1" s="1"/>
  <c r="N197" i="1" s="1"/>
  <c r="F319" i="1"/>
  <c r="L319" i="1" s="1"/>
  <c r="M319" i="1" s="1"/>
  <c r="N319" i="1" s="1"/>
  <c r="F441" i="1"/>
  <c r="L441" i="1" s="1"/>
  <c r="M441" i="1" s="1"/>
  <c r="N441" i="1" s="1"/>
  <c r="F563" i="1"/>
  <c r="L563" i="1" s="1"/>
  <c r="M563" i="1" s="1"/>
  <c r="N563" i="1" s="1"/>
  <c r="F685" i="1"/>
  <c r="L685" i="1" s="1"/>
  <c r="M685" i="1" s="1"/>
  <c r="N685" i="1" s="1"/>
  <c r="F807" i="1"/>
  <c r="L807" i="1" s="1"/>
  <c r="M807" i="1" s="1"/>
  <c r="N807" i="1" s="1"/>
  <c r="F929" i="1"/>
  <c r="L929" i="1" s="1"/>
  <c r="M929" i="1" s="1"/>
  <c r="N929" i="1" s="1"/>
  <c r="F76" i="1"/>
  <c r="L76" i="1" s="1"/>
  <c r="M76" i="1" s="1"/>
  <c r="N76" i="1" s="1"/>
  <c r="F198" i="1"/>
  <c r="L198" i="1" s="1"/>
  <c r="M198" i="1" s="1"/>
  <c r="N198" i="1" s="1"/>
  <c r="F320" i="1"/>
  <c r="L320" i="1" s="1"/>
  <c r="M320" i="1" s="1"/>
  <c r="N320" i="1" s="1"/>
  <c r="F442" i="1"/>
  <c r="L442" i="1" s="1"/>
  <c r="M442" i="1" s="1"/>
  <c r="N442" i="1" s="1"/>
  <c r="F564" i="1"/>
  <c r="L564" i="1" s="1"/>
  <c r="M564" i="1" s="1"/>
  <c r="N564" i="1" s="1"/>
  <c r="F686" i="1"/>
  <c r="L686" i="1" s="1"/>
  <c r="M686" i="1" s="1"/>
  <c r="N686" i="1" s="1"/>
  <c r="F808" i="1"/>
  <c r="L808" i="1" s="1"/>
  <c r="M808" i="1" s="1"/>
  <c r="N808" i="1" s="1"/>
  <c r="F930" i="1"/>
  <c r="L930" i="1" s="1"/>
  <c r="M930" i="1" s="1"/>
  <c r="N930" i="1" s="1"/>
  <c r="F77" i="1"/>
  <c r="L77" i="1" s="1"/>
  <c r="M77" i="1" s="1"/>
  <c r="N77" i="1" s="1"/>
  <c r="F199" i="1"/>
  <c r="L199" i="1" s="1"/>
  <c r="M199" i="1" s="1"/>
  <c r="N199" i="1" s="1"/>
  <c r="F321" i="1"/>
  <c r="L321" i="1" s="1"/>
  <c r="M321" i="1" s="1"/>
  <c r="N321" i="1" s="1"/>
  <c r="F443" i="1"/>
  <c r="L443" i="1" s="1"/>
  <c r="M443" i="1" s="1"/>
  <c r="N443" i="1" s="1"/>
  <c r="F565" i="1"/>
  <c r="L565" i="1" s="1"/>
  <c r="M565" i="1" s="1"/>
  <c r="N565" i="1" s="1"/>
  <c r="F687" i="1"/>
  <c r="L687" i="1" s="1"/>
  <c r="M687" i="1" s="1"/>
  <c r="N687" i="1" s="1"/>
  <c r="F809" i="1"/>
  <c r="L809" i="1" s="1"/>
  <c r="M809" i="1" s="1"/>
  <c r="N809" i="1" s="1"/>
  <c r="F931" i="1"/>
  <c r="L931" i="1" s="1"/>
  <c r="M931" i="1" s="1"/>
  <c r="N931" i="1" s="1"/>
  <c r="F78" i="1"/>
  <c r="L78" i="1" s="1"/>
  <c r="M78" i="1" s="1"/>
  <c r="N78" i="1" s="1"/>
  <c r="F200" i="1"/>
  <c r="L200" i="1" s="1"/>
  <c r="M200" i="1" s="1"/>
  <c r="N200" i="1" s="1"/>
  <c r="F322" i="1"/>
  <c r="L322" i="1" s="1"/>
  <c r="M322" i="1" s="1"/>
  <c r="N322" i="1" s="1"/>
  <c r="F444" i="1"/>
  <c r="L444" i="1" s="1"/>
  <c r="M444" i="1" s="1"/>
  <c r="N444" i="1" s="1"/>
  <c r="F566" i="1"/>
  <c r="L566" i="1" s="1"/>
  <c r="M566" i="1" s="1"/>
  <c r="N566" i="1" s="1"/>
  <c r="F688" i="1"/>
  <c r="L688" i="1" s="1"/>
  <c r="M688" i="1" s="1"/>
  <c r="N688" i="1" s="1"/>
  <c r="F810" i="1"/>
  <c r="L810" i="1" s="1"/>
  <c r="M810" i="1" s="1"/>
  <c r="N810" i="1" s="1"/>
  <c r="F932" i="1"/>
  <c r="L932" i="1" s="1"/>
  <c r="M932" i="1" s="1"/>
  <c r="N932" i="1" s="1"/>
  <c r="F79" i="1"/>
  <c r="L79" i="1" s="1"/>
  <c r="M79" i="1" s="1"/>
  <c r="N79" i="1" s="1"/>
  <c r="F201" i="1"/>
  <c r="L201" i="1" s="1"/>
  <c r="M201" i="1" s="1"/>
  <c r="N201" i="1" s="1"/>
  <c r="F323" i="1"/>
  <c r="L323" i="1" s="1"/>
  <c r="M323" i="1" s="1"/>
  <c r="N323" i="1" s="1"/>
  <c r="F445" i="1"/>
  <c r="L445" i="1" s="1"/>
  <c r="M445" i="1" s="1"/>
  <c r="N445" i="1" s="1"/>
  <c r="F567" i="1"/>
  <c r="L567" i="1" s="1"/>
  <c r="M567" i="1" s="1"/>
  <c r="N567" i="1" s="1"/>
  <c r="F689" i="1"/>
  <c r="L689" i="1" s="1"/>
  <c r="M689" i="1" s="1"/>
  <c r="N689" i="1" s="1"/>
  <c r="F811" i="1"/>
  <c r="L811" i="1" s="1"/>
  <c r="M811" i="1" s="1"/>
  <c r="N811" i="1" s="1"/>
  <c r="F933" i="1"/>
  <c r="L933" i="1" s="1"/>
  <c r="M933" i="1" s="1"/>
  <c r="N933" i="1" s="1"/>
  <c r="F80" i="1"/>
  <c r="L80" i="1" s="1"/>
  <c r="M80" i="1" s="1"/>
  <c r="N80" i="1" s="1"/>
  <c r="F202" i="1"/>
  <c r="L202" i="1" s="1"/>
  <c r="M202" i="1" s="1"/>
  <c r="N202" i="1" s="1"/>
  <c r="F324" i="1"/>
  <c r="L324" i="1" s="1"/>
  <c r="M324" i="1" s="1"/>
  <c r="N324" i="1" s="1"/>
  <c r="F446" i="1"/>
  <c r="L446" i="1" s="1"/>
  <c r="M446" i="1" s="1"/>
  <c r="N446" i="1" s="1"/>
  <c r="F568" i="1"/>
  <c r="L568" i="1" s="1"/>
  <c r="M568" i="1" s="1"/>
  <c r="N568" i="1" s="1"/>
  <c r="F690" i="1"/>
  <c r="L690" i="1" s="1"/>
  <c r="M690" i="1" s="1"/>
  <c r="N690" i="1" s="1"/>
  <c r="F812" i="1"/>
  <c r="L812" i="1" s="1"/>
  <c r="M812" i="1" s="1"/>
  <c r="N812" i="1" s="1"/>
  <c r="F934" i="1"/>
  <c r="L934" i="1" s="1"/>
  <c r="M934" i="1" s="1"/>
  <c r="N934" i="1" s="1"/>
  <c r="F81" i="1"/>
  <c r="L81" i="1" s="1"/>
  <c r="M81" i="1" s="1"/>
  <c r="N81" i="1" s="1"/>
  <c r="F203" i="1"/>
  <c r="L203" i="1" s="1"/>
  <c r="M203" i="1" s="1"/>
  <c r="N203" i="1" s="1"/>
  <c r="F325" i="1"/>
  <c r="L325" i="1" s="1"/>
  <c r="M325" i="1" s="1"/>
  <c r="N325" i="1" s="1"/>
  <c r="F447" i="1"/>
  <c r="L447" i="1" s="1"/>
  <c r="M447" i="1" s="1"/>
  <c r="N447" i="1" s="1"/>
  <c r="F569" i="1"/>
  <c r="L569" i="1" s="1"/>
  <c r="M569" i="1" s="1"/>
  <c r="N569" i="1" s="1"/>
  <c r="F691" i="1"/>
  <c r="L691" i="1" s="1"/>
  <c r="M691" i="1" s="1"/>
  <c r="N691" i="1" s="1"/>
  <c r="F813" i="1"/>
  <c r="L813" i="1" s="1"/>
  <c r="M813" i="1" s="1"/>
  <c r="N813" i="1" s="1"/>
  <c r="F935" i="1"/>
  <c r="L935" i="1" s="1"/>
  <c r="M935" i="1" s="1"/>
  <c r="N935" i="1" s="1"/>
  <c r="F82" i="1"/>
  <c r="L82" i="1" s="1"/>
  <c r="M82" i="1" s="1"/>
  <c r="N82" i="1" s="1"/>
  <c r="F204" i="1"/>
  <c r="L204" i="1" s="1"/>
  <c r="M204" i="1" s="1"/>
  <c r="N204" i="1" s="1"/>
  <c r="F326" i="1"/>
  <c r="L326" i="1" s="1"/>
  <c r="M326" i="1" s="1"/>
  <c r="N326" i="1" s="1"/>
  <c r="F448" i="1"/>
  <c r="L448" i="1" s="1"/>
  <c r="M448" i="1" s="1"/>
  <c r="N448" i="1" s="1"/>
  <c r="F570" i="1"/>
  <c r="L570" i="1" s="1"/>
  <c r="M570" i="1" s="1"/>
  <c r="N570" i="1" s="1"/>
  <c r="F692" i="1"/>
  <c r="L692" i="1" s="1"/>
  <c r="M692" i="1" s="1"/>
  <c r="N692" i="1" s="1"/>
  <c r="F814" i="1"/>
  <c r="L814" i="1" s="1"/>
  <c r="M814" i="1" s="1"/>
  <c r="N814" i="1" s="1"/>
  <c r="F936" i="1"/>
  <c r="L936" i="1" s="1"/>
  <c r="M936" i="1" s="1"/>
  <c r="N936" i="1" s="1"/>
  <c r="F83" i="1"/>
  <c r="L83" i="1" s="1"/>
  <c r="M83" i="1" s="1"/>
  <c r="N83" i="1" s="1"/>
  <c r="F205" i="1"/>
  <c r="L205" i="1" s="1"/>
  <c r="M205" i="1" s="1"/>
  <c r="N205" i="1" s="1"/>
  <c r="F327" i="1"/>
  <c r="L327" i="1" s="1"/>
  <c r="M327" i="1" s="1"/>
  <c r="N327" i="1" s="1"/>
  <c r="F449" i="1"/>
  <c r="L449" i="1" s="1"/>
  <c r="M449" i="1" s="1"/>
  <c r="N449" i="1" s="1"/>
  <c r="F571" i="1"/>
  <c r="L571" i="1" s="1"/>
  <c r="M571" i="1" s="1"/>
  <c r="N571" i="1" s="1"/>
  <c r="F693" i="1"/>
  <c r="L693" i="1" s="1"/>
  <c r="M693" i="1" s="1"/>
  <c r="N693" i="1" s="1"/>
  <c r="F815" i="1"/>
  <c r="L815" i="1" s="1"/>
  <c r="M815" i="1" s="1"/>
  <c r="N815" i="1" s="1"/>
  <c r="F937" i="1"/>
  <c r="L937" i="1" s="1"/>
  <c r="M937" i="1" s="1"/>
  <c r="N937" i="1" s="1"/>
  <c r="F84" i="1"/>
  <c r="L84" i="1" s="1"/>
  <c r="M84" i="1" s="1"/>
  <c r="N84" i="1" s="1"/>
  <c r="F206" i="1"/>
  <c r="L206" i="1" s="1"/>
  <c r="M206" i="1" s="1"/>
  <c r="N206" i="1" s="1"/>
  <c r="F328" i="1"/>
  <c r="L328" i="1" s="1"/>
  <c r="M328" i="1" s="1"/>
  <c r="N328" i="1" s="1"/>
  <c r="F450" i="1"/>
  <c r="L450" i="1" s="1"/>
  <c r="M450" i="1" s="1"/>
  <c r="N450" i="1" s="1"/>
  <c r="F572" i="1"/>
  <c r="L572" i="1" s="1"/>
  <c r="M572" i="1" s="1"/>
  <c r="N572" i="1" s="1"/>
  <c r="F694" i="1"/>
  <c r="L694" i="1" s="1"/>
  <c r="M694" i="1" s="1"/>
  <c r="N694" i="1" s="1"/>
  <c r="F816" i="1"/>
  <c r="L816" i="1" s="1"/>
  <c r="M816" i="1" s="1"/>
  <c r="N816" i="1" s="1"/>
  <c r="F938" i="1"/>
  <c r="L938" i="1" s="1"/>
  <c r="M938" i="1" s="1"/>
  <c r="N938" i="1" s="1"/>
  <c r="F85" i="1"/>
  <c r="L85" i="1" s="1"/>
  <c r="M85" i="1" s="1"/>
  <c r="N85" i="1" s="1"/>
  <c r="F207" i="1"/>
  <c r="L207" i="1" s="1"/>
  <c r="M207" i="1" s="1"/>
  <c r="N207" i="1" s="1"/>
  <c r="F329" i="1"/>
  <c r="L329" i="1" s="1"/>
  <c r="M329" i="1" s="1"/>
  <c r="N329" i="1" s="1"/>
  <c r="F451" i="1"/>
  <c r="L451" i="1" s="1"/>
  <c r="M451" i="1" s="1"/>
  <c r="N451" i="1" s="1"/>
  <c r="F573" i="1"/>
  <c r="L573" i="1" s="1"/>
  <c r="M573" i="1" s="1"/>
  <c r="N573" i="1" s="1"/>
  <c r="F695" i="1"/>
  <c r="L695" i="1" s="1"/>
  <c r="M695" i="1" s="1"/>
  <c r="N695" i="1" s="1"/>
  <c r="F817" i="1"/>
  <c r="L817" i="1" s="1"/>
  <c r="M817" i="1" s="1"/>
  <c r="N817" i="1" s="1"/>
  <c r="F939" i="1"/>
  <c r="L939" i="1" s="1"/>
  <c r="M939" i="1" s="1"/>
  <c r="N939" i="1" s="1"/>
  <c r="F86" i="1"/>
  <c r="L86" i="1" s="1"/>
  <c r="M86" i="1" s="1"/>
  <c r="N86" i="1" s="1"/>
  <c r="F208" i="1"/>
  <c r="L208" i="1" s="1"/>
  <c r="M208" i="1" s="1"/>
  <c r="N208" i="1" s="1"/>
  <c r="F330" i="1"/>
  <c r="L330" i="1" s="1"/>
  <c r="M330" i="1" s="1"/>
  <c r="N330" i="1" s="1"/>
  <c r="F452" i="1"/>
  <c r="L452" i="1" s="1"/>
  <c r="M452" i="1" s="1"/>
  <c r="N452" i="1" s="1"/>
  <c r="F574" i="1"/>
  <c r="L574" i="1" s="1"/>
  <c r="M574" i="1" s="1"/>
  <c r="N574" i="1" s="1"/>
  <c r="F696" i="1"/>
  <c r="L696" i="1" s="1"/>
  <c r="M696" i="1" s="1"/>
  <c r="N696" i="1" s="1"/>
  <c r="F818" i="1"/>
  <c r="L818" i="1" s="1"/>
  <c r="M818" i="1" s="1"/>
  <c r="N818" i="1" s="1"/>
  <c r="F940" i="1"/>
  <c r="L940" i="1" s="1"/>
  <c r="M940" i="1" s="1"/>
  <c r="N940" i="1" s="1"/>
  <c r="F87" i="1"/>
  <c r="L87" i="1" s="1"/>
  <c r="M87" i="1" s="1"/>
  <c r="N87" i="1" s="1"/>
  <c r="F209" i="1"/>
  <c r="L209" i="1" s="1"/>
  <c r="M209" i="1" s="1"/>
  <c r="N209" i="1" s="1"/>
  <c r="F331" i="1"/>
  <c r="L331" i="1" s="1"/>
  <c r="M331" i="1" s="1"/>
  <c r="N331" i="1" s="1"/>
  <c r="F453" i="1"/>
  <c r="L453" i="1" s="1"/>
  <c r="M453" i="1" s="1"/>
  <c r="N453" i="1" s="1"/>
  <c r="F575" i="1"/>
  <c r="L575" i="1" s="1"/>
  <c r="M575" i="1" s="1"/>
  <c r="N575" i="1" s="1"/>
  <c r="F697" i="1"/>
  <c r="L697" i="1" s="1"/>
  <c r="M697" i="1" s="1"/>
  <c r="N697" i="1" s="1"/>
  <c r="F819" i="1"/>
  <c r="L819" i="1" s="1"/>
  <c r="M819" i="1" s="1"/>
  <c r="N819" i="1" s="1"/>
  <c r="F941" i="1"/>
  <c r="L941" i="1" s="1"/>
  <c r="M941" i="1" s="1"/>
  <c r="N941" i="1" s="1"/>
  <c r="F88" i="1"/>
  <c r="L88" i="1" s="1"/>
  <c r="M88" i="1" s="1"/>
  <c r="N88" i="1" s="1"/>
  <c r="F210" i="1"/>
  <c r="L210" i="1" s="1"/>
  <c r="M210" i="1" s="1"/>
  <c r="N210" i="1" s="1"/>
  <c r="F332" i="1"/>
  <c r="L332" i="1" s="1"/>
  <c r="M332" i="1" s="1"/>
  <c r="N332" i="1" s="1"/>
  <c r="F454" i="1"/>
  <c r="L454" i="1" s="1"/>
  <c r="M454" i="1" s="1"/>
  <c r="N454" i="1" s="1"/>
  <c r="F576" i="1"/>
  <c r="L576" i="1" s="1"/>
  <c r="M576" i="1" s="1"/>
  <c r="N576" i="1" s="1"/>
  <c r="F698" i="1"/>
  <c r="L698" i="1" s="1"/>
  <c r="M698" i="1" s="1"/>
  <c r="N698" i="1" s="1"/>
  <c r="F820" i="1"/>
  <c r="L820" i="1" s="1"/>
  <c r="M820" i="1" s="1"/>
  <c r="N820" i="1" s="1"/>
  <c r="F942" i="1"/>
  <c r="L942" i="1" s="1"/>
  <c r="M942" i="1" s="1"/>
  <c r="N942" i="1" s="1"/>
  <c r="F89" i="1"/>
  <c r="L89" i="1" s="1"/>
  <c r="M89" i="1" s="1"/>
  <c r="N89" i="1" s="1"/>
  <c r="F211" i="1"/>
  <c r="L211" i="1" s="1"/>
  <c r="M211" i="1" s="1"/>
  <c r="N211" i="1" s="1"/>
  <c r="F333" i="1"/>
  <c r="L333" i="1" s="1"/>
  <c r="M333" i="1" s="1"/>
  <c r="N333" i="1" s="1"/>
  <c r="F455" i="1"/>
  <c r="L455" i="1" s="1"/>
  <c r="M455" i="1" s="1"/>
  <c r="N455" i="1" s="1"/>
  <c r="F577" i="1"/>
  <c r="L577" i="1" s="1"/>
  <c r="M577" i="1" s="1"/>
  <c r="N577" i="1" s="1"/>
  <c r="F699" i="1"/>
  <c r="L699" i="1" s="1"/>
  <c r="M699" i="1" s="1"/>
  <c r="N699" i="1" s="1"/>
  <c r="F821" i="1"/>
  <c r="L821" i="1" s="1"/>
  <c r="M821" i="1" s="1"/>
  <c r="N821" i="1" s="1"/>
  <c r="F943" i="1"/>
  <c r="L943" i="1" s="1"/>
  <c r="M943" i="1" s="1"/>
  <c r="N943" i="1" s="1"/>
  <c r="F90" i="1"/>
  <c r="L90" i="1" s="1"/>
  <c r="M90" i="1" s="1"/>
  <c r="N90" i="1" s="1"/>
  <c r="F212" i="1"/>
  <c r="L212" i="1" s="1"/>
  <c r="M212" i="1" s="1"/>
  <c r="N212" i="1" s="1"/>
  <c r="F334" i="1"/>
  <c r="L334" i="1" s="1"/>
  <c r="M334" i="1" s="1"/>
  <c r="N334" i="1" s="1"/>
  <c r="F456" i="1"/>
  <c r="L456" i="1" s="1"/>
  <c r="M456" i="1" s="1"/>
  <c r="N456" i="1" s="1"/>
  <c r="F578" i="1"/>
  <c r="L578" i="1" s="1"/>
  <c r="M578" i="1" s="1"/>
  <c r="N578" i="1" s="1"/>
  <c r="F700" i="1"/>
  <c r="L700" i="1" s="1"/>
  <c r="M700" i="1" s="1"/>
  <c r="N700" i="1" s="1"/>
  <c r="F822" i="1"/>
  <c r="L822" i="1" s="1"/>
  <c r="M822" i="1" s="1"/>
  <c r="N822" i="1" s="1"/>
  <c r="F944" i="1"/>
  <c r="L944" i="1" s="1"/>
  <c r="M944" i="1" s="1"/>
  <c r="N944" i="1" s="1"/>
  <c r="F91" i="1"/>
  <c r="L91" i="1" s="1"/>
  <c r="M91" i="1" s="1"/>
  <c r="N91" i="1" s="1"/>
  <c r="F213" i="1"/>
  <c r="L213" i="1" s="1"/>
  <c r="M213" i="1" s="1"/>
  <c r="N213" i="1" s="1"/>
  <c r="F335" i="1"/>
  <c r="L335" i="1" s="1"/>
  <c r="M335" i="1" s="1"/>
  <c r="N335" i="1" s="1"/>
  <c r="F457" i="1"/>
  <c r="L457" i="1" s="1"/>
  <c r="M457" i="1" s="1"/>
  <c r="N457" i="1" s="1"/>
  <c r="F579" i="1"/>
  <c r="L579" i="1" s="1"/>
  <c r="M579" i="1" s="1"/>
  <c r="N579" i="1" s="1"/>
  <c r="F701" i="1"/>
  <c r="L701" i="1" s="1"/>
  <c r="M701" i="1" s="1"/>
  <c r="N701" i="1" s="1"/>
  <c r="F823" i="1"/>
  <c r="L823" i="1" s="1"/>
  <c r="M823" i="1" s="1"/>
  <c r="N823" i="1" s="1"/>
  <c r="F945" i="1"/>
  <c r="L945" i="1" s="1"/>
  <c r="M945" i="1" s="1"/>
  <c r="N945" i="1" s="1"/>
  <c r="F92" i="1"/>
  <c r="L92" i="1" s="1"/>
  <c r="M92" i="1" s="1"/>
  <c r="N92" i="1" s="1"/>
  <c r="F214" i="1"/>
  <c r="L214" i="1" s="1"/>
  <c r="M214" i="1" s="1"/>
  <c r="N214" i="1" s="1"/>
  <c r="F336" i="1"/>
  <c r="L336" i="1" s="1"/>
  <c r="M336" i="1" s="1"/>
  <c r="N336" i="1" s="1"/>
  <c r="F458" i="1"/>
  <c r="L458" i="1" s="1"/>
  <c r="M458" i="1" s="1"/>
  <c r="N458" i="1" s="1"/>
  <c r="F580" i="1"/>
  <c r="L580" i="1" s="1"/>
  <c r="M580" i="1" s="1"/>
  <c r="N580" i="1" s="1"/>
  <c r="F702" i="1"/>
  <c r="L702" i="1" s="1"/>
  <c r="M702" i="1" s="1"/>
  <c r="N702" i="1" s="1"/>
  <c r="F824" i="1"/>
  <c r="L824" i="1" s="1"/>
  <c r="M824" i="1" s="1"/>
  <c r="N824" i="1" s="1"/>
  <c r="F946" i="1"/>
  <c r="L946" i="1" s="1"/>
  <c r="M946" i="1" s="1"/>
  <c r="N946" i="1" s="1"/>
  <c r="F93" i="1"/>
  <c r="L93" i="1" s="1"/>
  <c r="M93" i="1" s="1"/>
  <c r="N93" i="1" s="1"/>
  <c r="F215" i="1"/>
  <c r="L215" i="1" s="1"/>
  <c r="M215" i="1" s="1"/>
  <c r="N215" i="1" s="1"/>
  <c r="F337" i="1"/>
  <c r="L337" i="1" s="1"/>
  <c r="M337" i="1" s="1"/>
  <c r="N337" i="1" s="1"/>
  <c r="F459" i="1"/>
  <c r="L459" i="1" s="1"/>
  <c r="M459" i="1" s="1"/>
  <c r="N459" i="1" s="1"/>
  <c r="F581" i="1"/>
  <c r="L581" i="1" s="1"/>
  <c r="M581" i="1" s="1"/>
  <c r="N581" i="1" s="1"/>
  <c r="F703" i="1"/>
  <c r="L703" i="1" s="1"/>
  <c r="M703" i="1" s="1"/>
  <c r="N703" i="1" s="1"/>
  <c r="F825" i="1"/>
  <c r="L825" i="1" s="1"/>
  <c r="M825" i="1" s="1"/>
  <c r="N825" i="1" s="1"/>
  <c r="F947" i="1"/>
  <c r="L947" i="1" s="1"/>
  <c r="M947" i="1" s="1"/>
  <c r="N947" i="1" s="1"/>
  <c r="F94" i="1"/>
  <c r="L94" i="1" s="1"/>
  <c r="M94" i="1" s="1"/>
  <c r="N94" i="1" s="1"/>
  <c r="F216" i="1"/>
  <c r="L216" i="1" s="1"/>
  <c r="M216" i="1" s="1"/>
  <c r="N216" i="1" s="1"/>
  <c r="F338" i="1"/>
  <c r="L338" i="1" s="1"/>
  <c r="M338" i="1" s="1"/>
  <c r="N338" i="1" s="1"/>
  <c r="F460" i="1"/>
  <c r="L460" i="1" s="1"/>
  <c r="M460" i="1" s="1"/>
  <c r="N460" i="1" s="1"/>
  <c r="F582" i="1"/>
  <c r="L582" i="1" s="1"/>
  <c r="M582" i="1" s="1"/>
  <c r="N582" i="1" s="1"/>
  <c r="F704" i="1"/>
  <c r="L704" i="1" s="1"/>
  <c r="M704" i="1" s="1"/>
  <c r="N704" i="1" s="1"/>
  <c r="F826" i="1"/>
  <c r="L826" i="1" s="1"/>
  <c r="M826" i="1" s="1"/>
  <c r="N826" i="1" s="1"/>
  <c r="F948" i="1"/>
  <c r="L948" i="1" s="1"/>
  <c r="M948" i="1" s="1"/>
  <c r="N948" i="1" s="1"/>
  <c r="F95" i="1"/>
  <c r="L95" i="1" s="1"/>
  <c r="M95" i="1" s="1"/>
  <c r="N95" i="1" s="1"/>
  <c r="F217" i="1"/>
  <c r="L217" i="1" s="1"/>
  <c r="M217" i="1" s="1"/>
  <c r="N217" i="1" s="1"/>
  <c r="F339" i="1"/>
  <c r="L339" i="1" s="1"/>
  <c r="M339" i="1" s="1"/>
  <c r="N339" i="1" s="1"/>
  <c r="F461" i="1"/>
  <c r="L461" i="1" s="1"/>
  <c r="M461" i="1" s="1"/>
  <c r="N461" i="1" s="1"/>
  <c r="F583" i="1"/>
  <c r="L583" i="1" s="1"/>
  <c r="M583" i="1" s="1"/>
  <c r="N583" i="1" s="1"/>
  <c r="F705" i="1"/>
  <c r="L705" i="1" s="1"/>
  <c r="M705" i="1" s="1"/>
  <c r="N705" i="1" s="1"/>
  <c r="F827" i="1"/>
  <c r="L827" i="1" s="1"/>
  <c r="M827" i="1" s="1"/>
  <c r="N827" i="1" s="1"/>
  <c r="F949" i="1"/>
  <c r="L949" i="1" s="1"/>
  <c r="M949" i="1" s="1"/>
  <c r="N949" i="1" s="1"/>
  <c r="F96" i="1"/>
  <c r="L96" i="1" s="1"/>
  <c r="M96" i="1" s="1"/>
  <c r="N96" i="1" s="1"/>
  <c r="F218" i="1"/>
  <c r="L218" i="1" s="1"/>
  <c r="M218" i="1" s="1"/>
  <c r="N218" i="1" s="1"/>
  <c r="F340" i="1"/>
  <c r="L340" i="1" s="1"/>
  <c r="M340" i="1" s="1"/>
  <c r="N340" i="1" s="1"/>
  <c r="F462" i="1"/>
  <c r="L462" i="1" s="1"/>
  <c r="M462" i="1" s="1"/>
  <c r="N462" i="1" s="1"/>
  <c r="F584" i="1"/>
  <c r="L584" i="1" s="1"/>
  <c r="M584" i="1" s="1"/>
  <c r="N584" i="1" s="1"/>
  <c r="F706" i="1"/>
  <c r="L706" i="1" s="1"/>
  <c r="M706" i="1" s="1"/>
  <c r="N706" i="1" s="1"/>
  <c r="F828" i="1"/>
  <c r="L828" i="1" s="1"/>
  <c r="M828" i="1" s="1"/>
  <c r="N828" i="1" s="1"/>
  <c r="F950" i="1"/>
  <c r="L950" i="1" s="1"/>
  <c r="M950" i="1" s="1"/>
  <c r="N950" i="1" s="1"/>
  <c r="F97" i="1"/>
  <c r="L97" i="1" s="1"/>
  <c r="M97" i="1" s="1"/>
  <c r="N97" i="1" s="1"/>
  <c r="F219" i="1"/>
  <c r="L219" i="1" s="1"/>
  <c r="M219" i="1" s="1"/>
  <c r="N219" i="1" s="1"/>
  <c r="F341" i="1"/>
  <c r="L341" i="1" s="1"/>
  <c r="M341" i="1" s="1"/>
  <c r="N341" i="1" s="1"/>
  <c r="F463" i="1"/>
  <c r="L463" i="1" s="1"/>
  <c r="M463" i="1" s="1"/>
  <c r="N463" i="1" s="1"/>
  <c r="F585" i="1"/>
  <c r="L585" i="1" s="1"/>
  <c r="M585" i="1" s="1"/>
  <c r="N585" i="1" s="1"/>
  <c r="F707" i="1"/>
  <c r="L707" i="1" s="1"/>
  <c r="M707" i="1" s="1"/>
  <c r="N707" i="1" s="1"/>
  <c r="F829" i="1"/>
  <c r="L829" i="1" s="1"/>
  <c r="M829" i="1" s="1"/>
  <c r="N829" i="1" s="1"/>
  <c r="F951" i="1"/>
  <c r="L951" i="1" s="1"/>
  <c r="M951" i="1" s="1"/>
  <c r="N951" i="1" s="1"/>
  <c r="F98" i="1"/>
  <c r="L98" i="1" s="1"/>
  <c r="M98" i="1" s="1"/>
  <c r="N98" i="1" s="1"/>
  <c r="F220" i="1"/>
  <c r="L220" i="1" s="1"/>
  <c r="M220" i="1" s="1"/>
  <c r="N220" i="1" s="1"/>
  <c r="F342" i="1"/>
  <c r="L342" i="1" s="1"/>
  <c r="M342" i="1" s="1"/>
  <c r="N342" i="1" s="1"/>
  <c r="F464" i="1"/>
  <c r="L464" i="1" s="1"/>
  <c r="M464" i="1" s="1"/>
  <c r="N464" i="1" s="1"/>
  <c r="F586" i="1"/>
  <c r="L586" i="1" s="1"/>
  <c r="M586" i="1" s="1"/>
  <c r="N586" i="1" s="1"/>
  <c r="F708" i="1"/>
  <c r="L708" i="1" s="1"/>
  <c r="M708" i="1" s="1"/>
  <c r="N708" i="1" s="1"/>
  <c r="F830" i="1"/>
  <c r="L830" i="1" s="1"/>
  <c r="M830" i="1" s="1"/>
  <c r="N830" i="1" s="1"/>
  <c r="F952" i="1"/>
  <c r="L952" i="1" s="1"/>
  <c r="M952" i="1" s="1"/>
  <c r="N952" i="1" s="1"/>
  <c r="F99" i="1"/>
  <c r="L99" i="1" s="1"/>
  <c r="M99" i="1" s="1"/>
  <c r="N99" i="1" s="1"/>
  <c r="F221" i="1"/>
  <c r="L221" i="1" s="1"/>
  <c r="M221" i="1" s="1"/>
  <c r="N221" i="1" s="1"/>
  <c r="F343" i="1"/>
  <c r="L343" i="1" s="1"/>
  <c r="M343" i="1" s="1"/>
  <c r="N343" i="1" s="1"/>
  <c r="F465" i="1"/>
  <c r="L465" i="1" s="1"/>
  <c r="M465" i="1" s="1"/>
  <c r="N465" i="1" s="1"/>
  <c r="F587" i="1"/>
  <c r="L587" i="1" s="1"/>
  <c r="M587" i="1" s="1"/>
  <c r="N587" i="1" s="1"/>
  <c r="F709" i="1"/>
  <c r="L709" i="1" s="1"/>
  <c r="M709" i="1" s="1"/>
  <c r="N709" i="1" s="1"/>
  <c r="F831" i="1"/>
  <c r="L831" i="1" s="1"/>
  <c r="M831" i="1" s="1"/>
  <c r="N831" i="1" s="1"/>
  <c r="F953" i="1"/>
  <c r="L953" i="1" s="1"/>
  <c r="M953" i="1" s="1"/>
  <c r="N953" i="1" s="1"/>
  <c r="F100" i="1"/>
  <c r="L100" i="1" s="1"/>
  <c r="M100" i="1" s="1"/>
  <c r="N100" i="1" s="1"/>
  <c r="F222" i="1"/>
  <c r="L222" i="1" s="1"/>
  <c r="M222" i="1" s="1"/>
  <c r="N222" i="1" s="1"/>
  <c r="F344" i="1"/>
  <c r="L344" i="1" s="1"/>
  <c r="M344" i="1" s="1"/>
  <c r="N344" i="1" s="1"/>
  <c r="F466" i="1"/>
  <c r="L466" i="1" s="1"/>
  <c r="M466" i="1" s="1"/>
  <c r="N466" i="1" s="1"/>
  <c r="F588" i="1"/>
  <c r="L588" i="1" s="1"/>
  <c r="M588" i="1" s="1"/>
  <c r="N588" i="1" s="1"/>
  <c r="F710" i="1"/>
  <c r="L710" i="1" s="1"/>
  <c r="M710" i="1" s="1"/>
  <c r="N710" i="1" s="1"/>
  <c r="F832" i="1"/>
  <c r="L832" i="1" s="1"/>
  <c r="M832" i="1" s="1"/>
  <c r="N832" i="1" s="1"/>
  <c r="F954" i="1"/>
  <c r="L954" i="1" s="1"/>
  <c r="M954" i="1" s="1"/>
  <c r="N954" i="1" s="1"/>
  <c r="F101" i="1"/>
  <c r="L101" i="1" s="1"/>
  <c r="M101" i="1" s="1"/>
  <c r="N101" i="1" s="1"/>
  <c r="F223" i="1"/>
  <c r="L223" i="1" s="1"/>
  <c r="M223" i="1" s="1"/>
  <c r="N223" i="1" s="1"/>
  <c r="F345" i="1"/>
  <c r="L345" i="1" s="1"/>
  <c r="M345" i="1" s="1"/>
  <c r="N345" i="1" s="1"/>
  <c r="F467" i="1"/>
  <c r="L467" i="1" s="1"/>
  <c r="M467" i="1" s="1"/>
  <c r="N467" i="1" s="1"/>
  <c r="F589" i="1"/>
  <c r="L589" i="1" s="1"/>
  <c r="M589" i="1" s="1"/>
  <c r="N589" i="1" s="1"/>
  <c r="F711" i="1"/>
  <c r="L711" i="1" s="1"/>
  <c r="M711" i="1" s="1"/>
  <c r="N711" i="1" s="1"/>
  <c r="F833" i="1"/>
  <c r="L833" i="1" s="1"/>
  <c r="M833" i="1" s="1"/>
  <c r="N833" i="1" s="1"/>
  <c r="F955" i="1"/>
  <c r="L955" i="1" s="1"/>
  <c r="M955" i="1" s="1"/>
  <c r="N955" i="1" s="1"/>
  <c r="F102" i="1"/>
  <c r="L102" i="1" s="1"/>
  <c r="M102" i="1" s="1"/>
  <c r="N102" i="1" s="1"/>
  <c r="F224" i="1"/>
  <c r="L224" i="1" s="1"/>
  <c r="M224" i="1" s="1"/>
  <c r="N224" i="1" s="1"/>
  <c r="F346" i="1"/>
  <c r="L346" i="1" s="1"/>
  <c r="M346" i="1" s="1"/>
  <c r="N346" i="1" s="1"/>
  <c r="F468" i="1"/>
  <c r="L468" i="1" s="1"/>
  <c r="M468" i="1" s="1"/>
  <c r="N468" i="1" s="1"/>
  <c r="F590" i="1"/>
  <c r="L590" i="1" s="1"/>
  <c r="M590" i="1" s="1"/>
  <c r="N590" i="1" s="1"/>
  <c r="F712" i="1"/>
  <c r="L712" i="1" s="1"/>
  <c r="M712" i="1" s="1"/>
  <c r="N712" i="1" s="1"/>
  <c r="F834" i="1"/>
  <c r="L834" i="1" s="1"/>
  <c r="M834" i="1" s="1"/>
  <c r="N834" i="1" s="1"/>
  <c r="F956" i="1"/>
  <c r="L956" i="1" s="1"/>
  <c r="M956" i="1" s="1"/>
  <c r="N956" i="1" s="1"/>
  <c r="F103" i="1"/>
  <c r="L103" i="1" s="1"/>
  <c r="M103" i="1" s="1"/>
  <c r="N103" i="1" s="1"/>
  <c r="F225" i="1"/>
  <c r="L225" i="1" s="1"/>
  <c r="M225" i="1" s="1"/>
  <c r="N225" i="1" s="1"/>
  <c r="F347" i="1"/>
  <c r="L347" i="1" s="1"/>
  <c r="M347" i="1" s="1"/>
  <c r="N347" i="1" s="1"/>
  <c r="F469" i="1"/>
  <c r="L469" i="1" s="1"/>
  <c r="M469" i="1" s="1"/>
  <c r="N469" i="1" s="1"/>
  <c r="F591" i="1"/>
  <c r="L591" i="1" s="1"/>
  <c r="M591" i="1" s="1"/>
  <c r="N591" i="1" s="1"/>
  <c r="F713" i="1"/>
  <c r="L713" i="1" s="1"/>
  <c r="M713" i="1" s="1"/>
  <c r="N713" i="1" s="1"/>
  <c r="F835" i="1"/>
  <c r="L835" i="1" s="1"/>
  <c r="M835" i="1" s="1"/>
  <c r="N835" i="1" s="1"/>
  <c r="F957" i="1"/>
  <c r="L957" i="1" s="1"/>
  <c r="M957" i="1" s="1"/>
  <c r="N957" i="1" s="1"/>
  <c r="F104" i="1"/>
  <c r="L104" i="1" s="1"/>
  <c r="M104" i="1" s="1"/>
  <c r="N104" i="1" s="1"/>
  <c r="F226" i="1"/>
  <c r="L226" i="1" s="1"/>
  <c r="M226" i="1" s="1"/>
  <c r="N226" i="1" s="1"/>
  <c r="F348" i="1"/>
  <c r="L348" i="1" s="1"/>
  <c r="M348" i="1" s="1"/>
  <c r="N348" i="1" s="1"/>
  <c r="F470" i="1"/>
  <c r="L470" i="1" s="1"/>
  <c r="M470" i="1" s="1"/>
  <c r="N470" i="1" s="1"/>
  <c r="F592" i="1"/>
  <c r="L592" i="1" s="1"/>
  <c r="M592" i="1" s="1"/>
  <c r="N592" i="1" s="1"/>
  <c r="F714" i="1"/>
  <c r="L714" i="1" s="1"/>
  <c r="M714" i="1" s="1"/>
  <c r="N714" i="1" s="1"/>
  <c r="F836" i="1"/>
  <c r="L836" i="1" s="1"/>
  <c r="M836" i="1" s="1"/>
  <c r="N836" i="1" s="1"/>
  <c r="F958" i="1"/>
  <c r="L958" i="1" s="1"/>
  <c r="M958" i="1" s="1"/>
  <c r="N958" i="1" s="1"/>
  <c r="F105" i="1"/>
  <c r="L105" i="1" s="1"/>
  <c r="M105" i="1" s="1"/>
  <c r="N105" i="1" s="1"/>
  <c r="F227" i="1"/>
  <c r="L227" i="1" s="1"/>
  <c r="M227" i="1" s="1"/>
  <c r="N227" i="1" s="1"/>
  <c r="F349" i="1"/>
  <c r="L349" i="1" s="1"/>
  <c r="M349" i="1" s="1"/>
  <c r="N349" i="1" s="1"/>
  <c r="F471" i="1"/>
  <c r="L471" i="1" s="1"/>
  <c r="M471" i="1" s="1"/>
  <c r="N471" i="1" s="1"/>
  <c r="F593" i="1"/>
  <c r="L593" i="1" s="1"/>
  <c r="M593" i="1" s="1"/>
  <c r="N593" i="1" s="1"/>
  <c r="F715" i="1"/>
  <c r="L715" i="1" s="1"/>
  <c r="M715" i="1" s="1"/>
  <c r="N715" i="1" s="1"/>
  <c r="F837" i="1"/>
  <c r="L837" i="1" s="1"/>
  <c r="M837" i="1" s="1"/>
  <c r="N837" i="1" s="1"/>
  <c r="F959" i="1"/>
  <c r="L959" i="1" s="1"/>
  <c r="M959" i="1" s="1"/>
  <c r="N959" i="1" s="1"/>
  <c r="F106" i="1"/>
  <c r="L106" i="1" s="1"/>
  <c r="M106" i="1" s="1"/>
  <c r="N106" i="1" s="1"/>
  <c r="F228" i="1"/>
  <c r="L228" i="1" s="1"/>
  <c r="M228" i="1" s="1"/>
  <c r="N228" i="1" s="1"/>
  <c r="F350" i="1"/>
  <c r="L350" i="1" s="1"/>
  <c r="M350" i="1" s="1"/>
  <c r="N350" i="1" s="1"/>
  <c r="F472" i="1"/>
  <c r="L472" i="1" s="1"/>
  <c r="M472" i="1" s="1"/>
  <c r="N472" i="1" s="1"/>
  <c r="F594" i="1"/>
  <c r="L594" i="1" s="1"/>
  <c r="M594" i="1" s="1"/>
  <c r="N594" i="1" s="1"/>
  <c r="F716" i="1"/>
  <c r="L716" i="1" s="1"/>
  <c r="M716" i="1" s="1"/>
  <c r="N716" i="1" s="1"/>
  <c r="F838" i="1"/>
  <c r="L838" i="1" s="1"/>
  <c r="M838" i="1" s="1"/>
  <c r="N838" i="1" s="1"/>
  <c r="F960" i="1"/>
  <c r="L960" i="1" s="1"/>
  <c r="M960" i="1" s="1"/>
  <c r="N960" i="1" s="1"/>
  <c r="F107" i="1"/>
  <c r="L107" i="1" s="1"/>
  <c r="M107" i="1" s="1"/>
  <c r="N107" i="1" s="1"/>
  <c r="F229" i="1"/>
  <c r="L229" i="1" s="1"/>
  <c r="M229" i="1" s="1"/>
  <c r="N229" i="1" s="1"/>
  <c r="F351" i="1"/>
  <c r="L351" i="1" s="1"/>
  <c r="M351" i="1" s="1"/>
  <c r="N351" i="1" s="1"/>
  <c r="F473" i="1"/>
  <c r="L473" i="1" s="1"/>
  <c r="M473" i="1" s="1"/>
  <c r="N473" i="1" s="1"/>
  <c r="F595" i="1"/>
  <c r="L595" i="1" s="1"/>
  <c r="M595" i="1" s="1"/>
  <c r="N595" i="1" s="1"/>
  <c r="F717" i="1"/>
  <c r="L717" i="1" s="1"/>
  <c r="M717" i="1" s="1"/>
  <c r="N717" i="1" s="1"/>
  <c r="F839" i="1"/>
  <c r="L839" i="1" s="1"/>
  <c r="M839" i="1" s="1"/>
  <c r="N839" i="1" s="1"/>
  <c r="F961" i="1"/>
  <c r="L961" i="1" s="1"/>
  <c r="M961" i="1" s="1"/>
  <c r="N961" i="1" s="1"/>
  <c r="F108" i="1"/>
  <c r="L108" i="1" s="1"/>
  <c r="M108" i="1" s="1"/>
  <c r="N108" i="1" s="1"/>
  <c r="F230" i="1"/>
  <c r="L230" i="1" s="1"/>
  <c r="M230" i="1" s="1"/>
  <c r="N230" i="1" s="1"/>
  <c r="F352" i="1"/>
  <c r="L352" i="1" s="1"/>
  <c r="M352" i="1" s="1"/>
  <c r="N352" i="1" s="1"/>
  <c r="F474" i="1"/>
  <c r="L474" i="1" s="1"/>
  <c r="M474" i="1" s="1"/>
  <c r="N474" i="1" s="1"/>
  <c r="F596" i="1"/>
  <c r="L596" i="1" s="1"/>
  <c r="M596" i="1" s="1"/>
  <c r="N596" i="1" s="1"/>
  <c r="F718" i="1"/>
  <c r="L718" i="1" s="1"/>
  <c r="M718" i="1" s="1"/>
  <c r="N718" i="1" s="1"/>
  <c r="F840" i="1"/>
  <c r="L840" i="1" s="1"/>
  <c r="M840" i="1" s="1"/>
  <c r="N840" i="1" s="1"/>
  <c r="F962" i="1"/>
  <c r="L962" i="1" s="1"/>
  <c r="M962" i="1" s="1"/>
  <c r="N962" i="1" s="1"/>
  <c r="F109" i="1"/>
  <c r="L109" i="1" s="1"/>
  <c r="M109" i="1" s="1"/>
  <c r="N109" i="1" s="1"/>
  <c r="F231" i="1"/>
  <c r="L231" i="1" s="1"/>
  <c r="M231" i="1" s="1"/>
  <c r="N231" i="1" s="1"/>
  <c r="F353" i="1"/>
  <c r="L353" i="1" s="1"/>
  <c r="M353" i="1" s="1"/>
  <c r="N353" i="1" s="1"/>
  <c r="F475" i="1"/>
  <c r="L475" i="1" s="1"/>
  <c r="M475" i="1" s="1"/>
  <c r="N475" i="1" s="1"/>
  <c r="F597" i="1"/>
  <c r="L597" i="1" s="1"/>
  <c r="M597" i="1" s="1"/>
  <c r="N597" i="1" s="1"/>
  <c r="F719" i="1"/>
  <c r="L719" i="1" s="1"/>
  <c r="M719" i="1" s="1"/>
  <c r="N719" i="1" s="1"/>
  <c r="F841" i="1"/>
  <c r="L841" i="1" s="1"/>
  <c r="M841" i="1" s="1"/>
  <c r="N841" i="1" s="1"/>
  <c r="F963" i="1"/>
  <c r="L963" i="1" s="1"/>
  <c r="M963" i="1" s="1"/>
  <c r="N963" i="1" s="1"/>
  <c r="F110" i="1"/>
  <c r="L110" i="1" s="1"/>
  <c r="M110" i="1" s="1"/>
  <c r="N110" i="1" s="1"/>
  <c r="F232" i="1"/>
  <c r="L232" i="1" s="1"/>
  <c r="M232" i="1" s="1"/>
  <c r="N232" i="1" s="1"/>
  <c r="F354" i="1"/>
  <c r="L354" i="1" s="1"/>
  <c r="M354" i="1" s="1"/>
  <c r="N354" i="1" s="1"/>
  <c r="F476" i="1"/>
  <c r="L476" i="1" s="1"/>
  <c r="M476" i="1" s="1"/>
  <c r="N476" i="1" s="1"/>
  <c r="F598" i="1"/>
  <c r="L598" i="1" s="1"/>
  <c r="M598" i="1" s="1"/>
  <c r="N598" i="1" s="1"/>
  <c r="F720" i="1"/>
  <c r="L720" i="1" s="1"/>
  <c r="M720" i="1" s="1"/>
  <c r="N720" i="1" s="1"/>
  <c r="F842" i="1"/>
  <c r="L842" i="1" s="1"/>
  <c r="M842" i="1" s="1"/>
  <c r="N842" i="1" s="1"/>
  <c r="F964" i="1"/>
  <c r="L964" i="1" s="1"/>
  <c r="M964" i="1" s="1"/>
  <c r="N964" i="1" s="1"/>
  <c r="F111" i="1"/>
  <c r="L111" i="1" s="1"/>
  <c r="M111" i="1" s="1"/>
  <c r="N111" i="1" s="1"/>
  <c r="F233" i="1"/>
  <c r="L233" i="1" s="1"/>
  <c r="M233" i="1" s="1"/>
  <c r="N233" i="1" s="1"/>
  <c r="F355" i="1"/>
  <c r="L355" i="1" s="1"/>
  <c r="M355" i="1" s="1"/>
  <c r="N355" i="1" s="1"/>
  <c r="F477" i="1"/>
  <c r="L477" i="1" s="1"/>
  <c r="M477" i="1" s="1"/>
  <c r="N477" i="1" s="1"/>
  <c r="F599" i="1"/>
  <c r="L599" i="1" s="1"/>
  <c r="M599" i="1" s="1"/>
  <c r="N599" i="1" s="1"/>
  <c r="F721" i="1"/>
  <c r="L721" i="1" s="1"/>
  <c r="M721" i="1" s="1"/>
  <c r="N721" i="1" s="1"/>
  <c r="F843" i="1"/>
  <c r="L843" i="1" s="1"/>
  <c r="M843" i="1" s="1"/>
  <c r="N843" i="1" s="1"/>
  <c r="F965" i="1"/>
  <c r="L965" i="1" s="1"/>
  <c r="M965" i="1" s="1"/>
  <c r="N965" i="1" s="1"/>
  <c r="F112" i="1"/>
  <c r="L112" i="1" s="1"/>
  <c r="M112" i="1" s="1"/>
  <c r="N112" i="1" s="1"/>
  <c r="F234" i="1"/>
  <c r="L234" i="1" s="1"/>
  <c r="M234" i="1" s="1"/>
  <c r="N234" i="1" s="1"/>
  <c r="F356" i="1"/>
  <c r="L356" i="1" s="1"/>
  <c r="M356" i="1" s="1"/>
  <c r="N356" i="1" s="1"/>
  <c r="F478" i="1"/>
  <c r="L478" i="1" s="1"/>
  <c r="M478" i="1" s="1"/>
  <c r="N478" i="1" s="1"/>
  <c r="F600" i="1"/>
  <c r="L600" i="1" s="1"/>
  <c r="M600" i="1" s="1"/>
  <c r="N600" i="1" s="1"/>
  <c r="F722" i="1"/>
  <c r="L722" i="1" s="1"/>
  <c r="M722" i="1" s="1"/>
  <c r="N722" i="1" s="1"/>
  <c r="F844" i="1"/>
  <c r="L844" i="1" s="1"/>
  <c r="M844" i="1" s="1"/>
  <c r="N844" i="1" s="1"/>
  <c r="F966" i="1"/>
  <c r="L966" i="1" s="1"/>
  <c r="M966" i="1" s="1"/>
  <c r="N966" i="1" s="1"/>
  <c r="F113" i="1"/>
  <c r="L113" i="1" s="1"/>
  <c r="M113" i="1" s="1"/>
  <c r="N113" i="1" s="1"/>
  <c r="F235" i="1"/>
  <c r="L235" i="1" s="1"/>
  <c r="M235" i="1" s="1"/>
  <c r="N235" i="1" s="1"/>
  <c r="F357" i="1"/>
  <c r="L357" i="1" s="1"/>
  <c r="M357" i="1" s="1"/>
  <c r="N357" i="1" s="1"/>
  <c r="F479" i="1"/>
  <c r="L479" i="1" s="1"/>
  <c r="M479" i="1" s="1"/>
  <c r="N479" i="1" s="1"/>
  <c r="F601" i="1"/>
  <c r="L601" i="1" s="1"/>
  <c r="M601" i="1" s="1"/>
  <c r="N601" i="1" s="1"/>
  <c r="F723" i="1"/>
  <c r="L723" i="1" s="1"/>
  <c r="M723" i="1" s="1"/>
  <c r="N723" i="1" s="1"/>
  <c r="F845" i="1"/>
  <c r="L845" i="1" s="1"/>
  <c r="M845" i="1" s="1"/>
  <c r="N845" i="1" s="1"/>
  <c r="F967" i="1"/>
  <c r="L967" i="1" s="1"/>
  <c r="M967" i="1" s="1"/>
  <c r="N967" i="1" s="1"/>
  <c r="F114" i="1"/>
  <c r="L114" i="1" s="1"/>
  <c r="M114" i="1" s="1"/>
  <c r="N114" i="1" s="1"/>
  <c r="F236" i="1"/>
  <c r="L236" i="1" s="1"/>
  <c r="M236" i="1" s="1"/>
  <c r="N236" i="1" s="1"/>
  <c r="F358" i="1"/>
  <c r="L358" i="1" s="1"/>
  <c r="M358" i="1" s="1"/>
  <c r="N358" i="1" s="1"/>
  <c r="F480" i="1"/>
  <c r="L480" i="1" s="1"/>
  <c r="M480" i="1" s="1"/>
  <c r="N480" i="1" s="1"/>
  <c r="F602" i="1"/>
  <c r="L602" i="1" s="1"/>
  <c r="M602" i="1" s="1"/>
  <c r="N602" i="1" s="1"/>
  <c r="F724" i="1"/>
  <c r="L724" i="1" s="1"/>
  <c r="M724" i="1" s="1"/>
  <c r="N724" i="1" s="1"/>
  <c r="F846" i="1"/>
  <c r="L846" i="1" s="1"/>
  <c r="M846" i="1" s="1"/>
  <c r="N846" i="1" s="1"/>
  <c r="F968" i="1"/>
  <c r="L968" i="1" s="1"/>
  <c r="M968" i="1" s="1"/>
  <c r="N968" i="1" s="1"/>
  <c r="F115" i="1"/>
  <c r="L115" i="1" s="1"/>
  <c r="M115" i="1" s="1"/>
  <c r="N115" i="1" s="1"/>
  <c r="F237" i="1"/>
  <c r="L237" i="1" s="1"/>
  <c r="M237" i="1" s="1"/>
  <c r="N237" i="1" s="1"/>
  <c r="F359" i="1"/>
  <c r="L359" i="1" s="1"/>
  <c r="M359" i="1" s="1"/>
  <c r="N359" i="1" s="1"/>
  <c r="F481" i="1"/>
  <c r="L481" i="1" s="1"/>
  <c r="M481" i="1" s="1"/>
  <c r="N481" i="1" s="1"/>
  <c r="F603" i="1"/>
  <c r="L603" i="1" s="1"/>
  <c r="M603" i="1" s="1"/>
  <c r="N603" i="1" s="1"/>
  <c r="F725" i="1"/>
  <c r="L725" i="1" s="1"/>
  <c r="M725" i="1" s="1"/>
  <c r="N725" i="1" s="1"/>
  <c r="F847" i="1"/>
  <c r="L847" i="1" s="1"/>
  <c r="M847" i="1" s="1"/>
  <c r="N847" i="1" s="1"/>
  <c r="F969" i="1"/>
  <c r="L969" i="1" s="1"/>
  <c r="M969" i="1" s="1"/>
  <c r="N969" i="1" s="1"/>
  <c r="F116" i="1"/>
  <c r="L116" i="1" s="1"/>
  <c r="M116" i="1" s="1"/>
  <c r="N116" i="1" s="1"/>
  <c r="F238" i="1"/>
  <c r="L238" i="1" s="1"/>
  <c r="M238" i="1" s="1"/>
  <c r="N238" i="1" s="1"/>
  <c r="F360" i="1"/>
  <c r="L360" i="1" s="1"/>
  <c r="M360" i="1" s="1"/>
  <c r="N360" i="1" s="1"/>
  <c r="F482" i="1"/>
  <c r="L482" i="1" s="1"/>
  <c r="M482" i="1" s="1"/>
  <c r="N482" i="1" s="1"/>
  <c r="F604" i="1"/>
  <c r="L604" i="1" s="1"/>
  <c r="M604" i="1" s="1"/>
  <c r="N604" i="1" s="1"/>
  <c r="F726" i="1"/>
  <c r="L726" i="1" s="1"/>
  <c r="M726" i="1" s="1"/>
  <c r="N726" i="1" s="1"/>
  <c r="F848" i="1"/>
  <c r="L848" i="1" s="1"/>
  <c r="M848" i="1" s="1"/>
  <c r="N848" i="1" s="1"/>
  <c r="F970" i="1"/>
  <c r="L970" i="1" s="1"/>
  <c r="M970" i="1" s="1"/>
  <c r="N970" i="1" s="1"/>
  <c r="F117" i="1"/>
  <c r="L117" i="1" s="1"/>
  <c r="M117" i="1" s="1"/>
  <c r="N117" i="1" s="1"/>
  <c r="F239" i="1"/>
  <c r="L239" i="1" s="1"/>
  <c r="M239" i="1" s="1"/>
  <c r="N239" i="1" s="1"/>
  <c r="F361" i="1"/>
  <c r="L361" i="1" s="1"/>
  <c r="M361" i="1" s="1"/>
  <c r="N361" i="1" s="1"/>
  <c r="F483" i="1"/>
  <c r="L483" i="1" s="1"/>
  <c r="M483" i="1" s="1"/>
  <c r="N483" i="1" s="1"/>
  <c r="F605" i="1"/>
  <c r="L605" i="1" s="1"/>
  <c r="M605" i="1" s="1"/>
  <c r="N605" i="1" s="1"/>
  <c r="F727" i="1"/>
  <c r="L727" i="1" s="1"/>
  <c r="M727" i="1" s="1"/>
  <c r="N727" i="1" s="1"/>
  <c r="F849" i="1"/>
  <c r="L849" i="1" s="1"/>
  <c r="M849" i="1" s="1"/>
  <c r="N849" i="1" s="1"/>
  <c r="F971" i="1"/>
  <c r="L971" i="1" s="1"/>
  <c r="M971" i="1" s="1"/>
  <c r="N971" i="1" s="1"/>
  <c r="F118" i="1"/>
  <c r="L118" i="1" s="1"/>
  <c r="M118" i="1" s="1"/>
  <c r="N118" i="1" s="1"/>
  <c r="F240" i="1"/>
  <c r="L240" i="1" s="1"/>
  <c r="M240" i="1" s="1"/>
  <c r="N240" i="1" s="1"/>
  <c r="F362" i="1"/>
  <c r="L362" i="1" s="1"/>
  <c r="M362" i="1" s="1"/>
  <c r="N362" i="1" s="1"/>
  <c r="F484" i="1"/>
  <c r="L484" i="1" s="1"/>
  <c r="M484" i="1" s="1"/>
  <c r="N484" i="1" s="1"/>
  <c r="F606" i="1"/>
  <c r="L606" i="1" s="1"/>
  <c r="M606" i="1" s="1"/>
  <c r="N606" i="1" s="1"/>
  <c r="F728" i="1"/>
  <c r="L728" i="1" s="1"/>
  <c r="M728" i="1" s="1"/>
  <c r="N728" i="1" s="1"/>
  <c r="F850" i="1"/>
  <c r="L850" i="1" s="1"/>
  <c r="M850" i="1" s="1"/>
  <c r="N850" i="1" s="1"/>
  <c r="F972" i="1"/>
  <c r="L972" i="1" s="1"/>
  <c r="M972" i="1" s="1"/>
  <c r="N972" i="1" s="1"/>
  <c r="F119" i="1"/>
  <c r="L119" i="1" s="1"/>
  <c r="M119" i="1" s="1"/>
  <c r="N119" i="1" s="1"/>
  <c r="F241" i="1"/>
  <c r="L241" i="1" s="1"/>
  <c r="M241" i="1" s="1"/>
  <c r="N241" i="1" s="1"/>
  <c r="F363" i="1"/>
  <c r="L363" i="1" s="1"/>
  <c r="M363" i="1" s="1"/>
  <c r="N363" i="1" s="1"/>
  <c r="F485" i="1"/>
  <c r="L485" i="1" s="1"/>
  <c r="M485" i="1" s="1"/>
  <c r="N485" i="1" s="1"/>
  <c r="F607" i="1"/>
  <c r="L607" i="1" s="1"/>
  <c r="M607" i="1" s="1"/>
  <c r="N607" i="1" s="1"/>
  <c r="F729" i="1"/>
  <c r="L729" i="1" s="1"/>
  <c r="M729" i="1" s="1"/>
  <c r="N729" i="1" s="1"/>
  <c r="F851" i="1"/>
  <c r="L851" i="1" s="1"/>
  <c r="M851" i="1" s="1"/>
  <c r="N851" i="1" s="1"/>
  <c r="F973" i="1"/>
  <c r="L973" i="1" s="1"/>
  <c r="M973" i="1" s="1"/>
  <c r="N973" i="1" s="1"/>
  <c r="F120" i="1"/>
  <c r="L120" i="1" s="1"/>
  <c r="M120" i="1" s="1"/>
  <c r="N120" i="1" s="1"/>
  <c r="F242" i="1"/>
  <c r="L242" i="1" s="1"/>
  <c r="M242" i="1" s="1"/>
  <c r="N242" i="1" s="1"/>
  <c r="F364" i="1"/>
  <c r="L364" i="1" s="1"/>
  <c r="M364" i="1" s="1"/>
  <c r="N364" i="1" s="1"/>
  <c r="F486" i="1"/>
  <c r="L486" i="1" s="1"/>
  <c r="M486" i="1" s="1"/>
  <c r="N486" i="1" s="1"/>
  <c r="F608" i="1"/>
  <c r="L608" i="1" s="1"/>
  <c r="M608" i="1" s="1"/>
  <c r="N608" i="1" s="1"/>
  <c r="F730" i="1"/>
  <c r="L730" i="1" s="1"/>
  <c r="M730" i="1" s="1"/>
  <c r="N730" i="1" s="1"/>
  <c r="F852" i="1"/>
  <c r="L852" i="1" s="1"/>
  <c r="M852" i="1" s="1"/>
  <c r="N852" i="1" s="1"/>
  <c r="F974" i="1"/>
  <c r="L974" i="1" s="1"/>
  <c r="M974" i="1" s="1"/>
  <c r="N974" i="1" s="1"/>
  <c r="F121" i="1"/>
  <c r="L121" i="1" s="1"/>
  <c r="M121" i="1" s="1"/>
  <c r="N121" i="1" s="1"/>
  <c r="F243" i="1"/>
  <c r="L243" i="1" s="1"/>
  <c r="M243" i="1" s="1"/>
  <c r="N243" i="1" s="1"/>
  <c r="F365" i="1"/>
  <c r="L365" i="1" s="1"/>
  <c r="M365" i="1" s="1"/>
  <c r="N365" i="1" s="1"/>
  <c r="F487" i="1"/>
  <c r="L487" i="1" s="1"/>
  <c r="M487" i="1" s="1"/>
  <c r="N487" i="1" s="1"/>
  <c r="F609" i="1"/>
  <c r="L609" i="1" s="1"/>
  <c r="M609" i="1" s="1"/>
  <c r="N609" i="1" s="1"/>
  <c r="F731" i="1"/>
  <c r="L731" i="1" s="1"/>
  <c r="M731" i="1" s="1"/>
  <c r="N731" i="1" s="1"/>
  <c r="F853" i="1"/>
  <c r="L853" i="1" s="1"/>
  <c r="M853" i="1" s="1"/>
  <c r="N853" i="1" s="1"/>
  <c r="F975" i="1"/>
  <c r="L975" i="1" s="1"/>
  <c r="M975" i="1" s="1"/>
  <c r="N975" i="1" s="1"/>
  <c r="F122" i="1"/>
  <c r="L122" i="1" s="1"/>
  <c r="M122" i="1" s="1"/>
  <c r="N122" i="1" s="1"/>
  <c r="F244" i="1"/>
  <c r="L244" i="1" s="1"/>
  <c r="M244" i="1" s="1"/>
  <c r="N244" i="1" s="1"/>
  <c r="F366" i="1"/>
  <c r="L366" i="1" s="1"/>
  <c r="M366" i="1" s="1"/>
  <c r="N366" i="1" s="1"/>
  <c r="F488" i="1"/>
  <c r="L488" i="1" s="1"/>
  <c r="M488" i="1" s="1"/>
  <c r="N488" i="1" s="1"/>
  <c r="F610" i="1"/>
  <c r="L610" i="1" s="1"/>
  <c r="M610" i="1" s="1"/>
  <c r="N610" i="1" s="1"/>
  <c r="F732" i="1"/>
  <c r="L732" i="1" s="1"/>
  <c r="M732" i="1" s="1"/>
  <c r="N732" i="1" s="1"/>
  <c r="F854" i="1"/>
  <c r="L854" i="1" s="1"/>
  <c r="M854" i="1" s="1"/>
  <c r="N854" i="1" s="1"/>
  <c r="F976" i="1"/>
  <c r="L976" i="1" s="1"/>
  <c r="M976" i="1" s="1"/>
  <c r="N976" i="1" s="1"/>
  <c r="F123" i="1"/>
  <c r="L123" i="1" s="1"/>
  <c r="M123" i="1" s="1"/>
  <c r="N123" i="1" s="1"/>
  <c r="F245" i="1"/>
  <c r="L245" i="1" s="1"/>
  <c r="M245" i="1" s="1"/>
  <c r="N245" i="1" s="1"/>
  <c r="F367" i="1"/>
  <c r="L367" i="1" s="1"/>
  <c r="M367" i="1" s="1"/>
  <c r="N367" i="1" s="1"/>
  <c r="F489" i="1"/>
  <c r="L489" i="1" s="1"/>
  <c r="M489" i="1" s="1"/>
  <c r="N489" i="1" s="1"/>
  <c r="F611" i="1"/>
  <c r="L611" i="1" s="1"/>
  <c r="M611" i="1" s="1"/>
  <c r="N611" i="1" s="1"/>
  <c r="F733" i="1"/>
  <c r="L733" i="1" s="1"/>
  <c r="M733" i="1" s="1"/>
  <c r="N733" i="1" s="1"/>
  <c r="F855" i="1"/>
  <c r="L855" i="1" s="1"/>
  <c r="M855" i="1" s="1"/>
  <c r="N855" i="1" s="1"/>
  <c r="F977" i="1"/>
  <c r="L977" i="1" s="1"/>
  <c r="M977" i="1" s="1"/>
  <c r="N977" i="1" s="1"/>
</calcChain>
</file>

<file path=xl/sharedStrings.xml><?xml version="1.0" encoding="utf-8"?>
<sst xmlns="http://schemas.openxmlformats.org/spreadsheetml/2006/main" count="7257" uniqueCount="241">
  <si>
    <t>Province</t>
  </si>
  <si>
    <t>Average Performance Gap (%)</t>
  </si>
  <si>
    <t>BANTEN</t>
  </si>
  <si>
    <t>DKI JAKARTA</t>
  </si>
  <si>
    <t>JAWA BARAT</t>
  </si>
  <si>
    <t>JAWA TENGAH</t>
  </si>
  <si>
    <t>JAWA TIMUR</t>
  </si>
  <si>
    <t>SULAWESI SELATAN</t>
  </si>
  <si>
    <t>SUMATERA SELATAN</t>
  </si>
  <si>
    <t>Grand Total</t>
  </si>
  <si>
    <t>Count of Dati 2</t>
  </si>
  <si>
    <t>Column Labels</t>
  </si>
  <si>
    <t>Row Labels</t>
  </si>
  <si>
    <t>Lose</t>
  </si>
  <si>
    <t>Win</t>
  </si>
  <si>
    <t>Average of Performance Gap (%)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</si>
  <si>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</si>
  <si>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</si>
  <si>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</si>
  <si>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</si>
  <si>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</si>
  <si>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</si>
  <si>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</si>
  <si>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</si>
  <si>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</si>
  <si>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</si>
  <si>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</si>
  <si>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</si>
  <si>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3 Monthly</t>
  </si>
  <si>
    <t>No</t>
  </si>
  <si>
    <t>Propinsi</t>
  </si>
  <si>
    <t>Dati 2</t>
  </si>
  <si>
    <t>Bulan</t>
  </si>
  <si>
    <t>Tahun</t>
  </si>
  <si>
    <t>Tanggal</t>
  </si>
  <si>
    <t>Aktual</t>
  </si>
  <si>
    <t>Target</t>
  </si>
  <si>
    <t>Performance Gap</t>
  </si>
  <si>
    <t>Performance Gap (%)</t>
  </si>
  <si>
    <t>Status Kinerja</t>
  </si>
  <si>
    <t>Jumlah Kompetitor</t>
  </si>
  <si>
    <t>vs Kompetitor</t>
  </si>
  <si>
    <t>Status vs Kompetito</t>
  </si>
  <si>
    <t>SURABAYA</t>
  </si>
  <si>
    <t>GRESIK</t>
  </si>
  <si>
    <t>SIDOARJO</t>
  </si>
  <si>
    <t>MOJOKERTO</t>
  </si>
  <si>
    <t>JOMBANG</t>
  </si>
  <si>
    <t>BOJONEGORO</t>
  </si>
  <si>
    <t>LAMONGAN</t>
  </si>
  <si>
    <t>TUBAN</t>
  </si>
  <si>
    <t>MADIUN</t>
  </si>
  <si>
    <t>MAGETAN</t>
  </si>
  <si>
    <t>NGAWI</t>
  </si>
  <si>
    <t>PONOROGO</t>
  </si>
  <si>
    <t>PACITAN</t>
  </si>
  <si>
    <t>KEDIRI</t>
  </si>
  <si>
    <t>NGANJUK</t>
  </si>
  <si>
    <t>MALANG</t>
  </si>
  <si>
    <t>BATU</t>
  </si>
  <si>
    <t>BLITAR</t>
  </si>
  <si>
    <t>TULUNGAGUNG</t>
  </si>
  <si>
    <t>JAKARTA PUSAT</t>
  </si>
  <si>
    <t>JAKARTA BARAT</t>
  </si>
  <si>
    <t>JAKARTA SELATAN</t>
  </si>
  <si>
    <t>JAKARTA TIMUR</t>
  </si>
  <si>
    <t>JAKARTA UTARA</t>
  </si>
  <si>
    <t>KEPULAUAN SERIBU</t>
  </si>
  <si>
    <t>TANGERANG</t>
  </si>
  <si>
    <t>TANGERANG SELATAN</t>
  </si>
  <si>
    <t>BOGOR</t>
  </si>
  <si>
    <t>DEPOK</t>
  </si>
  <si>
    <t>BEKASI</t>
  </si>
  <si>
    <t>BANDUNG</t>
  </si>
  <si>
    <t>BANDUNG BARAT</t>
  </si>
  <si>
    <t>CIMAHI</t>
  </si>
  <si>
    <t>PURWAKARTA</t>
  </si>
  <si>
    <t>SUBANG</t>
  </si>
  <si>
    <t>KARAWANG</t>
  </si>
  <si>
    <t>SERANG</t>
  </si>
  <si>
    <t>PANDEGLANG</t>
  </si>
  <si>
    <t>LEBAK</t>
  </si>
  <si>
    <t>CILEGON</t>
  </si>
  <si>
    <t>SUKABUMI</t>
  </si>
  <si>
    <t>CIANJUR</t>
  </si>
  <si>
    <t>GARUT</t>
  </si>
  <si>
    <t>CIREBON</t>
  </si>
  <si>
    <t>INDRAMAYU</t>
  </si>
  <si>
    <t>SUMEDANG</t>
  </si>
  <si>
    <t>MAJALENGKA</t>
  </si>
  <si>
    <t>KUNINGAN</t>
  </si>
  <si>
    <t>TASIKMALAYA</t>
  </si>
  <si>
    <t>CIAMIS</t>
  </si>
  <si>
    <t>PANGANDARAN</t>
  </si>
  <si>
    <t>BANJAR</t>
  </si>
  <si>
    <t>SEMARANG</t>
  </si>
  <si>
    <t>SALATIGA</t>
  </si>
  <si>
    <t>PEKALONGAN</t>
  </si>
  <si>
    <t>BATANG</t>
  </si>
  <si>
    <t>KENDAL</t>
  </si>
  <si>
    <t>TEGAL</t>
  </si>
  <si>
    <t>BREBES</t>
  </si>
  <si>
    <t>PEMALANG</t>
  </si>
  <si>
    <t>BANYUMAS</t>
  </si>
  <si>
    <t>CILACAP</t>
  </si>
  <si>
    <t>PURBALINGGA</t>
  </si>
  <si>
    <t>BANJARNEGARA</t>
  </si>
  <si>
    <t>PURWOREJO</t>
  </si>
  <si>
    <t>KEBUMEN</t>
  </si>
  <si>
    <t>MAGELANG</t>
  </si>
  <si>
    <t>TEMANGGUNG</t>
  </si>
  <si>
    <t>WONOSOBO</t>
  </si>
  <si>
    <t>SURAKARTA (SOLO)</t>
  </si>
  <si>
    <t>SUKOHARJO</t>
  </si>
  <si>
    <t>KARANGANYAR</t>
  </si>
  <si>
    <t>SRAGEN</t>
  </si>
  <si>
    <t>BOYOLALI</t>
  </si>
  <si>
    <t>KLATEN</t>
  </si>
  <si>
    <t>WONOGIRI</t>
  </si>
  <si>
    <t>GROBOGAN</t>
  </si>
  <si>
    <t>BLORA</t>
  </si>
  <si>
    <t>PATI</t>
  </si>
  <si>
    <t>REMBANG</t>
  </si>
  <si>
    <t>KUDUS</t>
  </si>
  <si>
    <t>JEPARA</t>
  </si>
  <si>
    <t>DEMAK</t>
  </si>
  <si>
    <t>MAKASSAR</t>
  </si>
  <si>
    <t>GOWA</t>
  </si>
  <si>
    <t>BONE</t>
  </si>
  <si>
    <t>MAROS</t>
  </si>
  <si>
    <t>PANGKAJENE KEPULAUAN</t>
  </si>
  <si>
    <t>BARRU</t>
  </si>
  <si>
    <t>SOPPENG</t>
  </si>
  <si>
    <t>WAJO</t>
  </si>
  <si>
    <t>PAREPARE</t>
  </si>
  <si>
    <t>PINRANG</t>
  </si>
  <si>
    <t>SIDENRENG RAPPANG</t>
  </si>
  <si>
    <t>SINJAI</t>
  </si>
  <si>
    <t>ENREKANG</t>
  </si>
  <si>
    <t>TANA TORAJA</t>
  </si>
  <si>
    <t>TORAJA UTARA</t>
  </si>
  <si>
    <t>LUWU UTARA</t>
  </si>
  <si>
    <t>PALOPO</t>
  </si>
  <si>
    <t>LUWU</t>
  </si>
  <si>
    <t>LUWU TIMUR</t>
  </si>
  <si>
    <t>TAKALAR</t>
  </si>
  <si>
    <t>JENEPONTO</t>
  </si>
  <si>
    <t>BANTAENG</t>
  </si>
  <si>
    <t>BULUKUMBA</t>
  </si>
  <si>
    <t>SELAYAR (KEPULAUAN SELAYAR)</t>
  </si>
  <si>
    <t>PALEMBANG</t>
  </si>
  <si>
    <t>OGAN KOMERING ILIR</t>
  </si>
  <si>
    <t>OGAN ILIR</t>
  </si>
  <si>
    <t>MUSI BANYUASIN</t>
  </si>
  <si>
    <t>MUSI RAWAS</t>
  </si>
  <si>
    <t>BANYUASIN</t>
  </si>
  <si>
    <t>PRABUMULIH</t>
  </si>
  <si>
    <t>MUARA ENIM</t>
  </si>
  <si>
    <t>LAHAT</t>
  </si>
  <si>
    <t>EMPAT LAWANG</t>
  </si>
  <si>
    <t>PAGAR ALAM</t>
  </si>
  <si>
    <t>LUBUKLINGGAU</t>
  </si>
  <si>
    <t>OGAN KOMERING ULU</t>
  </si>
  <si>
    <t>OGAN KOMERING ULU TIMUR</t>
  </si>
  <si>
    <t>OGAN KOMERING ULU SELATAN</t>
  </si>
  <si>
    <t>Populasi (2020)</t>
  </si>
  <si>
    <t>Jumlah Cabang</t>
  </si>
  <si>
    <t>Kompetitor area</t>
  </si>
  <si>
    <t>Sum of Aktual</t>
  </si>
  <si>
    <t>Minimum</t>
  </si>
  <si>
    <t>DKI JAKARTA Total</t>
  </si>
  <si>
    <t>Threshold</t>
  </si>
  <si>
    <t>30%+TH</t>
  </si>
  <si>
    <t>Min</t>
  </si>
  <si>
    <t>Max</t>
  </si>
  <si>
    <t>Average</t>
  </si>
  <si>
    <t>Start date</t>
  </si>
  <si>
    <t>End date</t>
  </si>
  <si>
    <t>Produk</t>
  </si>
  <si>
    <t>Region</t>
  </si>
  <si>
    <t>SalesRep</t>
  </si>
  <si>
    <t>Customer</t>
  </si>
  <si>
    <t>Units</t>
  </si>
  <si>
    <t>Penjualan</t>
  </si>
  <si>
    <t>COGS</t>
  </si>
  <si>
    <t>Gaun</t>
  </si>
  <si>
    <t>Sulawesi</t>
  </si>
  <si>
    <t>Indra Agustina</t>
  </si>
  <si>
    <t>PCC</t>
  </si>
  <si>
    <t>Jas</t>
  </si>
  <si>
    <t>Kalimantan</t>
  </si>
  <si>
    <t>Kusuma Dina</t>
  </si>
  <si>
    <t>WSD</t>
  </si>
  <si>
    <t>Kemeja</t>
  </si>
  <si>
    <t>Andi Ade</t>
  </si>
  <si>
    <t>FM</t>
  </si>
  <si>
    <t>Mantel</t>
  </si>
  <si>
    <t>Ika Indah</t>
  </si>
  <si>
    <t>HHH</t>
  </si>
  <si>
    <t>Rok</t>
  </si>
  <si>
    <t>Jawa</t>
  </si>
  <si>
    <t>Ratna Fitria</t>
  </si>
  <si>
    <t>PSA</t>
  </si>
  <si>
    <t>TRU</t>
  </si>
  <si>
    <t>Sumatra</t>
  </si>
  <si>
    <t>Ahmad Surya</t>
  </si>
  <si>
    <t>ITW</t>
  </si>
  <si>
    <t>KBTB</t>
  </si>
  <si>
    <t>AST</t>
  </si>
  <si>
    <t>AA</t>
  </si>
  <si>
    <t>SFWK</t>
  </si>
  <si>
    <t>QT</t>
  </si>
  <si>
    <t>MNGD</t>
  </si>
  <si>
    <t>JAQ</t>
  </si>
  <si>
    <t>ZAT</t>
  </si>
  <si>
    <t>WT</t>
  </si>
  <si>
    <t>ET</t>
  </si>
  <si>
    <t>YTR</t>
  </si>
  <si>
    <t>BBT</t>
  </si>
  <si>
    <t>PLOT</t>
  </si>
  <si>
    <t>EPP</t>
  </si>
  <si>
    <t>T</t>
  </si>
  <si>
    <t>TTT</t>
  </si>
  <si>
    <t>HII</t>
  </si>
  <si>
    <t>MBG</t>
  </si>
  <si>
    <t>KPSA</t>
  </si>
  <si>
    <t>DFR</t>
  </si>
  <si>
    <t>DFGH</t>
  </si>
  <si>
    <t>FRED</t>
  </si>
  <si>
    <t>ITTW</t>
  </si>
  <si>
    <t>LOP</t>
  </si>
  <si>
    <t>Average =</t>
  </si>
  <si>
    <t>MIN</t>
  </si>
  <si>
    <t>MAX</t>
  </si>
  <si>
    <t>AVERAGE</t>
  </si>
  <si>
    <t>Sum of Penjualan</t>
  </si>
  <si>
    <t>2021</t>
  </si>
  <si>
    <t>2021 Total</t>
  </si>
  <si>
    <t>2022</t>
  </si>
  <si>
    <t>2022 Total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</si>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</sst>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[$-409]mmm\-yyyy;@"/>
    <numFmt numFmtId="166" formatCode="_(* #,##0_);_(* \(#,##0\);_(* &quot;-&quot;??_);_(@_)"/>
    <numFmt numFmtId="167" formatCode="[$-409]dddd\,\ mmmm\ d\,\ yyyy"/>
    <numFmt numFmtId="173" formatCode="[$-F800]dddd\,\ mmmm\ dd\,\ yyyy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6" fontId="8" fillId="0" borderId="0" xfId="2" applyNumberFormat="1" applyFont="1"/>
    <xf numFmtId="15" fontId="0" fillId="0" borderId="0" xfId="0" applyNumberFormat="1"/>
    <xf numFmtId="167" fontId="0" fillId="0" borderId="0" xfId="0" applyNumberFormat="1"/>
    <xf numFmtId="0" fontId="0" fillId="2" borderId="4" xfId="0" applyFill="1" applyBorder="1"/>
    <xf numFmtId="0" fontId="0" fillId="0" borderId="4" xfId="0" applyBorder="1"/>
    <xf numFmtId="14" fontId="0" fillId="2" borderId="4" xfId="0" applyNumberFormat="1" applyFill="1" applyBorder="1"/>
    <xf numFmtId="14" fontId="0" fillId="0" borderId="4" xfId="0" applyNumberFormat="1" applyBorder="1"/>
    <xf numFmtId="0" fontId="5" fillId="3" borderId="2" xfId="0" applyFont="1" applyFill="1" applyBorder="1"/>
    <xf numFmtId="14" fontId="0" fillId="2" borderId="3" xfId="0" applyNumberFormat="1" applyFill="1" applyBorder="1"/>
    <xf numFmtId="0" fontId="0" fillId="2" borderId="3" xfId="0" applyFill="1" applyBorder="1"/>
    <xf numFmtId="0" fontId="0" fillId="0" borderId="0" xfId="0" applyNumberFormat="1"/>
    <xf numFmtId="10" fontId="0" fillId="0" borderId="1" xfId="1" applyNumberFormat="1" applyFont="1" applyBorder="1"/>
    <xf numFmtId="173" fontId="0" fillId="0" borderId="1" xfId="1" applyNumberFormat="1" applyFont="1" applyBorder="1"/>
    <xf numFmtId="42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8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" formatCode="0"/>
    </dxf>
    <dxf>
      <numFmt numFmtId="165" formatCode="[$-409]mmm\-yyyy;@"/>
    </dxf>
  </dxfs>
  <tableStyles count="1" defaultTableStyle="TableStyleMedium2" defaultPivotStyle="PivotStyleLight16">
    <tableStyle name="Invisible" pivot="0" table="0" count="0" xr9:uid="{9F616A1B-5BE5-4608-B4ED-A8D6D105BBF5}"/>
  </tableStyles>
  <colors>
    <mruColors>
      <color rgb="FFFF0000"/>
      <color rgb="FFFF7C80"/>
      <color rgb="FFFF00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3</xdr:row>
      <xdr:rowOff>0</xdr:rowOff>
    </xdr:from>
    <xdr:to>
      <xdr:col>8</xdr:col>
      <xdr:colOff>452437</xdr:colOff>
      <xdr:row>5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A8ABAE-4BC1-44DB-ADB7-322330538642}"/>
            </a:ext>
          </a:extLst>
        </xdr:cNvPr>
        <xdr:cNvSpPr/>
      </xdr:nvSpPr>
      <xdr:spPr>
        <a:xfrm>
          <a:off x="4964906" y="571500"/>
          <a:ext cx="4619625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pivot table untuk average performance</a:t>
          </a:r>
          <a:r>
            <a:rPr lang="en-US" sz="1100" baseline="0">
              <a:solidFill>
                <a:schemeClr val="tx1"/>
              </a:solidFill>
            </a:rPr>
            <a:t> gap (%) untuk tiap provinsi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17</xdr:row>
      <xdr:rowOff>180975</xdr:rowOff>
    </xdr:from>
    <xdr:to>
      <xdr:col>10</xdr:col>
      <xdr:colOff>321469</xdr:colOff>
      <xdr:row>20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0DEC85-2AF3-4648-DBEB-45712462F4EB}"/>
            </a:ext>
          </a:extLst>
        </xdr:cNvPr>
        <xdr:cNvSpPr/>
      </xdr:nvSpPr>
      <xdr:spPr>
        <a:xfrm>
          <a:off x="5726906" y="3419475"/>
          <a:ext cx="5310188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pivot table untuk menghitung jumlah win / lose vs kompetitor tiap provinsi</a:t>
          </a:r>
        </a:p>
      </xdr:txBody>
    </xdr:sp>
    <xdr:clientData/>
  </xdr:twoCellAnchor>
  <xdr:twoCellAnchor>
    <xdr:from>
      <xdr:col>15</xdr:col>
      <xdr:colOff>312979</xdr:colOff>
      <xdr:row>34</xdr:row>
      <xdr:rowOff>97527</xdr:rowOff>
    </xdr:from>
    <xdr:to>
      <xdr:col>19</xdr:col>
      <xdr:colOff>746471</xdr:colOff>
      <xdr:row>36</xdr:row>
      <xdr:rowOff>183252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0692988-4448-4994-9B81-16E17681628F}"/>
            </a:ext>
          </a:extLst>
        </xdr:cNvPr>
        <xdr:cNvSpPr/>
      </xdr:nvSpPr>
      <xdr:spPr>
        <a:xfrm>
          <a:off x="9415566" y="6574527"/>
          <a:ext cx="3108775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pivot table untuk average performance</a:t>
          </a:r>
          <a:r>
            <a:rPr lang="en-US" sz="1100" baseline="0">
              <a:solidFill>
                <a:schemeClr val="tx1"/>
              </a:solidFill>
            </a:rPr>
            <a:t> gap (%) untuk tiap provinsi per bulan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310598</xdr:colOff>
      <xdr:row>37</xdr:row>
      <xdr:rowOff>190396</xdr:rowOff>
    </xdr:from>
    <xdr:to>
      <xdr:col>19</xdr:col>
      <xdr:colOff>791715</xdr:colOff>
      <xdr:row>40</xdr:row>
      <xdr:rowOff>85621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7970C2-59DD-BB37-E1A3-5D642A041E5A}"/>
            </a:ext>
          </a:extLst>
        </xdr:cNvPr>
        <xdr:cNvSpPr/>
      </xdr:nvSpPr>
      <xdr:spPr>
        <a:xfrm>
          <a:off x="9413185" y="7238896"/>
          <a:ext cx="3156400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Gunakan conditional formatting untuk Top 10, Bottom 10, dll</a:t>
          </a:r>
        </a:p>
      </xdr:txBody>
    </xdr:sp>
    <xdr:clientData/>
  </xdr:twoCellAnchor>
  <xdr:twoCellAnchor>
    <xdr:from>
      <xdr:col>15</xdr:col>
      <xdr:colOff>511762</xdr:colOff>
      <xdr:row>51</xdr:row>
      <xdr:rowOff>138734</xdr:rowOff>
    </xdr:from>
    <xdr:to>
      <xdr:col>20</xdr:col>
      <xdr:colOff>158716</xdr:colOff>
      <xdr:row>54</xdr:row>
      <xdr:rowOff>33959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C0CF6CC-264D-4664-9C11-7A8F694285E3}"/>
            </a:ext>
          </a:extLst>
        </xdr:cNvPr>
        <xdr:cNvSpPr/>
      </xdr:nvSpPr>
      <xdr:spPr>
        <a:xfrm>
          <a:off x="9680610" y="9854234"/>
          <a:ext cx="3291302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Gunakan conditional formatting untuk Top 3 per bulan, Bottom 10 per bulan, dll</a:t>
          </a:r>
        </a:p>
      </xdr:txBody>
    </xdr:sp>
    <xdr:clientData/>
  </xdr:twoCellAnchor>
  <xdr:twoCellAnchor>
    <xdr:from>
      <xdr:col>15</xdr:col>
      <xdr:colOff>347041</xdr:colOff>
      <xdr:row>67</xdr:row>
      <xdr:rowOff>118234</xdr:rowOff>
    </xdr:from>
    <xdr:to>
      <xdr:col>20</xdr:col>
      <xdr:colOff>260903</xdr:colOff>
      <xdr:row>70</xdr:row>
      <xdr:rowOff>13459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7EB11CF-2CF7-467A-928C-99143B682385}"/>
            </a:ext>
          </a:extLst>
        </xdr:cNvPr>
        <xdr:cNvSpPr/>
      </xdr:nvSpPr>
      <xdr:spPr>
        <a:xfrm>
          <a:off x="10012845" y="12881734"/>
          <a:ext cx="3558210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Gunakan conditional formatting icon set berdasarkan</a:t>
          </a:r>
          <a:r>
            <a:rPr lang="en-US" sz="1100" baseline="0">
              <a:solidFill>
                <a:schemeClr val="tx1"/>
              </a:solidFill>
            </a:rPr>
            <a:t> threshold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310598</xdr:colOff>
      <xdr:row>41</xdr:row>
      <xdr:rowOff>36339</xdr:rowOff>
    </xdr:from>
    <xdr:to>
      <xdr:col>19</xdr:col>
      <xdr:colOff>753615</xdr:colOff>
      <xdr:row>43</xdr:row>
      <xdr:rowOff>122064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40F9B3-7D73-C0D6-36F7-7CDE76E9C5B7}"/>
            </a:ext>
          </a:extLst>
        </xdr:cNvPr>
        <xdr:cNvSpPr/>
      </xdr:nvSpPr>
      <xdr:spPr>
        <a:xfrm>
          <a:off x="9413185" y="7846839"/>
          <a:ext cx="3118300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Tambahkan data</a:t>
          </a:r>
          <a:r>
            <a:rPr lang="en-US" sz="1100" baseline="0">
              <a:solidFill>
                <a:schemeClr val="tx1"/>
              </a:solidFill>
            </a:rPr>
            <a:t> dari sheet "Data Tambhan"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Kemudian Refresh PivotTable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36443</xdr:colOff>
      <xdr:row>20</xdr:row>
      <xdr:rowOff>176006</xdr:rowOff>
    </xdr:from>
    <xdr:to>
      <xdr:col>10</xdr:col>
      <xdr:colOff>357912</xdr:colOff>
      <xdr:row>23</xdr:row>
      <xdr:rowOff>71231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5A7BBB5-C637-DD87-1627-59C6BE7DF462}"/>
            </a:ext>
          </a:extLst>
        </xdr:cNvPr>
        <xdr:cNvSpPr/>
      </xdr:nvSpPr>
      <xdr:spPr>
        <a:xfrm>
          <a:off x="4045226" y="3986006"/>
          <a:ext cx="2764838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data bars dengan conditional formatting</a:t>
          </a:r>
        </a:p>
      </xdr:txBody>
    </xdr:sp>
    <xdr:clientData/>
  </xdr:twoCellAnchor>
  <xdr:twoCellAnchor>
    <xdr:from>
      <xdr:col>15</xdr:col>
      <xdr:colOff>491158</xdr:colOff>
      <xdr:row>81</xdr:row>
      <xdr:rowOff>162960</xdr:rowOff>
    </xdr:from>
    <xdr:to>
      <xdr:col>20</xdr:col>
      <xdr:colOff>405020</xdr:colOff>
      <xdr:row>84</xdr:row>
      <xdr:rowOff>58185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1F42E1A-1F74-83BC-AEB4-C8F6A9F5D6BD}"/>
            </a:ext>
          </a:extLst>
        </xdr:cNvPr>
        <xdr:cNvSpPr/>
      </xdr:nvSpPr>
      <xdr:spPr>
        <a:xfrm>
          <a:off x="11573288" y="15593460"/>
          <a:ext cx="3558210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Gunakan conditional formatting Highlight berdasarkan</a:t>
          </a:r>
          <a:r>
            <a:rPr lang="en-US" sz="1100" baseline="0">
              <a:solidFill>
                <a:schemeClr val="tx1"/>
              </a:solidFill>
            </a:rPr>
            <a:t> threshold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14079</xdr:colOff>
      <xdr:row>97</xdr:row>
      <xdr:rowOff>108295</xdr:rowOff>
    </xdr:from>
    <xdr:to>
      <xdr:col>21</xdr:col>
      <xdr:colOff>110160</xdr:colOff>
      <xdr:row>100</xdr:row>
      <xdr:rowOff>3520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21A336E-11EC-8321-958C-EFFAC2573DAA}"/>
            </a:ext>
          </a:extLst>
        </xdr:cNvPr>
        <xdr:cNvSpPr/>
      </xdr:nvSpPr>
      <xdr:spPr>
        <a:xfrm>
          <a:off x="10094014" y="18586795"/>
          <a:ext cx="3665885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Menampilkan</a:t>
          </a:r>
          <a:r>
            <a:rPr lang="en-US" sz="1100" baseline="0">
              <a:solidFill>
                <a:schemeClr val="tx1"/>
              </a:solidFill>
            </a:rPr>
            <a:t> data ranking penjualan aktual per provinsi menggunakan pivottable "show as value"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0</xdr:row>
      <xdr:rowOff>104775</xdr:rowOff>
    </xdr:from>
    <xdr:to>
      <xdr:col>23</xdr:col>
      <xdr:colOff>295275</xdr:colOff>
      <xdr:row>21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59FE7A-E3B4-2CCF-74E6-9F1F7F4AF054}"/>
            </a:ext>
          </a:extLst>
        </xdr:cNvPr>
        <xdr:cNvSpPr/>
      </xdr:nvSpPr>
      <xdr:spPr>
        <a:xfrm>
          <a:off x="14173200" y="104775"/>
          <a:ext cx="4295775" cy="4000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Perhatikan pada</a:t>
          </a:r>
          <a:r>
            <a:rPr lang="en-US" sz="1100" baseline="0">
              <a:solidFill>
                <a:schemeClr val="tx1"/>
              </a:solidFill>
            </a:rPr>
            <a:t> tabel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Convert menjadi table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Tambahkan kolom tanggal dan buat format cell menjadi mmm-YYYY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Gap Analysis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Tambahkan kolom Performance Gap</a:t>
          </a:r>
          <a:endParaRPr lang="en-US" sz="1100" baseline="0">
            <a:solidFill>
              <a:schemeClr val="tx1"/>
            </a:solidFill>
          </a:endParaRP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Tambahkan kolom Performance Gap (%) dan format cell menjadi % dua decimal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Tambahkan</a:t>
          </a:r>
          <a:r>
            <a:rPr lang="en-US" sz="1100" baseline="0">
              <a:solidFill>
                <a:schemeClr val="tx1"/>
              </a:solidFill>
            </a:rPr>
            <a:t> kolom Status Kinerja dan cek apakah mencapai target atau tidak. Mencapai target apabila &gt;=0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Tambahkan jumlah kompetitor dengna lakukan Lookup</a:t>
          </a:r>
          <a:r>
            <a:rPr lang="en-US" sz="1100" baseline="0">
              <a:solidFill>
                <a:schemeClr val="tx1"/>
              </a:solidFill>
            </a:rPr>
            <a:t> jumlah pada kompetitor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Buat kolom vs Kompetitor untuk compare kita vs kompetitor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Buat Status vs Kompetitor (Win, Lose)</a:t>
          </a: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16</xdr:col>
      <xdr:colOff>201387</xdr:colOff>
      <xdr:row>22</xdr:row>
      <xdr:rowOff>96612</xdr:rowOff>
    </xdr:from>
    <xdr:to>
      <xdr:col>21</xdr:col>
      <xdr:colOff>299646</xdr:colOff>
      <xdr:row>38</xdr:row>
      <xdr:rowOff>149680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07F72C-2DC7-421B-D583-33C9E5B6D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35101" y="4287612"/>
          <a:ext cx="3159866" cy="31010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57152</xdr:rowOff>
    </xdr:from>
    <xdr:to>
      <xdr:col>7</xdr:col>
      <xdr:colOff>676275</xdr:colOff>
      <xdr:row>5</xdr:row>
      <xdr:rowOff>66676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49D108-278A-47D0-9CF1-51FD06FE3182}"/>
            </a:ext>
          </a:extLst>
        </xdr:cNvPr>
        <xdr:cNvSpPr/>
      </xdr:nvSpPr>
      <xdr:spPr>
        <a:xfrm>
          <a:off x="3905250" y="247652"/>
          <a:ext cx="4924425" cy="7715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pivot table untuk rata-rata performance</a:t>
          </a:r>
          <a:r>
            <a:rPr lang="en-US" sz="1100" baseline="0">
              <a:solidFill>
                <a:schemeClr val="tx1"/>
              </a:solidFill>
            </a:rPr>
            <a:t> gap (%) untuk tiap provinsi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rata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rata % di atas 5%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</xdr:colOff>
      <xdr:row>13</xdr:row>
      <xdr:rowOff>171452</xdr:rowOff>
    </xdr:from>
    <xdr:to>
      <xdr:col>7</xdr:col>
      <xdr:colOff>104775</xdr:colOff>
      <xdr:row>21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7E2A2A3-569E-4E1E-925D-1D80585156E7}"/>
            </a:ext>
          </a:extLst>
        </xdr:cNvPr>
        <xdr:cNvSpPr/>
      </xdr:nvSpPr>
      <xdr:spPr>
        <a:xfrm>
          <a:off x="3876675" y="2647952"/>
          <a:ext cx="4381500" cy="146684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pivot table untuk rata-rata performance</a:t>
          </a:r>
          <a:r>
            <a:rPr lang="en-US" sz="1100" baseline="0">
              <a:solidFill>
                <a:schemeClr val="tx1"/>
              </a:solidFill>
            </a:rPr>
            <a:t> gap (%) untuk tiap provinsi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Merah &lt;4%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Kuning &lt;5%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Hijau &gt;5%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438150</xdr:colOff>
      <xdr:row>30</xdr:row>
      <xdr:rowOff>123827</xdr:rowOff>
    </xdr:from>
    <xdr:to>
      <xdr:col>22</xdr:col>
      <xdr:colOff>238125</xdr:colOff>
      <xdr:row>38</xdr:row>
      <xdr:rowOff>66675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50D0576-FE68-4B81-9BCA-FFF91FC5DE87}"/>
            </a:ext>
          </a:extLst>
        </xdr:cNvPr>
        <xdr:cNvSpPr/>
      </xdr:nvSpPr>
      <xdr:spPr>
        <a:xfrm>
          <a:off x="15525750" y="5838827"/>
          <a:ext cx="4876800" cy="146684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pivot table aktual penjualan perbulan </a:t>
          </a:r>
          <a:r>
            <a:rPr lang="en-US" sz="1100" baseline="0">
              <a:solidFill>
                <a:schemeClr val="tx1"/>
              </a:solidFill>
            </a:rPr>
            <a:t>untuk tiap provinsi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nilai penjualan per bulan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diantara 4000 sampai dengan 11000</a:t>
          </a:r>
        </a:p>
      </xdr:txBody>
    </xdr:sp>
    <xdr:clientData/>
  </xdr:twoCellAnchor>
  <xdr:twoCellAnchor>
    <xdr:from>
      <xdr:col>5</xdr:col>
      <xdr:colOff>1011331</xdr:colOff>
      <xdr:row>41</xdr:row>
      <xdr:rowOff>19613</xdr:rowOff>
    </xdr:from>
    <xdr:to>
      <xdr:col>9</xdr:col>
      <xdr:colOff>1875865</xdr:colOff>
      <xdr:row>44</xdr:row>
      <xdr:rowOff>48186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7DA64B9-93CD-4462-B29A-375D64229A91}"/>
            </a:ext>
          </a:extLst>
        </xdr:cNvPr>
        <xdr:cNvSpPr/>
      </xdr:nvSpPr>
      <xdr:spPr>
        <a:xfrm>
          <a:off x="7006478" y="7830113"/>
          <a:ext cx="5414122" cy="6000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merah nilai penjualan per bulan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kurang dari batas nilai minimum (dinamis)</a:t>
          </a:r>
        </a:p>
      </xdr:txBody>
    </xdr:sp>
    <xdr:clientData/>
  </xdr:twoCellAnchor>
  <xdr:twoCellAnchor>
    <xdr:from>
      <xdr:col>2</xdr:col>
      <xdr:colOff>9525</xdr:colOff>
      <xdr:row>81</xdr:row>
      <xdr:rowOff>2</xdr:rowOff>
    </xdr:from>
    <xdr:to>
      <xdr:col>7</xdr:col>
      <xdr:colOff>28575</xdr:colOff>
      <xdr:row>84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6346C8D-E78F-4D7F-C797-69559B7F95FD}"/>
            </a:ext>
          </a:extLst>
        </xdr:cNvPr>
        <xdr:cNvSpPr/>
      </xdr:nvSpPr>
      <xdr:spPr>
        <a:xfrm>
          <a:off x="2733675" y="15478127"/>
          <a:ext cx="5448300" cy="73342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merah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 mengandung kata "Jakarta"</a:t>
          </a:r>
        </a:p>
      </xdr:txBody>
    </xdr:sp>
    <xdr:clientData/>
  </xdr:twoCellAnchor>
  <xdr:twoCellAnchor>
    <xdr:from>
      <xdr:col>8</xdr:col>
      <xdr:colOff>409575</xdr:colOff>
      <xdr:row>59</xdr:row>
      <xdr:rowOff>123827</xdr:rowOff>
    </xdr:from>
    <xdr:to>
      <xdr:col>14</xdr:col>
      <xdr:colOff>9525</xdr:colOff>
      <xdr:row>67</xdr:row>
      <xdr:rowOff>66675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C7069C7-F7F8-4FF4-957B-97E24AA2CA13}"/>
            </a:ext>
          </a:extLst>
        </xdr:cNvPr>
        <xdr:cNvSpPr/>
      </xdr:nvSpPr>
      <xdr:spPr>
        <a:xfrm>
          <a:off x="9648825" y="11410952"/>
          <a:ext cx="5448300" cy="146684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merah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untuk duplikat kata "DKI Jakarta"</a:t>
          </a:r>
        </a:p>
      </xdr:txBody>
    </xdr:sp>
    <xdr:clientData/>
  </xdr:twoCellAnchor>
  <xdr:twoCellAnchor>
    <xdr:from>
      <xdr:col>10</xdr:col>
      <xdr:colOff>962025</xdr:colOff>
      <xdr:row>83</xdr:row>
      <xdr:rowOff>28577</xdr:rowOff>
    </xdr:from>
    <xdr:to>
      <xdr:col>18</xdr:col>
      <xdr:colOff>95250</xdr:colOff>
      <xdr:row>86</xdr:row>
      <xdr:rowOff>57150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1BC7A4A-5830-4FC8-9184-5CEC51833310}"/>
            </a:ext>
          </a:extLst>
        </xdr:cNvPr>
        <xdr:cNvSpPr/>
      </xdr:nvSpPr>
      <xdr:spPr>
        <a:xfrm>
          <a:off x="12372975" y="15887702"/>
          <a:ext cx="5448300" cy="6000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merah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sesuai tanggal diperlukan (date that ocurring)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101049</xdr:colOff>
      <xdr:row>0</xdr:row>
      <xdr:rowOff>178492</xdr:rowOff>
    </xdr:from>
    <xdr:to>
      <xdr:col>15</xdr:col>
      <xdr:colOff>232328</xdr:colOff>
      <xdr:row>8</xdr:row>
      <xdr:rowOff>121340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83BCCC-6258-4DEC-A823-375A1C014CCC}"/>
            </a:ext>
          </a:extLst>
        </xdr:cNvPr>
        <xdr:cNvSpPr/>
      </xdr:nvSpPr>
      <xdr:spPr>
        <a:xfrm>
          <a:off x="2271092" y="178492"/>
          <a:ext cx="5473562" cy="146684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Buat pivot table aktual penjualan perbulan </a:t>
          </a:r>
          <a:r>
            <a:rPr lang="en-US" sz="1100" baseline="0">
              <a:solidFill>
                <a:schemeClr val="tx1"/>
              </a:solidFill>
            </a:rPr>
            <a:t>untuk per bulan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hijau nilai penjualan per bulan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penjualan tertinggi warna hijau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penjualan terrendah warna merah</a:t>
          </a:r>
        </a:p>
      </xdr:txBody>
    </xdr:sp>
    <xdr:clientData/>
  </xdr:twoCellAnchor>
  <xdr:twoCellAnchor>
    <xdr:from>
      <xdr:col>4</xdr:col>
      <xdr:colOff>393010</xdr:colOff>
      <xdr:row>16</xdr:row>
      <xdr:rowOff>21536</xdr:rowOff>
    </xdr:from>
    <xdr:to>
      <xdr:col>16</xdr:col>
      <xdr:colOff>279538</xdr:colOff>
      <xdr:row>23</xdr:row>
      <xdr:rowOff>105188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690F240-4399-40E4-975C-F83F7EE7C40D}"/>
            </a:ext>
          </a:extLst>
        </xdr:cNvPr>
        <xdr:cNvSpPr/>
      </xdr:nvSpPr>
      <xdr:spPr>
        <a:xfrm>
          <a:off x="2964760" y="3069536"/>
          <a:ext cx="5458653" cy="14647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 pivot table aktual penjualan perbulan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untuk per bulan</a:t>
          </a:r>
          <a:endParaRPr lang="en-US">
            <a:solidFill>
              <a:schemeClr val="tx1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untuk highlight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hijau nilai penjualan per bulan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 atas rata-rata, kemudian urutkan dari yang terbesar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2</xdr:row>
      <xdr:rowOff>38100</xdr:rowOff>
    </xdr:from>
    <xdr:to>
      <xdr:col>20</xdr:col>
      <xdr:colOff>432265</xdr:colOff>
      <xdr:row>9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E081EF-5FF1-4E54-A298-5501F2FA3061}"/>
            </a:ext>
          </a:extLst>
        </xdr:cNvPr>
        <xdr:cNvSpPr/>
      </xdr:nvSpPr>
      <xdr:spPr>
        <a:xfrm>
          <a:off x="10277475" y="419100"/>
          <a:ext cx="3327865" cy="1314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Buatkan</a:t>
          </a:r>
          <a:r>
            <a:rPr lang="en-US" sz="1400" baseline="0">
              <a:solidFill>
                <a:schemeClr val="tx1"/>
              </a:solidFill>
            </a:rPr>
            <a:t> </a:t>
          </a:r>
          <a:r>
            <a:rPr lang="en-US" sz="1400">
              <a:solidFill>
                <a:schemeClr val="tx1"/>
              </a:solidFill>
            </a:rPr>
            <a:t>PivotTable untuk</a:t>
          </a:r>
          <a:r>
            <a:rPr lang="en-US" sz="1400" baseline="0">
              <a:solidFill>
                <a:schemeClr val="tx1"/>
              </a:solidFill>
            </a:rPr>
            <a:t> data aktual per bulan</a:t>
          </a:r>
        </a:p>
        <a:p>
          <a:pPr algn="l"/>
          <a:r>
            <a:rPr lang="en-US" sz="1400" baseline="0">
              <a:solidFill>
                <a:schemeClr val="tx1"/>
              </a:solidFill>
            </a:rPr>
            <a:t>Buatkan conditional formatting data bars</a:t>
          </a:r>
        </a:p>
        <a:p>
          <a:pPr algn="l"/>
          <a:r>
            <a:rPr lang="en-US" sz="1400" baseline="0">
              <a:solidFill>
                <a:schemeClr val="tx1"/>
              </a:solidFill>
            </a:rPr>
            <a:t>Simulasikan cek detail data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1784538</xdr:colOff>
      <xdr:row>15</xdr:row>
      <xdr:rowOff>140634</xdr:rowOff>
    </xdr:from>
    <xdr:to>
      <xdr:col>19</xdr:col>
      <xdr:colOff>22413</xdr:colOff>
      <xdr:row>19</xdr:row>
      <xdr:rowOff>145676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D98C53-1D54-1900-415F-A52494C473D1}"/>
            </a:ext>
          </a:extLst>
        </xdr:cNvPr>
        <xdr:cNvSpPr/>
      </xdr:nvSpPr>
      <xdr:spPr>
        <a:xfrm>
          <a:off x="12273244" y="2998134"/>
          <a:ext cx="4233022" cy="7670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PivotTable untuk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data aktual per bulan</a:t>
          </a:r>
          <a:endParaRPr lang="en-US" sz="1400">
            <a:solidFill>
              <a:schemeClr val="tx1"/>
            </a:solidFill>
            <a:effectLst/>
          </a:endParaRPr>
        </a:p>
        <a:p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color scale secara default</a:t>
          </a:r>
          <a:endParaRPr lang="en-US" sz="14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89647</xdr:colOff>
      <xdr:row>25</xdr:row>
      <xdr:rowOff>0</xdr:rowOff>
    </xdr:from>
    <xdr:to>
      <xdr:col>13</xdr:col>
      <xdr:colOff>235322</xdr:colOff>
      <xdr:row>29</xdr:row>
      <xdr:rowOff>81803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7C05DA-3A91-420D-B6CA-08368E1B02B1}"/>
            </a:ext>
          </a:extLst>
        </xdr:cNvPr>
        <xdr:cNvSpPr/>
      </xdr:nvSpPr>
      <xdr:spPr>
        <a:xfrm>
          <a:off x="89647" y="4762500"/>
          <a:ext cx="9883587" cy="84380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Latihan</a:t>
          </a:r>
        </a:p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PivotTable untuk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data aktual per bulan</a:t>
          </a:r>
          <a:endParaRPr lang="en-US" sz="1400">
            <a:solidFill>
              <a:schemeClr val="tx1"/>
            </a:solidFill>
            <a:effectLst/>
          </a:endParaRPr>
        </a:p>
        <a:p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color scale dan icon set berdasarkan data MIN, MAX dan AVG</a:t>
          </a:r>
          <a:endParaRPr lang="en-US" sz="14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12329</xdr:colOff>
      <xdr:row>59</xdr:row>
      <xdr:rowOff>28574</xdr:rowOff>
    </xdr:from>
    <xdr:to>
      <xdr:col>7</xdr:col>
      <xdr:colOff>75081</xdr:colOff>
      <xdr:row>62</xdr:row>
      <xdr:rowOff>76199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82615D1-A1AD-0E80-1D3D-4FF5EBA47B50}"/>
            </a:ext>
          </a:extLst>
        </xdr:cNvPr>
        <xdr:cNvSpPr/>
      </xdr:nvSpPr>
      <xdr:spPr>
        <a:xfrm>
          <a:off x="12329" y="11492192"/>
          <a:ext cx="6192370" cy="619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 conditional formatting icon set sesuai nilai value pada pivottable</a:t>
          </a:r>
          <a:endParaRPr lang="en-US" sz="1400">
            <a:solidFill>
              <a:schemeClr val="tx1"/>
            </a:solidFill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24</xdr:row>
      <xdr:rowOff>66675</xdr:rowOff>
    </xdr:from>
    <xdr:to>
      <xdr:col>2</xdr:col>
      <xdr:colOff>613522</xdr:colOff>
      <xdr:row>28</xdr:row>
      <xdr:rowOff>71717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E53632-52DD-4F6C-8364-FB6E5D70FAD7}"/>
            </a:ext>
          </a:extLst>
        </xdr:cNvPr>
        <xdr:cNvSpPr/>
      </xdr:nvSpPr>
      <xdr:spPr>
        <a:xfrm>
          <a:off x="66675" y="4638675"/>
          <a:ext cx="4233022" cy="7670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Pada advanced rule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ini kita akan meng-highlight hari weekend</a:t>
          </a:r>
          <a:endParaRPr lang="en-US" sz="1400">
            <a:solidFill>
              <a:schemeClr val="tx1"/>
            </a:solidFill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</xdr:row>
      <xdr:rowOff>38100</xdr:rowOff>
    </xdr:from>
    <xdr:to>
      <xdr:col>8</xdr:col>
      <xdr:colOff>590549</xdr:colOff>
      <xdr:row>5</xdr:row>
      <xdr:rowOff>43142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F54BC6-B260-475B-9EAF-CF8C963C8765}"/>
            </a:ext>
          </a:extLst>
        </xdr:cNvPr>
        <xdr:cNvSpPr/>
      </xdr:nvSpPr>
      <xdr:spPr>
        <a:xfrm>
          <a:off x="581024" y="228600"/>
          <a:ext cx="4886325" cy="7670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PivotTable untuk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Total penjualan per bulan untuk setiap Pulau</a:t>
          </a:r>
          <a:endParaRPr lang="en-US" sz="1400">
            <a:solidFill>
              <a:schemeClr val="tx1"/>
            </a:solidFill>
            <a:effectLst/>
          </a:endParaRPr>
        </a:p>
        <a:p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 conditional formatting color</a:t>
          </a:r>
        </a:p>
        <a:p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color scale sehingga sesuai pada gambar</a:t>
          </a:r>
          <a:endParaRPr lang="en-US" sz="14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9524</xdr:colOff>
      <xdr:row>45</xdr:row>
      <xdr:rowOff>176493</xdr:rowOff>
    </xdr:from>
    <xdr:to>
      <xdr:col>17</xdr:col>
      <xdr:colOff>489104</xdr:colOff>
      <xdr:row>55</xdr:row>
      <xdr:rowOff>157706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F36E67-B4AD-1B8C-C101-C6772A04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42" y="8748993"/>
          <a:ext cx="11775109" cy="1886213"/>
        </a:xfrm>
        <a:prstGeom prst="rect">
          <a:avLst/>
        </a:prstGeom>
      </xdr:spPr>
    </xdr:pic>
    <xdr:clientData/>
  </xdr:twoCellAnchor>
  <xdr:twoCellAnchor editAs="oneCell">
    <xdr:from>
      <xdr:col>0</xdr:col>
      <xdr:colOff>583267</xdr:colOff>
      <xdr:row>15</xdr:row>
      <xdr:rowOff>179294</xdr:rowOff>
    </xdr:from>
    <xdr:to>
      <xdr:col>17</xdr:col>
      <xdr:colOff>466135</xdr:colOff>
      <xdr:row>24</xdr:row>
      <xdr:rowOff>17586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E5F19A-3CF5-F482-0E0B-EC03D8493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267" y="3036794"/>
          <a:ext cx="11783515" cy="1552792"/>
        </a:xfrm>
        <a:prstGeom prst="rect">
          <a:avLst/>
        </a:prstGeom>
      </xdr:spPr>
    </xdr:pic>
    <xdr:clientData/>
  </xdr:twoCellAnchor>
  <xdr:twoCellAnchor>
    <xdr:from>
      <xdr:col>0</xdr:col>
      <xdr:colOff>587748</xdr:colOff>
      <xdr:row>26</xdr:row>
      <xdr:rowOff>38660</xdr:rowOff>
    </xdr:from>
    <xdr:to>
      <xdr:col>8</xdr:col>
      <xdr:colOff>597273</xdr:colOff>
      <xdr:row>30</xdr:row>
      <xdr:rowOff>43702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0851E0F-B947-030D-5E21-074EA6AB996D}"/>
            </a:ext>
          </a:extLst>
        </xdr:cNvPr>
        <xdr:cNvSpPr/>
      </xdr:nvSpPr>
      <xdr:spPr>
        <a:xfrm>
          <a:off x="587748" y="4991660"/>
          <a:ext cx="7461437" cy="7670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Buatkan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PivotTable untuk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Total penjualan per bulan untuk setiap Pulau</a:t>
          </a:r>
          <a:endParaRPr lang="en-US" sz="1400">
            <a:solidFill>
              <a:schemeClr val="tx1"/>
            </a:solidFill>
            <a:effectLst/>
          </a:endParaRPr>
        </a:p>
        <a:p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Buat conditional formatting color</a:t>
          </a:r>
        </a:p>
        <a:p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color scale wana merah untuk nilai yang dibawah rata-rata</a:t>
          </a:r>
          <a:endParaRPr lang="en-US" sz="1400">
            <a:solidFill>
              <a:schemeClr val="tx1"/>
            </a:solidFill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ka Susilo" refreshedDate="45923.24846678241" createdVersion="8" refreshedVersion="8" minRefreshableVersion="3" recordCount="1464" xr:uid="{77360162-E77E-4BFB-859D-0FBF317F30A4}">
  <cacheSource type="worksheet">
    <worksheetSource name="Table1"/>
  </cacheSource>
  <cacheFields count="16">
    <cacheField name="No" numFmtId="0">
      <sharedItems containsSemiMixedTypes="0" containsString="0" containsNumber="1" containsInteger="1" minValue="1" maxValue="1464"/>
    </cacheField>
    <cacheField name="Propinsi" numFmtId="0">
      <sharedItems count="7">
        <s v="JAWA TIMUR"/>
        <s v="DKI JAKARTA"/>
        <s v="BANTEN"/>
        <s v="JAWA BARAT"/>
        <s v="JAWA TENGAH"/>
        <s v="SULAWESI SELATAN"/>
        <s v="SUMATERA SELATAN"/>
      </sharedItems>
    </cacheField>
    <cacheField name="Dati 2" numFmtId="0">
      <sharedItems count="122">
        <s v="SURABAYA"/>
        <s v="GRESIK"/>
        <s v="SIDOARJO"/>
        <s v="MOJOKERTO"/>
        <s v="JOMBANG"/>
        <s v="BOJONEGORO"/>
        <s v="LAMONGAN"/>
        <s v="TUBAN"/>
        <s v="MADIUN"/>
        <s v="MAGETAN"/>
        <s v="NGAWI"/>
        <s v="PONOROGO"/>
        <s v="PACITAN"/>
        <s v="KEDIRI"/>
        <s v="NGANJUK"/>
        <s v="MALANG"/>
        <s v="BATU"/>
        <s v="BLITAR"/>
        <s v="TULUNGAGUNG"/>
        <s v="JAKARTA PUSAT"/>
        <s v="JAKARTA BARAT"/>
        <s v="JAKARTA SELATAN"/>
        <s v="JAKARTA TIMUR"/>
        <s v="JAKARTA UTARA"/>
        <s v="KEPULAUAN SERIBU"/>
        <s v="TANGERANG"/>
        <s v="TANGERANG SELATAN"/>
        <s v="BOGOR"/>
        <s v="DEPOK"/>
        <s v="BEKASI"/>
        <s v="BANDUNG"/>
        <s v="BANDUNG BARAT"/>
        <s v="CIMAHI"/>
        <s v="PURWAKARTA"/>
        <s v="SUBANG"/>
        <s v="KARAWANG"/>
        <s v="SERANG"/>
        <s v="PANDEGLANG"/>
        <s v="LEBAK"/>
        <s v="CILEGON"/>
        <s v="SUKABUMI"/>
        <s v="CIANJUR"/>
        <s v="GARUT"/>
        <s v="CIREBON"/>
        <s v="INDRAMAYU"/>
        <s v="SUMEDANG"/>
        <s v="MAJALENGKA"/>
        <s v="KUNINGAN"/>
        <s v="TASIKMALAYA"/>
        <s v="CIAMIS"/>
        <s v="PANGANDARAN"/>
        <s v="BANJAR"/>
        <s v="SEMARANG"/>
        <s v="SALATIGA"/>
        <s v="PEKALONGAN"/>
        <s v="BATANG"/>
        <s v="KENDAL"/>
        <s v="TEGAL"/>
        <s v="BREBES"/>
        <s v="PEMALANG"/>
        <s v="BANYUMAS"/>
        <s v="CILACAP"/>
        <s v="PURBALINGGA"/>
        <s v="BANJARNEGARA"/>
        <s v="PURWOREJO"/>
        <s v="KEBUMEN"/>
        <s v="MAGELANG"/>
        <s v="TEMANGGUNG"/>
        <s v="WONOSOBO"/>
        <s v="SURAKARTA (SOLO)"/>
        <s v="SUKOHARJO"/>
        <s v="KARANGANYAR"/>
        <s v="SRAGEN"/>
        <s v="BOYOLALI"/>
        <s v="KLATEN"/>
        <s v="WONOGIRI"/>
        <s v="GROBOGAN"/>
        <s v="BLORA"/>
        <s v="PATI"/>
        <s v="REMBANG"/>
        <s v="KUDUS"/>
        <s v="JEPARA"/>
        <s v="DEMAK"/>
        <s v="MAKASSAR"/>
        <s v="GOWA"/>
        <s v="BONE"/>
        <s v="MAROS"/>
        <s v="PANGKAJENE KEPULAUAN"/>
        <s v="BARRU"/>
        <s v="SOPPENG"/>
        <s v="WAJO"/>
        <s v="PAREPARE"/>
        <s v="PINRANG"/>
        <s v="SIDENRENG RAPPANG"/>
        <s v="SINJAI"/>
        <s v="ENREKANG"/>
        <s v="TANA TORAJA"/>
        <s v="TORAJA UTARA"/>
        <s v="LUWU UTARA"/>
        <s v="PALOPO"/>
        <s v="LUWU"/>
        <s v="LUWU TIMUR"/>
        <s v="TAKALAR"/>
        <s v="JENEPONTO"/>
        <s v="BANTAENG"/>
        <s v="BULUKUMBA"/>
        <s v="SELAYAR (KEPULAUAN SELAYAR)"/>
        <s v="PALEMBANG"/>
        <s v="OGAN KOMERING ILIR"/>
        <s v="OGAN ILIR"/>
        <s v="MUSI BANYUASIN"/>
        <s v="MUSI RAWAS"/>
        <s v="BANYUASIN"/>
        <s v="PRABUMULIH"/>
        <s v="MUARA ENIM"/>
        <s v="LAHAT"/>
        <s v="EMPAT LAWANG"/>
        <s v="PAGAR ALAM"/>
        <s v="LUBUKLINGGAU"/>
        <s v="OGAN KOMERING ULU"/>
        <s v="OGAN KOMERING ULU TIMUR"/>
        <s v="OGAN KOMERING ULU SELATAN"/>
      </sharedItems>
    </cacheField>
    <cacheField name="Bulan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ahun" numFmtId="0">
      <sharedItems containsSemiMixedTypes="0" containsString="0" containsNumber="1" containsInteger="1" minValue="2021" maxValue="2021"/>
    </cacheField>
    <cacheField name="Tanggal" numFmtId="165">
      <sharedItems containsSemiMixedTypes="0" containsNonDate="0" containsDate="1" containsString="0" minDate="2021-01-01T00:00:00" maxDate="2021-12-02T00:00:00" count="12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</sharedItems>
      <fieldGroup par="15"/>
    </cacheField>
    <cacheField name="Aktual" numFmtId="0">
      <sharedItems containsSemiMixedTypes="0" containsString="0" containsNumber="1" containsInteger="1" minValue="21" maxValue="2170" count="829">
        <n v="1242"/>
        <n v="677"/>
        <n v="836"/>
        <n v="103"/>
        <n v="1116"/>
        <n v="521"/>
        <n v="993"/>
        <n v="825"/>
        <n v="143"/>
        <n v="496"/>
        <n v="473"/>
        <n v="489"/>
        <n v="327"/>
        <n v="139"/>
        <n v="555"/>
        <n v="518"/>
        <n v="169"/>
        <n v="74"/>
        <n v="693"/>
        <n v="894"/>
        <n v="628"/>
        <n v="1149"/>
        <n v="1075"/>
        <n v="21"/>
        <n v="1094"/>
        <n v="623"/>
        <n v="826"/>
        <n v="1363"/>
        <n v="1140"/>
        <n v="1436"/>
        <n v="1502"/>
        <n v="412"/>
        <n v="494"/>
        <n v="610"/>
        <n v="835"/>
        <n v="401"/>
        <n v="594"/>
        <n v="938"/>
        <n v="240"/>
        <n v="128"/>
        <n v="1825"/>
        <n v="907"/>
        <n v="200"/>
        <n v="1123"/>
        <n v="543"/>
        <n v="508"/>
        <n v="471"/>
        <n v="606"/>
        <n v="338"/>
        <n v="80"/>
        <n v="617"/>
        <n v="146"/>
        <n v="463"/>
        <n v="683"/>
        <n v="198"/>
        <n v="944"/>
        <n v="687"/>
        <n v="1460"/>
        <n v="1373"/>
        <n v="523"/>
        <n v="459"/>
        <n v="1079"/>
        <n v="955"/>
        <n v="635"/>
        <n v="500"/>
        <n v="306"/>
        <n v="746"/>
        <n v="514"/>
        <n v="483"/>
        <n v="941"/>
        <n v="1024"/>
        <n v="638"/>
        <n v="709"/>
        <n v="699"/>
        <n v="859"/>
        <n v="474"/>
        <n v="599"/>
        <n v="383"/>
        <n v="901"/>
        <n v="666"/>
        <n v="409"/>
        <n v="217"/>
        <n v="141"/>
        <n v="135"/>
        <n v="189"/>
        <n v="202"/>
        <n v="90"/>
        <n v="303"/>
        <n v="136"/>
        <n v="83"/>
        <n v="170"/>
        <n v="222"/>
        <n v="184"/>
        <n v="126"/>
        <n v="145"/>
        <n v="175"/>
        <n v="94"/>
        <n v="100"/>
        <n v="213"/>
        <n v="105"/>
        <n v="147"/>
        <n v="52"/>
        <n v="618"/>
        <n v="529"/>
        <n v="179"/>
        <n v="407"/>
        <n v="334"/>
        <n v="137"/>
        <n v="232"/>
        <n v="176"/>
        <n v="168"/>
        <n v="104"/>
        <n v="185"/>
        <n v="107"/>
        <n v="246"/>
        <n v="279"/>
        <n v="1361"/>
        <n v="686"/>
        <n v="862"/>
        <n v="108"/>
        <n v="1124"/>
        <n v="1121"/>
        <n v="919"/>
        <n v="140"/>
        <n v="554"/>
        <n v="516"/>
        <n v="559"/>
        <n v="323"/>
        <n v="166"/>
        <n v="632"/>
        <n v="197"/>
        <n v="79"/>
        <n v="692"/>
        <n v="1060"/>
        <n v="674"/>
        <n v="1194"/>
        <n v="23"/>
        <n v="1223"/>
        <n v="700"/>
        <n v="824"/>
        <n v="1565"/>
        <n v="1312"/>
        <n v="1574"/>
        <n v="1513"/>
        <n v="427"/>
        <n v="579"/>
        <n v="717"/>
        <n v="950"/>
        <n v="452"/>
        <n v="598"/>
        <n v="1082"/>
        <n v="265"/>
        <n v="134"/>
        <n v="1991"/>
        <n v="1058"/>
        <n v="208"/>
        <n v="1134"/>
        <n v="971"/>
        <n v="626"/>
        <n v="502"/>
        <n v="477"/>
        <n v="721"/>
        <n v="369"/>
        <n v="88"/>
        <n v="629"/>
        <n v="153"/>
        <n v="769"/>
        <n v="1095"/>
        <n v="696"/>
        <n v="1613"/>
        <n v="1427"/>
        <n v="622"/>
        <n v="478"/>
        <n v="527"/>
        <n v="969"/>
        <n v="531"/>
        <n v="307"/>
        <n v="874"/>
        <n v="535"/>
        <n v="568"/>
        <n v="1039"/>
        <n v="1200"/>
        <n v="752"/>
        <n v="781"/>
        <n v="703"/>
        <n v="965"/>
        <n v="539"/>
        <n v="504"/>
        <n v="384"/>
        <n v="937"/>
        <n v="662"/>
        <n v="440"/>
        <n v="233"/>
        <n v="161"/>
        <n v="212"/>
        <n v="329"/>
        <n v="98"/>
        <n v="194"/>
        <n v="254"/>
        <n v="209"/>
        <n v="125"/>
        <n v="163"/>
        <n v="199"/>
        <n v="110"/>
        <n v="122"/>
        <n v="171"/>
        <n v="57"/>
        <n v="648"/>
        <n v="582"/>
        <n v="438"/>
        <n v="247"/>
        <n v="386"/>
        <n v="149"/>
        <n v="277"/>
        <n v="177"/>
        <n v="124"/>
        <n v="201"/>
        <n v="116"/>
        <n v="243"/>
        <n v="300"/>
        <n v="1303"/>
        <n v="667"/>
        <n v="847"/>
        <n v="106"/>
        <n v="1336"/>
        <n v="517"/>
        <n v="1052"/>
        <n v="912"/>
        <n v="510"/>
        <n v="530"/>
        <n v="526"/>
        <n v="324"/>
        <n v="138"/>
        <n v="558"/>
        <n v="572"/>
        <n v="195"/>
        <n v="87"/>
        <n v="782"/>
        <n v="1011"/>
        <n v="650"/>
        <n v="1332"/>
        <n v="1243"/>
        <n v="25"/>
        <n v="1278"/>
        <n v="658"/>
        <n v="845"/>
        <n v="1430"/>
        <n v="1145"/>
        <n v="1680"/>
        <n v="1753"/>
        <n v="487"/>
        <n v="591"/>
        <n v="612"/>
        <n v="977"/>
        <n v="433"/>
        <n v="646"/>
        <n v="1023"/>
        <n v="241"/>
        <n v="144"/>
        <n v="1840"/>
        <n v="958"/>
        <n v="560"/>
        <n v="544"/>
        <n v="344"/>
        <n v="93"/>
        <n v="148"/>
        <n v="457"/>
        <n v="766"/>
        <n v="234"/>
        <n v="935"/>
        <n v="690"/>
        <n v="1660"/>
        <n v="1619"/>
        <n v="619"/>
        <n v="515"/>
        <n v="588"/>
        <n v="1179"/>
        <n v="999"/>
        <n v="742"/>
        <n v="574"/>
        <n v="318"/>
        <n v="833"/>
        <n v="486"/>
        <n v="989"/>
        <n v="1132"/>
        <n v="759"/>
        <n v="831"/>
        <n v="837"/>
        <n v="1020"/>
        <n v="564"/>
        <n v="434"/>
        <n v="906"/>
        <n v="431"/>
        <n v="214"/>
        <n v="162"/>
        <n v="304"/>
        <n v="238"/>
        <n v="131"/>
        <n v="109"/>
        <n v="112"/>
        <n v="740"/>
        <n v="203"/>
        <n v="405"/>
        <n v="270"/>
        <n v="391"/>
        <n v="183"/>
        <n v="121"/>
        <n v="119"/>
        <n v="1468"/>
        <n v="761"/>
        <n v="854"/>
        <n v="115"/>
        <n v="1103"/>
        <n v="552"/>
        <n v="565"/>
        <n v="368"/>
        <n v="528"/>
        <n v="174"/>
        <n v="911"/>
        <n v="620"/>
        <n v="1220"/>
        <n v="1209"/>
        <n v="1092"/>
        <n v="678"/>
        <n v="1426"/>
        <n v="1442"/>
        <n v="1744"/>
        <n v="464"/>
        <n v="566"/>
        <n v="716"/>
        <n v="882"/>
        <n v="458"/>
        <n v="601"/>
        <n v="1045"/>
        <n v="262"/>
        <n v="152"/>
        <n v="1820"/>
        <n v="1186"/>
        <n v="918"/>
        <n v="640"/>
        <n v="541"/>
        <n v="639"/>
        <n v="376"/>
        <n v="82"/>
        <n v="682"/>
        <n v="167"/>
        <n v="157"/>
        <n v="760"/>
        <n v="1049"/>
        <n v="765"/>
        <n v="1603"/>
        <n v="1435"/>
        <n v="611"/>
        <n v="512"/>
        <n v="1064"/>
        <n v="939"/>
        <n v="741"/>
        <n v="326"/>
        <n v="816"/>
        <n v="513"/>
        <n v="994"/>
        <n v="1098"/>
        <n v="785"/>
        <n v="768"/>
        <n v="868"/>
        <n v="548"/>
        <n v="480"/>
        <n v="713"/>
        <n v="414"/>
        <n v="893"/>
        <n v="743"/>
        <n v="461"/>
        <n v="245"/>
        <n v="158"/>
        <n v="305"/>
        <n v="95"/>
        <n v="218"/>
        <n v="156"/>
        <n v="55"/>
        <n v="470"/>
        <n v="273"/>
        <n v="394"/>
        <n v="164"/>
        <n v="181"/>
        <n v="188"/>
        <n v="192"/>
        <n v="111"/>
        <n v="282"/>
        <n v="333"/>
        <n v="777"/>
        <n v="992"/>
        <n v="1318"/>
        <n v="1174"/>
        <n v="863"/>
        <n v="475"/>
        <n v="320"/>
        <n v="603"/>
        <n v="589"/>
        <n v="172"/>
        <n v="75"/>
        <n v="537"/>
        <n v="718"/>
        <n v="981"/>
        <n v="748"/>
        <n v="1287"/>
        <n v="24"/>
        <n v="1283"/>
        <n v="701"/>
        <n v="960"/>
        <n v="1537"/>
        <n v="1208"/>
        <n v="1762"/>
        <n v="484"/>
        <n v="929"/>
        <n v="956"/>
        <n v="278"/>
        <n v="2170"/>
        <n v="1067"/>
        <n v="1193"/>
        <n v="832"/>
        <n v="511"/>
        <n v="351"/>
        <n v="490"/>
        <n v="745"/>
        <n v="933"/>
        <n v="734"/>
        <n v="1478"/>
        <n v="1449"/>
        <n v="547"/>
        <n v="1159"/>
        <n v="711"/>
        <n v="313"/>
        <n v="789"/>
        <n v="1055"/>
        <n v="1127"/>
        <n v="672"/>
        <n v="733"/>
        <n v="1025"/>
        <n v="546"/>
        <n v="571"/>
        <n v="670"/>
        <n v="415"/>
        <n v="253"/>
        <n v="151"/>
        <n v="150"/>
        <n v="97"/>
        <n v="302"/>
        <n v="235"/>
        <n v="133"/>
        <n v="173"/>
        <n v="206"/>
        <n v="60"/>
        <n v="725"/>
        <n v="562"/>
        <n v="186"/>
        <n v="284"/>
        <n v="342"/>
        <n v="263"/>
        <n v="120"/>
        <n v="292"/>
        <n v="285"/>
        <n v="1277"/>
        <n v="664"/>
        <n v="869"/>
        <n v="113"/>
        <n v="1137"/>
        <n v="573"/>
        <n v="1010"/>
        <n v="870"/>
        <n v="542"/>
        <n v="472"/>
        <n v="372"/>
        <n v="754"/>
        <n v="1233"/>
        <n v="1113"/>
        <n v="727"/>
        <n v="879"/>
        <n v="1464"/>
        <n v="1407"/>
        <n v="1775"/>
        <n v="491"/>
        <n v="553"/>
        <n v="1102"/>
        <n v="271"/>
        <n v="2091"/>
        <n v="1047"/>
        <n v="1256"/>
        <n v="920"/>
        <n v="556"/>
        <n v="596"/>
        <n v="493"/>
        <n v="378"/>
        <n v="681"/>
        <n v="684"/>
        <n v="210"/>
        <n v="1096"/>
        <n v="771"/>
        <n v="1637"/>
        <n v="1638"/>
        <n v="567"/>
        <n v="966"/>
        <n v="630"/>
        <n v="498"/>
        <n v="336"/>
        <n v="753"/>
        <n v="520"/>
        <n v="1021"/>
        <n v="737"/>
        <n v="790"/>
        <n v="846"/>
        <n v="578"/>
        <n v="661"/>
        <n v="456"/>
        <n v="924"/>
        <n v="685"/>
        <n v="92"/>
        <n v="330"/>
        <n v="96"/>
        <n v="224"/>
        <n v="211"/>
        <n v="178"/>
        <n v="101"/>
        <n v="251"/>
        <n v="165"/>
        <n v="59"/>
        <n v="479"/>
        <n v="276"/>
        <n v="190"/>
        <n v="258"/>
        <n v="308"/>
        <n v="1425"/>
        <n v="779"/>
        <n v="890"/>
        <n v="1299"/>
        <n v="1188"/>
        <n v="974"/>
        <n v="563"/>
        <n v="507"/>
        <n v="557"/>
        <n v="600"/>
        <n v="815"/>
        <n v="1279"/>
        <n v="1184"/>
        <n v="1126"/>
        <n v="852"/>
        <n v="1343"/>
        <n v="1311"/>
        <n v="1670"/>
        <n v="1774"/>
        <n v="697"/>
        <n v="964"/>
        <n v="702"/>
        <n v="967"/>
        <n v="1927"/>
        <n v="1030"/>
        <n v="1290"/>
        <n v="615"/>
        <n v="592"/>
        <n v="561"/>
        <n v="654"/>
        <n v="365"/>
        <n v="86"/>
        <n v="723"/>
        <n v="680"/>
        <n v="1676"/>
        <n v="1410"/>
        <n v="550"/>
        <n v="1163"/>
        <n v="943"/>
        <n v="536"/>
        <n v="509"/>
        <n v="497"/>
        <n v="1042"/>
        <n v="732"/>
        <n v="839"/>
        <n v="1017"/>
        <n v="488"/>
        <n v="739"/>
        <n v="425"/>
        <n v="228"/>
        <n v="142"/>
        <n v="231"/>
        <n v="207"/>
        <n v="204"/>
        <n v="227"/>
        <n v="56"/>
        <n v="695"/>
        <n v="196"/>
        <n v="424"/>
        <n v="287"/>
        <n v="354"/>
        <n v="205"/>
        <n v="289"/>
        <n v="331"/>
        <n v="1344"/>
        <n v="1282"/>
        <n v="1007"/>
        <n v="865"/>
        <n v="585"/>
        <n v="341"/>
        <n v="633"/>
        <n v="519"/>
        <n v="76"/>
        <n v="776"/>
        <n v="1231"/>
        <n v="1069"/>
        <n v="694"/>
        <n v="947"/>
        <n v="1547"/>
        <n v="1316"/>
        <n v="1423"/>
        <n v="1531"/>
        <n v="482"/>
        <n v="653"/>
        <n v="936"/>
        <n v="421"/>
        <n v="627"/>
        <n v="2008"/>
        <n v="1066"/>
        <n v="1252"/>
        <n v="827"/>
        <n v="605"/>
        <n v="360"/>
        <n v="89"/>
        <n v="698"/>
        <n v="160"/>
        <n v="724"/>
        <n v="1093"/>
        <n v="1444"/>
        <n v="1590"/>
        <n v="1214"/>
        <n v="1143"/>
        <n v="853"/>
        <n v="801"/>
        <n v="576"/>
        <n v="382"/>
        <n v="1041"/>
        <n v="679"/>
        <n v="411"/>
        <n v="362"/>
        <n v="244"/>
        <n v="219"/>
        <n v="118"/>
        <n v="61"/>
        <n v="481"/>
        <n v="286"/>
        <n v="267"/>
        <n v="283"/>
        <n v="1238"/>
        <n v="983"/>
        <n v="102"/>
        <n v="1180"/>
        <n v="524"/>
        <n v="1165"/>
        <n v="961"/>
        <n v="465"/>
        <n v="182"/>
        <n v="78"/>
        <n v="755"/>
        <n v="652"/>
        <n v="1182"/>
        <n v="1262"/>
        <n v="22"/>
        <n v="849"/>
        <n v="861"/>
        <n v="1477"/>
        <n v="1275"/>
        <n v="1521"/>
        <n v="1715"/>
        <n v="435"/>
        <n v="707"/>
        <n v="858"/>
        <n v="441"/>
        <n v="624"/>
        <n v="1951"/>
        <n v="926"/>
        <n v="229"/>
        <n v="1110"/>
        <n v="896"/>
        <n v="649"/>
        <n v="533"/>
        <n v="772"/>
        <n v="1063"/>
        <n v="1746"/>
        <n v="1462"/>
        <n v="485"/>
        <n v="1059"/>
        <n v="595"/>
        <n v="356"/>
        <n v="962"/>
        <n v="1183"/>
        <n v="704"/>
        <n v="778"/>
        <n v="877"/>
        <n v="476"/>
        <n v="398"/>
        <n v="259"/>
        <n v="237"/>
        <n v="315"/>
        <n v="159"/>
        <n v="84"/>
        <n v="117"/>
        <n v="62"/>
        <n v="252"/>
        <n v="361"/>
        <n v="220"/>
        <n v="299"/>
        <n v="979"/>
        <n v="1087"/>
        <n v="985"/>
        <n v="522"/>
        <n v="364"/>
        <n v="180"/>
        <n v="1062"/>
        <n v="1298"/>
        <n v="1266"/>
        <n v="813"/>
        <n v="959"/>
        <n v="1408"/>
        <n v="1153"/>
        <n v="1475"/>
        <n v="1522"/>
        <n v="404"/>
        <n v="710"/>
        <n v="2161"/>
        <n v="923"/>
        <n v="570"/>
        <n v="455"/>
        <n v="976"/>
        <n v="756"/>
        <n v="1757"/>
        <n v="1476"/>
        <n v="503"/>
        <n v="621"/>
        <n v="1212"/>
        <n v="350"/>
        <n v="830"/>
        <n v="1078"/>
        <n v="850"/>
        <n v="986"/>
        <n v="921"/>
        <n v="712"/>
        <n v="406"/>
        <n v="312"/>
        <n v="193"/>
        <n v="239"/>
        <n v="403"/>
        <n v="380"/>
        <n v="266"/>
        <n v="268"/>
        <n v="281"/>
        <n v="1249"/>
        <n v="783"/>
        <n v="123"/>
        <n v="593"/>
        <n v="763"/>
        <n v="1029"/>
        <n v="747"/>
        <n v="1259"/>
        <n v="1144"/>
        <n v="810"/>
        <n v="891"/>
        <n v="1593"/>
        <n v="1562"/>
        <n v="1598"/>
        <n v="584"/>
        <n v="272"/>
        <n v="951"/>
        <n v="1270"/>
        <n v="932"/>
        <n v="609"/>
        <n v="506"/>
        <n v="614"/>
        <n v="392"/>
        <n v="1022"/>
        <n v="1392"/>
        <n v="1135"/>
        <n v="314"/>
        <n v="881"/>
        <n v="608"/>
        <n v="729"/>
        <n v="791"/>
        <n v="875"/>
        <n v="492"/>
        <n v="883"/>
        <n v="468"/>
        <n v="154"/>
        <n v="155"/>
        <n v="53"/>
        <n v="442"/>
        <n v="264"/>
        <n v="346"/>
        <n v="319"/>
        <n v="988"/>
        <n v="1288"/>
        <n v="1053"/>
        <n v="347"/>
        <n v="625"/>
        <n v="930"/>
        <n v="968"/>
        <n v="1394"/>
        <n v="1359"/>
        <n v="1656"/>
        <n v="1589"/>
        <n v="466"/>
        <n v="446"/>
        <n v="925"/>
        <n v="130"/>
        <n v="1790"/>
        <n v="636"/>
        <n v="353"/>
        <n v="691"/>
        <n v="736"/>
        <n v="1698"/>
        <n v="1377"/>
        <n v="1068"/>
        <n v="954"/>
        <n v="310"/>
        <n v="928"/>
        <n v="720"/>
        <n v="878"/>
        <n v="501"/>
        <n v="900"/>
        <n v="419"/>
        <n v="249"/>
        <n v="256"/>
        <n v="255"/>
        <n v="423"/>
        <n v="317"/>
      </sharedItems>
    </cacheField>
    <cacheField name="Target" numFmtId="0">
      <sharedItems containsSemiMixedTypes="0" containsString="0" containsNumber="1" containsInteger="1" minValue="19" maxValue="1882"/>
    </cacheField>
    <cacheField name="Performance Gap" numFmtId="1">
      <sharedItems containsSemiMixedTypes="0" containsString="0" containsNumber="1" containsInteger="1" minValue="-557" maxValue="515"/>
    </cacheField>
    <cacheField name="Performance Gap (%)" numFmtId="10">
      <sharedItems containsSemiMixedTypes="0" containsString="0" containsNumber="1" minValue="-0.42133131618759456" maxValue="0.33050847457627119" count="1372">
        <n v="5.9726962457337884E-2"/>
        <n v="6.9510268562401265E-2"/>
        <n v="0.1"/>
        <n v="0"/>
        <n v="6.9990412272291469E-2"/>
        <n v="-6.126126126126126E-2"/>
        <n v="-1.0956175298804782E-2"/>
        <n v="-6.0364464692482918E-2"/>
        <n v="-3.3783783783783786E-2"/>
        <n v="-3.125E-2"/>
        <n v="-1.0460251046025104E-2"/>
        <n v="-1.0121457489878543E-2"/>
        <n v="0.11986301369863013"/>
        <n v="2.9629629629629631E-2"/>
        <n v="9.9009900990099015E-2"/>
        <n v="8.8235294117647065E-2"/>
        <n v="9.7402597402597407E-2"/>
        <n v="-4.0515653775322284E-2"/>
        <n v="0.11954765751211632"/>
        <n v="-1.1061946902654867E-2"/>
        <n v="-6.1285500747384154E-2"/>
        <n v="0.10907335907335908"/>
        <n v="0.11979166666666667"/>
        <n v="0.10526315789473684"/>
        <n v="-4.0350877192982457E-2"/>
        <n v="6.86106346483705E-2"/>
        <n v="9.7799511002444987E-3"/>
        <n v="9.6296296296296303E-3"/>
        <n v="-4.0404040404040407E-2"/>
        <n v="9.8452883263009851E-3"/>
        <n v="6.9800569800569798E-2"/>
        <n v="-2.1377672209026127E-2"/>
        <n v="2.9166666666666667E-2"/>
        <n v="-2.0866773675762441E-2"/>
        <n v="7.8811369509043924E-2"/>
        <n v="7.7956989247311828E-2"/>
        <n v="5.8823529411764705E-2"/>
        <n v="-5.0607287449392711E-2"/>
        <n v="6.6666666666666666E-2"/>
        <n v="9.4017094017094016E-2"/>
        <n v="0.1196319018404908"/>
        <n v="7.9761904761904756E-2"/>
        <n v="0.10497237569060773"/>
        <n v="-4.0170940170940174E-2"/>
        <n v="2.9925187032418952E-2"/>
        <n v="9.2936802973977699E-3"/>
        <n v="-2.119460500963391E-2"/>
        <n v="5.8426966292134834E-2"/>
        <n v="-1.1419249592169658E-2"/>
        <n v="1.8072289156626505E-2"/>
        <n v="-4.7619047619047616E-2"/>
        <n v="-1.1217948717948718E-2"/>
        <n v="8.59375E-2"/>
        <n v="0.10606060606060606"/>
        <n v="8.9411764705882357E-2"/>
        <n v="9.9838969404186795E-2"/>
        <n v="-3.0800821355236138E-2"/>
        <n v="0.1098546042003231"/>
        <n v="9.9397590361445784E-2"/>
        <n v="5.941358024691358E-2"/>
        <n v="5.8704453441295545E-2"/>
        <n v="-4.1753653444676408E-2"/>
        <n v="6.9815195071868577E-2"/>
        <n v="0.11929460580912864"/>
        <n v="-6.0039370078740155E-2"/>
        <n v="9.8615916955017299E-2"/>
        <n v="-3.1007751937984496E-2"/>
        <n v="4.7945205479452052E-2"/>
        <n v="7.9594790159189577E-2"/>
        <n v="-2.0952380952380951E-2"/>
        <n v="0.10966981132075472"/>
        <n v="1.9920318725099601E-2"/>
        <n v="-1.0852713178294573E-2"/>
        <n v="-5.0870147255689425E-2"/>
        <n v="9.9056603773584911E-2"/>
        <n v="1.8979833926453145E-2"/>
        <n v="-1.0438413361169102E-2"/>
        <n v="-2.0283975659229209E-2"/>
        <n v="3.9930555555555552E-2"/>
        <n v="-2.0460358056265986E-2"/>
        <n v="-4.0468583599574018E-2"/>
        <n v="0.11"/>
        <n v="-2.1531100478468901E-2"/>
        <n v="-2.2522522522522521E-2"/>
        <n v="7.1428571428571426E-3"/>
        <n v="1.5037593984962405E-2"/>
        <n v="2.717391304347826E-2"/>
        <n v="6.8783068783068779E-2"/>
        <n v="-5.2631578947368418E-2"/>
        <n v="0.11808118081180811"/>
        <n v="7.9365079365079361E-2"/>
        <n v="5.0632911392405063E-2"/>
        <n v="7.5949367088607597E-2"/>
        <n v="4.716981132075472E-2"/>
        <n v="6.9767441860465115E-2"/>
        <n v="2.4390243902439025E-2"/>
        <n v="5.8394160583941604E-2"/>
        <n v="2.9411764705882353E-2"/>
        <n v="-4.0816326530612242E-2"/>
        <n v="-5.6603773584905662E-2"/>
        <n v="8.673469387755102E-2"/>
        <n v="-2.7777777777777776E-2"/>
        <n v="-6.3694267515923567E-2"/>
        <n v="0.04"/>
        <n v="-6.0790273556231005E-2"/>
        <n v="3.9292730844793712E-2"/>
        <n v="9.815950920245399E-2"/>
        <n v="-4.0094339622641507E-2"/>
        <n v="2.7692307692307693E-2"/>
        <n v="5.3846153846153849E-2"/>
        <n v="8.9201877934272297E-2"/>
        <n v="-3.2967032967032968E-2"/>
        <n v="5.6603773584905662E-2"/>
        <n v="0.11827956989247312"/>
        <n v="0.10778443113772455"/>
        <n v="-4.4642857142857144E-2"/>
        <n v="-4.2801556420233464E-2"/>
        <n v="8.984375E-2"/>
        <n v="9.5813204508856678E-2"/>
        <n v="-1.4367816091954023E-2"/>
        <n v="8.0200501253132828E-2"/>
        <n v="9.3457943925233638E-3"/>
        <n v="-2.0052310374891021E-2"/>
        <n v="2.866779089376054E-2"/>
        <n v="6.3567362428842505E-2"/>
        <n v="4.6697038724373578E-2"/>
        <n v="-7.8947368421052627E-2"/>
        <n v="3.6231884057971015E-3"/>
        <n v="7.0539419087136929E-2"/>
        <n v="0.11133200795228629"/>
        <n v="7.6666666666666661E-2"/>
        <n v="0.12162162162162163"/>
        <n v="0.2038095238095238"/>
        <n v="0.16634799235181644"/>
        <n v="0.25477707006369427"/>
        <n v="5.3333333333333337E-2"/>
        <n v="-9.4736842105263161E-2"/>
        <n v="0.1072"/>
        <n v="8.6065573770491802E-2"/>
        <n v="-3.9886039886039885E-2"/>
        <n v="8.7431693989071038E-2"/>
        <n v="0.10416666666666667"/>
        <n v="0.15"/>
        <n v="5.2495697074010327E-2"/>
        <n v="0.20068610634648371"/>
        <n v="-6.6817667044167611E-2"/>
        <n v="7.3388203017832651E-2"/>
        <n v="4.2096902303415409E-2"/>
        <n v="3.4845496383957925E-2"/>
        <n v="-1.9788918205804751E-3"/>
        <n v="-4.662004662004662E-3"/>
        <n v="0.16032064128256512"/>
        <n v="7.6576576576576572E-2"/>
        <n v="0.15853658536585366"/>
        <n v="0.19261213720316622"/>
        <n v="-2.1276595744680851E-2"/>
        <n v="5.3554040895813046E-2"/>
        <n v="8.1632653061224483E-2"/>
        <n v="6.3492063492063489E-2"/>
        <n v="0.14162844036697247"/>
        <n v="0.22312138728323699"/>
        <n v="0.10638297872340426"/>
        <n v="-7.6547231270358312E-2"/>
        <n v="0.21072319201995013"/>
        <n v="0.14233576642335766"/>
        <n v="-7.720588235294118E-2"/>
        <n v="2.1413276231263382E-2"/>
        <n v="7.9341317365269462E-2"/>
        <n v="3.9436619718309862E-2"/>
        <n v="-1.1235955056179775E-2"/>
        <n v="-1.10062893081761E-2"/>
        <n v="0.10852713178294573"/>
        <n v="0.10869565217391304"/>
        <n v="0.10572687224669604"/>
        <n v="0.16869300911854104"/>
        <n v="7.4468085106382975E-2"/>
        <n v="0.1027190332326284"/>
        <n v="2.3529411764705882E-2"/>
        <n v="0.13591549295774649"/>
        <n v="4.926470588235294E-2"/>
        <n v="0.20077220077220076"/>
        <n v="-5.7199211045364892E-2"/>
        <n v="2.1317829457364341E-2"/>
        <n v="0.14038657171922686"/>
        <n v="-4.625984251968504E-2"/>
        <n v="1.7799352750809062E-2"/>
        <n v="-5.5160142348754451E-2"/>
        <n v="-4.3613707165109032E-2"/>
        <n v="0.21727019498607242"/>
        <n v="-4.6345811051693407E-2"/>
        <n v="0.1203155818540434"/>
        <n v="0.22523584905660377"/>
        <n v="0.14942528735632185"/>
        <n v="0.13253012048192772"/>
        <n v="-3.8265306122448979E-3"/>
        <n v="3.3823529411764704E-2"/>
        <n v="4.0992448759439054E-2"/>
        <n v="8.2329317269076302E-2"/>
        <n v="3.9840637450199202E-3"/>
        <n v="0.2204861111111111"/>
        <n v="-9.8591549295774641E-2"/>
        <n v="-2.1299254526091589E-3"/>
        <n v="7.1197411003236247E-2"/>
        <n v="2.3255813953488372E-2"/>
        <n v="-4.5081967213114756E-2"/>
        <n v="1.3245033112582781E-2"/>
        <n v="0.10273972602739725"/>
        <n v="0.15217391304347827"/>
        <n v="0.1326530612244898"/>
        <n v="-0.14563106796116504"/>
        <n v="0.13840830449826991"/>
        <n v="0.27777777777777779"/>
        <n v="0.22500000000000001"/>
        <n v="0.20496894409937888"/>
        <n v="9.9567099567099568E-2"/>
        <n v="0.20809248554913296"/>
        <n v="1.6260162601626018E-2"/>
        <n v="9.3959731543624164E-2"/>
        <n v="0.11797752808988764"/>
        <n v="7.8431372549019607E-2"/>
        <n v="-0.10714285714285714"/>
        <n v="9.90990990990991E-2"/>
        <n v="1.1834319526627219E-2"/>
        <n v="9.6153846153846159E-2"/>
        <n v="-2.4096385542168676E-2"/>
        <n v="0.14341846758349705"/>
        <n v="0.24561403508771928"/>
        <n v="1.3888888888888888E-2"/>
        <n v="-8.0321285140562242E-3"/>
        <n v="0.15568862275449102"/>
        <n v="7.1942446043165464E-2"/>
        <n v="0.18376068376068377"/>
        <n v="5.4644808743169399E-3"/>
        <n v="8.5889570552147243E-2"/>
        <n v="0.22772277227722773"/>
        <n v="0.19642857142857142"/>
        <n v="-8.5470085470085479E-3"/>
        <n v="-5.4474708171206226E-2"/>
        <n v="9.8901098901098897E-2"/>
        <n v="4.9114331723027378E-2"/>
        <n v="-4.1666666666666664E-2"/>
        <n v="5.2173913043478258E-2"/>
        <n v="-1.8518518518518517E-2"/>
        <n v="0.14188034188034188"/>
        <n v="-0.12816188870151771"/>
        <n v="-1.1278195488721804E-2"/>
        <n v="3.8724373576309798E-2"/>
        <n v="3.870967741935484E-2"/>
        <n v="-9.5744680851063829E-2"/>
        <n v="8.8295687885010271E-2"/>
        <n v="2.5341130604288498E-2"/>
        <n v="0.08"/>
        <n v="-7.3825503355704702E-2"/>
        <n v="4.2990654205607479E-2"/>
        <n v="9.3690248565965584E-2"/>
        <n v="0.24203821656050956"/>
        <n v="0.16"/>
        <n v="6.0869565217391307E-2"/>
        <n v="0.25119999999999998"/>
        <n v="1.6080402010050253E-2"/>
        <n v="-7.407407407407407E-2"/>
        <n v="0.20108205590622183"/>
        <n v="0.2696629213483146"/>
        <n v="0.25"/>
        <n v="7.7571669477234401E-2"/>
        <n v="0.10774410774410774"/>
        <n v="-4.3035107587768968E-2"/>
        <n v="-3.833221250840619E-2"/>
        <n v="-9.0548054011119941E-2"/>
        <n v="0.10453648915187377"/>
        <n v="0.13389391979301424"/>
        <n v="0.11187214611872145"/>
        <n v="0.16110019646365423"/>
        <n v="-9.0638930163447248E-2"/>
        <n v="0.17995169082125603"/>
        <n v="0.13054830287206268"/>
        <n v="3.691813804173355E-2"/>
        <n v="-3.8948393378773127E-3"/>
        <n v="-3.5999999999999997E-2"/>
        <n v="0.13385826771653545"/>
        <n v="4.4860874503123226E-2"/>
        <n v="8.6167800453514742E-2"/>
        <n v="0.109375"/>
        <n v="6.6241021548284124E-2"/>
        <n v="0.11975308641975309"/>
        <n v="2.1897810218978103E-2"/>
        <n v="8.639705882352941E-2"/>
        <n v="0.16488222698072805"/>
        <n v="-1.0279001468428781E-2"/>
        <n v="-4.9723756906077346E-2"/>
        <n v="3.3333333333333333E-2"/>
        <n v="0.12977099236641221"/>
        <n v="0.14184397163120568"/>
        <n v="-1.2958963282937365E-2"/>
        <n v="0.14157973174366617"/>
        <n v="0.23157894736842105"/>
        <n v="-5.8408862034239679E-2"/>
        <n v="4.3668122270742356E-3"/>
        <n v="0.156794425087108"/>
        <n v="0.16642651296829972"/>
        <n v="0.1835564053537285"/>
        <n v="-3.8684719535783366E-3"/>
        <n v="0.12859884836852206"/>
        <n v="0.19938962360122076"/>
        <n v="-2.6315789473684209E-2"/>
        <n v="0.1891025641025641"/>
        <n v="2.1352313167259787E-2"/>
        <n v="-9.3457943925233638E-3"/>
        <n v="0.13642564802182811"/>
        <n v="-8.9160839160839167E-2"/>
        <n v="-5.9961315280464215E-2"/>
        <n v="0.15537383177570094"/>
        <n v="6.2910798122065723E-2"/>
        <n v="0.12112259970457903"/>
        <n v="4.924242424242424E-2"/>
        <n v="0.23088235294117648"/>
        <n v="8.9743589743589744E-2"/>
        <n v="0.11023622047244094"/>
        <n v="0.12350597609561753"/>
        <n v="0.20481927710843373"/>
        <n v="9.3023255813953487E-3"/>
        <n v="-3.5143769968051117E-2"/>
        <n v="0.11974110032362459"/>
        <n v="-6.9124423963133645E-3"/>
        <n v="-0.12295081967213115"/>
        <n v="-9.0909090909090912E-2"/>
        <n v="0.10204081632653061"/>
        <n v="3.7433155080213901E-2"/>
        <n v="6.6326530612244902E-2"/>
        <n v="4.1095890410958902E-2"/>
        <n v="0.17322834645669291"/>
        <n v="3.7037037037037035E-2"/>
        <n v="1.276595744680851E-2"/>
        <n v="0.12571428571428572"/>
        <n v="4.8000000000000001E-2"/>
        <n v="6.5789473684210523E-3"/>
        <n v="8.98876404494382E-2"/>
        <n v="6.8627450980392163E-2"/>
        <n v="-8.8495575221238937E-2"/>
        <n v="-1.1627906976744186E-2"/>
        <n v="9.3057607090103397E-2"/>
        <n v="0.19842829076620824"/>
        <n v="0.1871345029239766"/>
        <n v="-7.1100917431192664E-2"/>
        <n v="6.2992125984251968E-2"/>
        <n v="0.15680473372781065"/>
        <n v="2.8368794326241134E-2"/>
        <n v="1.6949152542372881E-2"/>
        <n v="7.650273224043716E-2"/>
        <n v="9.580838323353294E-2"/>
        <n v="0.17475728155339806"/>
        <n v="0.12790697674418605"/>
        <n v="8.6021505376344093E-2"/>
        <n v="0.17065390749601275"/>
        <n v="8.2503556187766711E-2"/>
        <n v="6.4814814814814811E-2"/>
        <n v="-6.6045723962743441E-2"/>
        <n v="-0.10684474123539232"/>
        <n v="1.6917293233082706E-2"/>
        <n v="8.2681564245810052E-2"/>
        <n v="-0.10828025477707007"/>
        <n v="0.1483739837398374"/>
        <n v="0.11500974658869395"/>
        <n v="0.20261437908496732"/>
        <n v="7.9470198675496692E-2"/>
        <n v="5.6074766355140186E-2"/>
        <n v="9.5602294455066923E-3"/>
        <n v="0.10126582278481013"/>
        <n v="3.9473684210526314E-2"/>
        <n v="6.5404475043029264E-2"/>
        <n v="0.13439999999999999"/>
        <n v="-0.10246305418719212"/>
        <n v="-0.11680911680911681"/>
        <n v="8.9285714285714288E-2"/>
        <n v="0.21142284569138275"/>
        <n v="-8.771929824561403E-2"/>
        <n v="0.14141414141414141"/>
        <n v="-6.614349775784753E-2"/>
        <n v="-4.10221923335575E-2"/>
        <n v="-7.2383949645948076E-2"/>
        <n v="-5.1939513477975013E-2"/>
        <n v="0.12807244501940493"/>
        <n v="4.0358744394618833E-2"/>
        <n v="9.05587668593449E-2"/>
        <n v="6.3893016344725106E-2"/>
        <n v="4.3786982248520713E-2"/>
        <n v="0.17435897435897435"/>
        <n v="-5.5031446540880505E-2"/>
        <n v="1.7526777020447908E-2"/>
        <n v="2.7450980392156862E-2"/>
        <n v="0.19685039370078741"/>
        <n v="3.3503691084611015E-2"/>
        <n v="8.2901554404145081E-2"/>
        <n v="-7.1987480438184662E-2"/>
        <n v="0.12224938875305623"/>
        <n v="0.1552346570397112"/>
        <n v="-1.6363636363636365E-2"/>
        <n v="8.2802547770700632E-2"/>
        <n v="-8.0575539568345317E-2"/>
        <n v="1.8970189701897018E-2"/>
        <n v="-8.8888888888888892E-2"/>
        <n v="6.2305295950155763E-2"/>
        <n v="0.27480916030534353"/>
        <n v="0.11347517730496454"/>
        <n v="-2.1141649048625793E-2"/>
        <n v="0.12094395280235988"/>
        <n v="4.6391752577319589E-2"/>
        <n v="3.5538005923000986E-2"/>
        <n v="0.11353711790393013"/>
        <n v="0.11707317073170732"/>
        <n v="3.3861671469740631E-2"/>
        <n v="0.16826003824091779"/>
        <n v="-1.9342359767891683E-3"/>
        <n v="-3.5781544256120526E-2"/>
        <n v="6.1876247504990017E-2"/>
        <n v="-8.4795321637426896E-2"/>
        <n v="0.1761904761904762"/>
        <n v="-8.8028169014084501E-2"/>
        <n v="1.5576323987538941E-2"/>
        <n v="0.11323328785811733"/>
        <n v="-0.10314685314685315"/>
        <n v="2.5145067698259187E-2"/>
        <n v="0.14913294797687862"/>
        <n v="3.0985915492957747E-2"/>
        <n v="0.11842105263157894"/>
        <n v="-1.8749999999999999E-2"/>
        <n v="0.10662824207492795"/>
        <n v="-7.2649572649572655E-2"/>
        <n v="6.8226120857699801E-2"/>
        <n v="-4.3824701195219126E-2"/>
        <n v="0.22719449225473323"/>
        <n v="-3.7209302325581395E-2"/>
        <n v="-6.6875653082549641E-2"/>
        <n v="0.17936507936507937"/>
        <n v="5.011389521640091E-2"/>
        <n v="-1.6064257028112448E-2"/>
        <n v="7.7419354838709681E-2"/>
        <n v="7.4829931972789115E-2"/>
        <n v="4.7619047619047616E-2"/>
        <n v="5.5555555555555552E-2"/>
        <n v="3.3898305084745763E-2"/>
        <n v="0.13953488372093023"/>
        <n v="0.1875"/>
        <n v="0.24074074074074073"/>
        <n v="-7.2340425531914887E-2"/>
        <n v="0.1807909604519774"/>
        <n v="0.128"/>
        <n v="1.9607843137254902E-2"/>
        <n v="-1.6666666666666666E-2"/>
        <n v="8.7378640776699032E-2"/>
        <n v="-0.12280701754385964"/>
        <n v="7.0351758793969849E-2"/>
        <n v="-7.1428571428571425E-2"/>
        <n v="-1.7241379310344827E-2"/>
        <n v="3.7735849056603772E-2"/>
        <n v="-0.10818713450292397"/>
        <n v="2.7237354085603113E-2"/>
        <n v="0.15789473684210525"/>
        <n v="7.7981651376146793E-2"/>
        <n v="7.4803149606299218E-2"/>
        <n v="0.14534883720930233"/>
        <n v="0.14685314685314685"/>
        <n v="3.3472803347280332E-2"/>
        <n v="-1.092896174863388E-2"/>
        <n v="0.12574850299401197"/>
        <n v="7.6923076923076927E-2"/>
        <n v="9.7142857142857142E-2"/>
        <n v="-9.0163934426229511E-2"/>
        <n v="7.6335877862595422E-2"/>
        <n v="0.17253521126760563"/>
        <n v="0.10740439381611067"/>
        <n v="0.18807339449541285"/>
        <n v="0.2833117723156533"/>
        <n v="0.19801980198019803"/>
        <n v="0.10477787091366303"/>
        <n v="5.0816696914700546E-2"/>
        <n v="0.10338345864661654"/>
        <n v="-1.596351197263398E-2"/>
        <n v="-1.2658227848101266E-2"/>
        <n v="-4.710144927536232E-2"/>
        <n v="2.813852813852814E-2"/>
        <n v="6.1023622047244097E-2"/>
        <n v="8.8435374149659865E-2"/>
        <n v="5.7142857142857141E-2"/>
        <n v="0.23819301848049282"/>
        <n v="0.18511066398390341"/>
        <n v="0.15436241610738255"/>
        <n v="2.7397260273972601E-2"/>
        <n v="2.676864244741874E-2"/>
        <n v="0.16181229773462782"/>
        <n v="6.1538461538461538E-3"/>
        <n v="6.5527065527065526E-2"/>
        <n v="0.14910714285714285"/>
        <n v="0.22113289760348584"/>
        <n v="0.2"/>
        <n v="5.0778050778050775E-2"/>
        <n v="0.25627240143369173"/>
        <n v="6.5482796892341849E-2"/>
        <n v="3.3624747814391391E-2"/>
        <n v="-3.0497592295345103E-2"/>
        <n v="9.7945205479452055E-2"/>
        <n v="0.25230987917555081"/>
        <n v="7.3170731707317069E-2"/>
        <n v="0.1460446247464503"/>
        <n v="0.16993464052287582"/>
        <n v="9.9408284023668636E-2"/>
        <n v="0.30790190735694822"/>
        <n v="0.10553633217993079"/>
        <n v="-8.7786259541984726E-2"/>
        <n v="0.12550607287449392"/>
        <n v="-3.0769230769230771E-2"/>
        <n v="0.31117824773413899"/>
        <n v="0.23495370370370369"/>
        <n v="5.3191489361702128E-2"/>
        <n v="-6.6510172143974963E-2"/>
        <n v="-2.3980815347721821E-3"/>
        <n v="0.16945996275605213"/>
        <n v="0.11857707509881422"/>
        <n v="8.4925690021231418E-2"/>
        <n v="6.2121212121212119E-2"/>
        <n v="-5.8981233243967826E-2"/>
        <n v="-6.741573033707865E-2"/>
        <n v="1.386748844375963E-2"/>
        <n v="0.15573770491803279"/>
        <n v="6.5217391304347824E-2"/>
        <n v="3.5940803382663845E-2"/>
        <n v="0.18253968253968253"/>
        <n v="-9.5541401273885346E-3"/>
        <n v="7.9411764705882348E-2"/>
        <n v="6.17816091954023E-2"/>
        <n v="4.3948126801152738E-2"/>
        <n v="0.15498938428874734"/>
        <n v="0.14915966386554622"/>
        <n v="4.1176470588235294E-2"/>
        <n v="0.15668662674650699"/>
        <n v="0.15995762711864406"/>
        <n v="0.10575427682737169"/>
        <n v="-0.10320284697508897"/>
        <n v="8.3044982698961933E-2"/>
        <n v="0.1336206896551724"/>
        <n v="5.9459459459459463E-2"/>
        <n v="1.7964071856287425E-2"/>
        <n v="0.32704402515723269"/>
        <n v="0.12587412587412589"/>
        <n v="9.2682926829268292E-2"/>
        <n v="-4.5572916666666664E-2"/>
        <n v="0.23076923076923078"/>
        <n v="9.5085470085470081E-2"/>
        <n v="0.12114989733059549"/>
        <n v="0.18464730290456433"/>
        <n v="0.153184165232358"/>
        <n v="0.1834625322997416"/>
        <n v="0.13006396588486141"/>
        <n v="0.18074324324324326"/>
        <n v="1.7156862745098041E-2"/>
        <n v="7.2033898305084748E-2"/>
        <n v="-6.5789473684210523E-3"/>
        <n v="0.23837209302325582"/>
        <n v="0.11666666666666667"/>
        <n v="-1.020408163265306E-2"/>
        <n v="0.13533834586466165"/>
        <n v="0.33050847457627119"/>
        <n v="0.21794871794871795"/>
        <n v="0.31756756756756754"/>
        <n v="3.0701754385964911E-2"/>
        <n v="0.31325301204819278"/>
        <n v="6.4000000000000001E-2"/>
        <n v="0.20979020979020979"/>
        <n v="0.24848484848484848"/>
        <n v="-6.0606060606060608E-2"/>
        <n v="0.25906735751295334"/>
        <n v="0.13207547169811321"/>
        <n v="0.15262321144674085"/>
        <n v="8.2851637764932567E-2"/>
        <n v="0.12048192771084337"/>
        <n v="0.18639798488664988"/>
        <n v="0.12698412698412698"/>
        <n v="8.2706766917293228E-2"/>
        <n v="0.100418410041841"/>
        <n v="0.17058823529411765"/>
        <n v="8.2352941176470587E-2"/>
        <n v="0.18811881188118812"/>
        <n v="0.1411042944785276"/>
        <n v="2.6548672566371681E-2"/>
        <n v="0.24255319148936169"/>
        <n v="2.1505376344086023E-2"/>
        <n v="3.9056143205858422E-2"/>
        <n v="-4.4977511244377807E-3"/>
        <n v="0.11267605633802817"/>
        <n v="9.7087378640776698E-2"/>
        <n v="-6.5735414954806906E-2"/>
        <n v="1.9572953736654804E-2"/>
        <n v="-6.9981583793738492E-2"/>
        <n v="-2.7932960893854747E-2"/>
        <n v="-0.125"/>
        <n v="-3.7300177619893425E-2"/>
        <n v="1.0706638115631691E-2"/>
        <n v="5.5984555984555984E-2"/>
        <n v="0.26530612244897961"/>
        <n v="9.8591549295774641E-2"/>
        <n v="0.13078470824949698"/>
        <n v="7.2978303747534515E-2"/>
        <n v="0.13333333333333333"/>
        <n v="1.3513513513513514E-2"/>
        <n v="9.6590909090909088E-2"/>
        <n v="8.7163232963549928E-2"/>
        <n v="-1.524390243902439E-2"/>
        <n v="7.407407407407407E-2"/>
        <n v="0.10089285714285715"/>
        <n v="0.21241830065359477"/>
        <n v="-7.7849117174959875E-2"/>
        <n v="0.28900709219858156"/>
        <n v="-4.3525571273122961E-2"/>
        <n v="-2.529960053262317E-2"/>
        <n v="9.2295345104333862E-2"/>
        <n v="-3.6301369863013695E-2"/>
        <n v="0.26154939587775411"/>
        <n v="7.9120879120879117E-2"/>
        <n v="0.12170385395537525"/>
        <n v="6.41025641025641E-3"/>
        <n v="9.8475967174677603E-2"/>
        <n v="0.29155313351498635"/>
        <n v="0.15924657534246575"/>
        <n v="5.1526717557251911E-2"/>
        <n v="7.5396825396825393E-2"/>
        <n v="0.12213740458015267"/>
        <n v="0.23874407582938389"/>
        <n v="0.1870748299319728"/>
        <n v="0.14136125654450263"/>
        <n v="-3.6070606293169612E-2"/>
        <n v="8.1081081081081086E-2"/>
        <n v="2.5830258302583026E-2"/>
        <n v="0.15503875968992248"/>
        <n v="3.5714285714285712E-2"/>
        <n v="-2.1212121212121213E-2"/>
        <n v="2.6525198938992041E-3"/>
        <n v="1.1235955056179775E-2"/>
        <n v="3.9694656488549619E-2"/>
        <n v="9.6000000000000002E-2"/>
        <n v="7.0921985815602842E-2"/>
        <n v="-3.9419087136929459E-2"/>
        <n v="6.3763608087091764E-2"/>
        <n v="6.0606060606060608E-2"/>
        <n v="0.15247108307045215"/>
        <n v="0.1222707423580786"/>
        <n v="0.15362931642001409"/>
        <n v="0.15759717314487631"/>
        <n v="0.30882352941176472"/>
        <n v="4.1237113402061857E-3"/>
        <n v="0.11176470588235295"/>
        <n v="0.1857707509881423"/>
        <n v="4.1580041580041582E-3"/>
        <n v="-2.0217729393468119E-2"/>
        <n v="-0.13089005235602094"/>
        <n v="0.16262975778546712"/>
        <n v="7.1123755334281655E-2"/>
        <n v="-8.1272084805653705E-2"/>
        <n v="9.8814229249011856E-2"/>
        <n v="0.25893958076448831"/>
        <n v="0.12144955925563174"/>
        <n v="0.17356687898089171"/>
        <n v="8.9399744572158362E-3"/>
        <n v="8.6342229199372053E-2"/>
        <n v="-0.10476190476190476"/>
        <n v="0.12474849094567404"/>
        <n v="0.18685831622176591"/>
        <n v="0.12606473594548551"/>
        <n v="0.16624040920716113"/>
        <n v="-2.5316455696202531E-2"/>
        <n v="0.14548494983277591"/>
        <n v="0.14182692307692307"/>
        <n v="8.2987551867219917E-3"/>
        <n v="-8.5526315789473686E-2"/>
        <n v="0.22988505747126436"/>
        <n v="0.30978260869565216"/>
        <n v="-0.08"/>
        <n v="0.21771217712177121"/>
        <n v="0.16666666666666666"/>
        <n v="0.21518987341772153"/>
        <n v="0.29729729729729731"/>
        <n v="-3.8626609442060089E-2"/>
        <n v="0.27108433734939757"/>
        <n v="-1.5873015873015872E-2"/>
        <n v="2.7972027972027972E-2"/>
        <n v="6.5868263473053898E-2"/>
        <n v="-2.0202020202020204E-2"/>
        <n v="-0.10619469026548672"/>
        <n v="0.28717948717948716"/>
        <n v="0.12621359223300971"/>
        <n v="-5.1724137931034482E-2"/>
        <n v="0.11320754716981132"/>
        <n v="-3.6565977742448331E-2"/>
        <n v="0.17769376181474481"/>
        <n v="0.21556886227544911"/>
        <n v="0.19451371571072318"/>
        <n v="9.5238095238095233E-2"/>
        <n v="0.15229885057471265"/>
        <n v="1.4925373134328358E-2"/>
        <n v="0.13278008298755187"/>
        <n v="0.20689655172413793"/>
        <n v="0.10465116279069768"/>
        <n v="4.8543689320388349E-2"/>
        <n v="0.2392638036809816"/>
        <n v="0.10619469026548672"/>
        <n v="7.4999999999999997E-2"/>
        <n v="0.1039426523297491"/>
        <n v="0.13636363636363635"/>
        <n v="0.1575037147102526"/>
        <n v="0.13956466069142126"/>
        <n v="5.6956875508543531E-2"/>
        <n v="3.5211267605633804E-2"/>
        <n v="8.826815642458101E-2"/>
        <n v="-3.1055900621118012E-2"/>
        <n v="-1.054481546572935E-2"/>
        <n v="0.11134453781512606"/>
        <n v="-2.1235521235521235E-2"/>
        <n v="0.30272108843537415"/>
        <n v="-5.5172413793103448E-2"/>
        <n v="0.12072434607645875"/>
        <n v="0.16054158607350097"/>
        <n v="0.20666666666666667"/>
        <n v="0.17567567567567569"/>
        <n v="0.17045454545454544"/>
        <n v="0.26749611197511663"/>
        <n v="1.6096579476861168E-2"/>
        <n v="-9.9715099715099717E-2"/>
        <n v="0.11996497373029773"/>
        <n v="0.26360725720384204"/>
        <n v="0.14285714285714285"/>
        <n v="-9.6308186195826651E-2"/>
        <n v="8.5106382978723402E-2"/>
        <n v="-9.0715048025613657E-2"/>
        <n v="-0.11470006591957811"/>
        <n v="3.1471282454760031E-2"/>
        <n v="0.13220338983050847"/>
        <n v="0.24841660802251936"/>
        <n v="4.0948275862068964E-2"/>
        <n v="0.1709741550695825"/>
        <n v="9.4191522762951341E-2"/>
        <n v="0.11832946635730858"/>
        <n v="0.22911051212938005"/>
        <n v="0.17785234899328858"/>
        <n v="-7.7290076335877866E-2"/>
        <n v="8.171206225680934E-2"/>
        <n v="9.0909090909090912E-2"/>
        <n v="0.11904761904761904"/>
        <n v="0.16780045351473924"/>
        <n v="-2.9345372460496615E-2"/>
        <n v="-1.8801410105757931E-2"/>
        <n v="0.11211573236889692"/>
        <n v="0.14728682170542637"/>
        <n v="0.15432098765432098"/>
        <n v="-9.0909090909090905E-3"/>
        <n v="-3.1830238726790451E-2"/>
        <n v="-5.4945054945054944E-2"/>
        <n v="9.2145015105740177E-2"/>
        <n v="0.26771653543307089"/>
        <n v="0.21830985915492956"/>
        <n v="0.12804878048780488"/>
        <n v="4.7765793528505393E-2"/>
        <n v="7.0707070707070704E-2"/>
        <n v="0.1154639175257732"/>
        <n v="0.11126961483594865"/>
        <n v="0.15745856353591159"/>
        <n v="-1.3296011196641007E-2"/>
        <n v="0.22474226804123712"/>
        <n v="0.13402061855670103"/>
        <n v="7.3786407766990289E-2"/>
        <n v="0.1492094861660079"/>
        <n v="-3.9714867617107942E-2"/>
        <n v="7.7760497667185069E-2"/>
        <n v="-6.4572425828970326E-2"/>
        <n v="0.12802768166089964"/>
        <n v="0.2105997210599721"/>
        <n v="-0.10070671378091872"/>
        <n v="-3.6821705426356592E-2"/>
        <n v="0.27228327228327226"/>
        <n v="5.4755043227665709E-2"/>
        <n v="9.2356687898089165E-2"/>
        <n v="-7.4589127686472814E-2"/>
        <n v="0.31711145996860285"/>
        <n v="5.4979253112033194E-2"/>
        <n v="3.7475345167652857E-2"/>
        <n v="-8.130081300813009E-3"/>
        <n v="7.0826306913996634E-2"/>
        <n v="0.10230179028132992"/>
        <n v="-9.4936708860759497E-3"/>
        <n v="0.21147540983606558"/>
        <n v="2.1634615384615384E-2"/>
        <n v="-5.3941908713692949E-2"/>
        <n v="7.0967741935483872E-2"/>
        <n v="-6.5789473684210523E-2"/>
        <n v="0.20338983050847459"/>
        <n v="0.25543478260869568"/>
        <n v="4.9019607843137254E-2"/>
        <n v="0.13653136531365315"/>
        <n v="0.13934426229508196"/>
        <n v="0.16455696202531644"/>
        <n v="0.1891891891891892"/>
        <n v="-4.6808510638297871E-2"/>
        <n v="0.23214285714285715"/>
        <n v="-1.3793103448275862E-2"/>
        <n v="8.9108910891089105E-2"/>
        <n v="0.15228426395939088"/>
        <n v="0.16346153846153846"/>
        <n v="-6.3218390804597707E-2"/>
        <n v="8.2554517133956382E-2"/>
        <n v="2.6217228464419477E-2"/>
        <n v="0.17365269461077845"/>
        <n v="5.7356608478802994E-2"/>
        <n v="0.1388888888888889"/>
        <n v="1.7241379310344827E-2"/>
        <n v="0.21641791044776118"/>
        <n v="3.292181069958848E-2"/>
        <n v="0.15819209039548024"/>
        <n v="0.15116279069767441"/>
        <n v="6.7307692307692304E-2"/>
        <n v="0.26506024096385544"/>
        <n v="7.7586206896551727E-2"/>
        <n v="0.17959183673469387"/>
        <n v="0.16549295774647887"/>
        <n v="6.1611374407582936E-2"/>
        <n v="0.13112391930835735"/>
        <n v="7.9847908745247151E-2"/>
        <n v="0.15238095238095239"/>
        <n v="2.2328548644338118E-2"/>
        <n v="2.2452504317789293E-2"/>
        <n v="-9.9284436493738817E-2"/>
        <n v="-5.257393209200438E-2"/>
        <n v="-0.13253012048192772"/>
        <n v="-7.7586206896551727E-2"/>
        <n v="3.3264033264033266E-2"/>
        <n v="0.11641221374045801"/>
        <n v="0.1254125412541254"/>
        <n v="5.3691275167785234E-2"/>
        <n v="0.26095617529880477"/>
        <n v="-5.7471264367816091E-3"/>
        <n v="-7.5046904315196998E-3"/>
        <n v="0.19384615384615383"/>
        <n v="-1.4940239043824702E-2"/>
        <n v="-2.6798307475317348E-2"/>
        <n v="5.6652360515021462E-2"/>
        <n v="0.11820083682008369"/>
        <n v="-0.12195121951219512"/>
        <n v="0.21754385964912282"/>
        <n v="-1.8652849740932641E-2"/>
        <n v="-9.6030729833546727E-3"/>
        <n v="1.5432098765432098E-2"/>
        <n v="-5.3856382978723402E-2"/>
        <n v="5.6590752242926153E-2"/>
        <n v="2.7718550106609809E-2"/>
        <n v="0.10236220472440945"/>
        <n v="1.5552099533437015E-2"/>
        <n v="5.4054054054054057E-2"/>
        <n v="0.10209424083769633"/>
        <n v="4.1528239202657809E-2"/>
        <n v="-3.3081285444234401E-2"/>
        <n v="9.5588235294117641E-2"/>
        <n v="0.17400881057268722"/>
        <n v="0.19597989949748743"/>
        <n v="-7.6696165191740412E-2"/>
        <n v="-5.5936073059360727E-2"/>
        <n v="2.6315789473684209E-2"/>
        <n v="0.14779270633397312"/>
        <n v="7.5356415478615074E-2"/>
        <n v="-0.10104011887072809"/>
        <n v="-5.3191489361702128E-2"/>
        <n v="2.3460410557184751E-2"/>
        <n v="0.22137404580152673"/>
        <n v="2.7586206896551724E-2"/>
        <n v="-8.7649402390438252E-2"/>
        <n v="8.2212257100149483E-2"/>
        <n v="-1.4705882352941176E-2"/>
        <n v="9.2999999999999999E-2"/>
        <n v="9.6045197740112997E-2"/>
        <n v="-1.2311901504787962E-2"/>
        <n v="0.10110803324099724"/>
        <n v="0.11799999999999999"/>
        <n v="-5.6000000000000001E-2"/>
        <n v="0.14615384615384616"/>
        <n v="0.16395014381591563"/>
        <n v="0.14185814185814186"/>
        <n v="8.6890243902439018E-2"/>
        <n v="-0.12435233160621761"/>
        <n v="0.16689466484268126"/>
        <n v="1.9031141868512111E-2"/>
        <n v="-2.6565464895635674E-2"/>
        <n v="0.15402843601895735"/>
        <n v="0.13246268656716417"/>
        <n v="0.20820189274447951"/>
        <n v="3.0978934324659233E-2"/>
        <n v="0.22103658536585366"/>
        <n v="-0.12398373983739837"/>
        <n v="-4.0618955512572531E-2"/>
        <n v="0.14741035856573706"/>
        <n v="0.1302170283806344"/>
        <n v="-4.2606516290726815E-2"/>
        <n v="8.7774294670846395E-2"/>
        <n v="8.1210191082802544E-2"/>
        <n v="-4.195804195804196E-2"/>
        <n v="-1.2345679012345678E-2"/>
        <n v="1.9108280254777069E-2"/>
        <n v="-5.2287581699346407E-2"/>
        <n v="6.0773480662983423E-2"/>
        <n v="0.12834224598930483"/>
        <n v="9.5238095238095247E-3"/>
        <n v="0.29749103942652327"/>
        <n v="0.20161290322580644"/>
        <n v="8.5365853658536592E-2"/>
        <n v="0.25165562913907286"/>
        <n v="2.9535864978902954E-2"/>
        <n v="0.26589595375722541"/>
        <n v="0.15384615384615385"/>
        <n v="-4.0540540540540543E-2"/>
        <n v="0.19540229885057472"/>
        <n v="-9.8039215686274508E-2"/>
        <n v="2.6086956521739129E-2"/>
        <n v="6.5326633165829151E-2"/>
        <n v="2.8301886792452831E-2"/>
        <n v="-8.4269662921348312E-2"/>
        <n v="0.12962962962962962"/>
        <n v="-1.9667170953101363E-2"/>
        <n v="2.181818181818182E-2"/>
        <n v="3.4883720930232558E-2"/>
        <n v="0.18765432098765433"/>
        <n v="0.12598425196850394"/>
        <n v="-6.8376068376068383E-2"/>
        <n v="0.16296296296296298"/>
        <n v="1.2096774193548387E-2"/>
        <n v="6.5573770491803282E-2"/>
        <n v="0.16184971098265896"/>
        <n v="-2.8037383177570093E-2"/>
        <n v="0.15976331360946747"/>
        <n v="5.9523809523809521E-2"/>
        <n v="-2.4137931034482758E-2"/>
        <n v="-5.0613496932515337E-2"/>
        <n v="-5.763688760806916E-3"/>
        <n v="0.22111801242236026"/>
        <n v="-5.5555555555555552E-2"/>
        <n v="-8.6687306501547989E-2"/>
        <n v="-0.10427350427350428"/>
        <n v="4.2039355992844363E-2"/>
        <n v="3.2223415682062301E-2"/>
        <n v="-1.1834319526627219E-2"/>
        <n v="-5.7432432432432436E-2"/>
        <n v="-5.2953156822810592E-2"/>
        <n v="-3.4026465028355386E-2"/>
        <n v="0.11764705882352941"/>
        <n v="8.0536912751677847E-2"/>
        <n v="0.21856866537717601"/>
        <n v="-3.4155597722960153E-2"/>
        <n v="-4.553734061930783E-2"/>
        <n v="0.15091463414634146"/>
        <n v="-7.1992110453648922E-2"/>
        <n v="-8.9385474860335198E-2"/>
        <n v="-1.4999999999999999E-2"/>
        <n v="0.30777202072538862"/>
        <n v="-0.33202202989771834"/>
        <n v="0.10732538330494037"/>
        <n v="-0.12588832487309645"/>
        <n v="-7.2818581293157561E-2"/>
        <n v="-1.6203703703703703E-2"/>
        <n v="-8.4745762711864406E-3"/>
        <n v="0.14869390488948425"/>
        <n v="-8.9958158995815898E-2"/>
        <n v="5.7915057915057917E-2"/>
        <n v="6.636500754147813E-2"/>
        <n v="6.4516129032258064E-3"/>
        <n v="-0.10917431192660551"/>
        <n v="1.1538461538461539E-2"/>
        <n v="7.8496406854615813E-2"/>
        <n v="9.8146128680479828E-3"/>
        <n v="-0.2054402290622763"/>
        <n v="2.2831050228310501E-2"/>
        <n v="3.4071550255536627E-3"/>
        <n v="-3.9473684210526314E-2"/>
        <n v="6.7326732673267331E-2"/>
        <n v="-3.5661218424962851E-2"/>
        <n v="5.46875E-2"/>
        <n v="-0.13541666666666666"/>
        <n v="-5.8651026392961877E-3"/>
        <n v="0.17164179104477612"/>
        <n v="2.0134228187919462E-2"/>
        <n v="6.1752988047808766E-2"/>
        <n v="0.1204644412191582"/>
        <n v="-3.9215686274509803E-2"/>
        <n v="6.3E-2"/>
        <n v="1.3850415512465374E-3"/>
        <n v="0.18212593094109683"/>
        <n v="1.2465373961218837E-2"/>
        <n v="0.22376237623762377"/>
        <n v="-5.8252427184466021E-2"/>
        <n v="0.1423076923076923"/>
        <n v="4.5623836126629423E-2"/>
        <n v="2.7158098933074686E-2"/>
        <n v="2.7633851468048358E-2"/>
        <n v="0.17491749174917492"/>
        <n v="2.0519835841313269E-2"/>
        <n v="-0.14117647058823529"/>
        <n v="-9.2105263157894732E-2"/>
        <n v="0.12910798122065728"/>
        <n v="7.0588235294117646E-2"/>
        <n v="0.11041009463722397"/>
        <n v="-5.4678007290400975E-2"/>
        <n v="0.14940828402366865"/>
        <n v="-0.13425468904244817"/>
        <n v="-8.8122605363984668E-2"/>
        <n v="9.5617529880478086E-2"/>
        <n v="1.1345218800648298E-2"/>
        <n v="-1.2406947890818859E-2"/>
        <n v="-5.7911065149948295E-2"/>
        <n v="8.3462132921174659E-2"/>
        <n v="-1.3729977116704805E-2"/>
        <n v="4.4354838709677422E-2"/>
        <n v="-5.7692307692307696E-2"/>
        <n v="0.1270718232044199"/>
        <n v="0.26737967914438504"/>
        <n v="0.25196850393700787"/>
        <n v="-4.1322314049586778E-2"/>
        <n v="9.1503267973856203E-2"/>
        <n v="7.3863636363636367E-2"/>
        <n v="0.17924528301886791"/>
        <n v="-0.19101123595505617"/>
        <n v="0.10714285714285714"/>
        <n v="2.2026431718061675E-2"/>
        <n v="-7.2310405643738973E-2"/>
        <n v="0.21511627906976744"/>
        <n v="2.4691358024691357E-2"/>
        <n v="-7.874015748031496E-3"/>
        <n v="2.8490028490028491E-2"/>
        <n v="7.4074074074074077E-3"/>
        <n v="-7.8125E-3"/>
        <n v="9.2896174863387984E-2"/>
        <n v="5.027932960893855E-2"/>
        <n v="1.8518518518518517E-2"/>
        <n v="0.28654970760233917"/>
        <n v="-4.2372881355932202E-2"/>
        <n v="1.1764705882352941E-2"/>
        <n v="1.0135135135135136E-2"/>
        <n v="-3.0372057706909643E-2"/>
        <n v="5.5714285714285716E-2"/>
        <n v="0.19244823386114496"/>
        <n v="-3.6363636363636362E-2"/>
        <n v="-1.0526315789473684E-2"/>
        <n v="-6.4297800338409469E-2"/>
        <n v="-3.8053097345132743E-2"/>
        <n v="5.8002148227712137E-2"/>
        <n v="-5.1428571428571428E-2"/>
        <n v="-0.12709030100334448"/>
        <n v="3.3932135728542916E-2"/>
        <n v="-2.247191011235955E-2"/>
        <n v="0.15555555555555556"/>
        <n v="-6.5359477124183009E-3"/>
        <n v="0.20696324951644102"/>
        <n v="9.7560975609756101E-2"/>
        <n v="-3.896103896103896E-2"/>
        <n v="-9.7173144876325085E-2"/>
        <n v="9.5522388059701493E-2"/>
        <n v="1.6267942583732056E-2"/>
        <n v="-4.6575342465753428E-2"/>
        <n v="5.0161812297734629E-2"/>
        <n v="0.29846153846153844"/>
        <n v="4.5454545454545456E-2"/>
        <n v="-0.36034618410700237"/>
        <n v="3.1719532554257093E-2"/>
        <n v="-2.6395939086294416E-2"/>
        <n v="-0.14198659354052406"/>
        <n v="-0.11917494270435447"/>
        <n v="-4.8387096774193547E-2"/>
        <n v="-1.0403120936280884E-2"/>
        <n v="-0.18052738336713997"/>
        <n v="-2.2727272727272728E-2"/>
        <n v="4.1853512705530643E-2"/>
        <n v="7.1115973741794306E-2"/>
        <n v="0.16539440203562342"/>
        <n v="0.1111111111111111"/>
        <n v="-4.5413260672116261E-3"/>
        <n v="-8.2397003745318345E-2"/>
        <n v="5.7553956834532377E-2"/>
        <n v="0.18216630196936542"/>
        <n v="6.0897435897435896E-2"/>
        <n v="0.10900473933649289"/>
        <n v="-9.4259390503189225E-2"/>
        <n v="2.2148394241417499E-2"/>
        <n v="-2.8960817717206135E-2"/>
        <n v="5.6569343065693431E-2"/>
        <n v="-2.5000000000000001E-2"/>
        <n v="4.2212518195050945E-2"/>
        <n v="-2.5510204081632654E-2"/>
        <n v="-2.0618556701030927E-2"/>
        <n v="-4.9853372434017593E-2"/>
        <n v="-0.11992263056092843"/>
        <n v="1.0057471264367816E-2"/>
        <n v="-3.3980582524271843E-2"/>
        <n v="-4.3137254901960784E-2"/>
        <n v="0.15516107823800132"/>
        <n v="-7.3974445191661064E-3"/>
        <n v="3.7623762376237622E-2"/>
        <n v="-2.3300970873786409E-2"/>
        <n v="0.19423076923076923"/>
        <n v="0.11705069124423963"/>
        <n v="-6.653992395437262E-3"/>
        <n v="4.4843049327354258E-2"/>
        <n v="-1.2089810017271158E-2"/>
        <n v="0.13268608414239483"/>
        <n v="0.10225763612217796"/>
        <n v="-0.13014827018121911"/>
        <n v="-0.11861313868613138"/>
        <n v="7.5170842824601361E-2"/>
        <n v="-3.4050179211469536E-2"/>
        <n v="9.8918083462132919E-2"/>
        <n v="3.5419126328217238E-3"/>
        <n v="-4.5498547918683449E-2"/>
        <n v="-0.1171003717472119"/>
        <n v="-6.5088757396449703E-2"/>
        <n v="3.2414910858995136E-3"/>
        <n v="-7.5301204819277115E-2"/>
        <n v="0.10046367851622875"/>
        <n v="-8.1447963800904979E-2"/>
        <n v="-9.6774193548387094E-2"/>
        <n v="-0.11801242236024845"/>
        <n v="-0.11949685534591195"/>
        <n v="0.14917127071823205"/>
        <n v="7.8534031413612565E-2"/>
        <n v="-0.1111111111111111"/>
        <n v="7.586206896551724E-2"/>
        <n v="6.097560975609756E-2"/>
        <n v="0.13548387096774195"/>
        <n v="2.8571428571428571E-2"/>
        <n v="0.20555555555555555"/>
        <n v="-8.1481481481481488E-2"/>
        <n v="-1.948051948051948E-2"/>
        <n v="7.8212290502793297E-2"/>
        <n v="-8.4905660377358486E-2"/>
        <n v="-8.4033613445378158E-2"/>
        <n v="0.16585365853658537"/>
        <n v="-9.2592592592592587E-3"/>
        <n v="-3.9325842696629212E-2"/>
        <n v="7.0175438596491224E-2"/>
        <n v="3.5612535612535613E-2"/>
        <n v="-9.0753424657534248E-2"/>
        <n v="0.20903954802259886"/>
        <n v="-2.4213075060532687E-2"/>
        <n v="-7.3929961089494164E-2"/>
        <n v="6.1452513966480445E-2"/>
        <n v="0.12592592592592591"/>
        <n v="3.90625E-2"/>
        <n v="0.10382513661202186"/>
        <n v="-8.3333333333333329E-2"/>
        <n v="-1.8181818181818181E-2"/>
        <n v="0.10227272727272728"/>
        <n v="-6.7796610169491525E-2"/>
        <n v="3.0769230769230771E-2"/>
        <n v="-7.8688524590163941E-2"/>
        <n v="-6.1607813673929375E-2"/>
        <n v="8.5991678224687937E-2"/>
        <n v="0.11700844390832328"/>
        <n v="0.10810810810810811"/>
        <n v="-0.1255639097744361"/>
        <n v="-7.5533661740558297E-2"/>
        <n v="4.119193689745837E-2"/>
        <n v="-0.11783107403545359"/>
        <n v="-0.12222222222222222"/>
        <n v="-1.8211920529801324E-2"/>
        <n v="0.1007905138339921"/>
        <n v="-8.545454545454545E-2"/>
        <n v="1.8867924528301886E-2"/>
        <n v="2.6143790849673203E-2"/>
        <n v="0.25531914893617019"/>
        <n v="-5.6466302367941715E-2"/>
        <n v="0.21153846153846154"/>
        <n v="5.8319039451114926E-2"/>
        <n v="0.128698224852071"/>
        <n v="-4.3680297397769519E-2"/>
        <n v="1.2195121951219513E-2"/>
        <n v="-1.5860428231562252E-3"/>
        <n v="0.1394422310756972"/>
        <n v="-0.38120702826585179"/>
        <n v="9.7244732576985422E-3"/>
        <n v="-0.12130177514792899"/>
        <n v="-2.9250457038391225E-2"/>
        <n v="-0.10452186805040771"/>
        <n v="-1.9169329073482429E-3"/>
        <n v="2.8976175144880875E-2"/>
        <n v="-5.1948051948051951E-2"/>
        <n v="-5.2249637155297533E-2"/>
        <n v="8.2056892778993432E-2"/>
        <n v="0.10687022900763359"/>
        <n v="-8.6071987480438178E-2"/>
        <n v="-5.9964726631393295E-2"/>
        <n v="-3.663003663003663E-3"/>
        <n v="6.4748201438848921E-2"/>
        <n v="-1.3485477178423237E-2"/>
        <n v="7.3394495412844041E-2"/>
        <n v="-0.12594631796283551"/>
        <n v="2.1929824561403508E-2"/>
        <n v="-0.10413223140495868"/>
        <n v="-5.5970149253731345E-2"/>
        <n v="-0.113997113997114"/>
        <n v="-0.02"/>
        <n v="-0.06"/>
        <n v="-1.7094017094017096E-2"/>
        <n v="0.18705035971223022"/>
        <n v="5.2631578947368418E-2"/>
        <n v="-7.7369439071566732E-3"/>
        <n v="7.9658605974395447E-2"/>
        <n v="3.8095238095238099E-2"/>
        <n v="-2.6666666666666668E-2"/>
        <n v="8.6551264980026632E-2"/>
        <n v="4.7337278106508875E-2"/>
        <n v="-8.2399472643375077E-2"/>
        <n v="9.7029702970297033E-2"/>
        <n v="-0.13559322033898305"/>
        <n v="0.12617702448210924"/>
        <n v="0.10046082949308756"/>
        <n v="4.7047970479704798E-2"/>
        <n v="3.1930333817126268E-2"/>
        <n v="-2.4179620034542316E-2"/>
        <n v="0.16998671978751659"/>
        <n v="-2.7199999999999998E-2"/>
        <n v="-9.7472924187725629E-2"/>
        <n v="8.5176991150442471E-2"/>
        <n v="-1.5084294587400177E-2"/>
        <n v="0.10454545454545454"/>
        <n v="-9.3928980526918671E-2"/>
        <n v="-1.6901408450704224E-2"/>
        <n v="-0.16187739463601533"/>
        <n v="-0.10382513661202186"/>
        <n v="-4.7337278106508875E-2"/>
        <n v="2.6771653543307086E-2"/>
        <n v="-0.12226640159045726"/>
        <n v="0.12996941896024464"/>
        <n v="-0.12350597609561753"/>
        <n v="-0.15662650602409639"/>
        <n v="-5.5214723926380369E-2"/>
        <n v="0.16393442622950818"/>
        <n v="0.12953367875647667"/>
        <n v="-2.7522935779816515E-2"/>
        <n v="2.3890784982935155E-2"/>
        <n v="2.2388059701492536E-2"/>
        <n v="0.13095238095238096"/>
        <n v="0.22929936305732485"/>
        <n v="-0.10931174089068826"/>
        <n v="4.3956043956043959E-2"/>
        <n v="-7.5471698113207544E-2"/>
        <n v="0.11602209944751381"/>
        <n v="0.13397129186602871"/>
        <n v="-0.12921348314606743"/>
        <n v="-7.0175438596491224E-2"/>
        <n v="-7.6923076923076927E-2"/>
        <n v="1.8835616438356163E-2"/>
        <n v="5.5865921787709494E-2"/>
        <n v="4.9881235154394299E-2"/>
        <n v="1.9305019305019305E-2"/>
        <n v="-5.4644808743169397E-2"/>
        <n v="0.1037037037037037"/>
        <n v="-6.8441064638783272E-2"/>
        <n v="-5.9139784946236562E-2"/>
        <n v="9.9447513812154692E-2"/>
        <n v="-8.2644628099173556E-3"/>
        <n v="7.9245283018867921E-2"/>
        <n v="4.5901639344262293E-2"/>
        <n v="7.8832116788321166E-2"/>
        <n v="-7.5445816186556922E-2"/>
        <n v="0.18040621266427717"/>
        <n v="-5.4054054054054057E-2"/>
        <n v="-6.7632850241545889E-2"/>
        <n v="-8.59375E-2"/>
        <n v="-2.8340080971659919E-2"/>
        <n v="-0.16666666666666666"/>
        <n v="-0.17704918032786884"/>
        <n v="9.6899224806201549E-3"/>
        <n v="-8.9126559714795012E-3"/>
        <n v="5.7926829268292686E-2"/>
        <n v="3.1847133757961783E-2"/>
        <n v="0.1859582542694497"/>
        <n v="-5.3571428571428572E-3"/>
        <n v="9.9378881987577633E-2"/>
        <n v="-5.0632911392405063E-2"/>
        <n v="1.3445378151260505E-2"/>
        <n v="2.0289855072463767E-2"/>
        <n v="-0.15300546448087432"/>
        <n v="-6.5040650406504072E-2"/>
        <n v="-2.3566378633150041E-3"/>
        <n v="0.11653386454183266"/>
        <n v="-0.42133131618759456"/>
        <n v="9.4488188976377951E-2"/>
        <n v="-6.3829787234042548E-2"/>
        <n v="-0.15922798552472858"/>
        <n v="-2.159827213822894E-2"/>
        <n v="2.729528535980149E-2"/>
        <n v="2.31809401159047E-2"/>
        <n v="-8.2677165354330714E-2"/>
        <n v="-9.5495495495495492E-2"/>
        <n v="-0.10159651669085631"/>
        <n v="1.0940919037199124E-2"/>
        <n v="0.12342569269521411"/>
        <n v="-7.0422535211267609E-2"/>
        <n v="-0.19982698961937717"/>
        <n v="-9.3525179856115109E-2"/>
        <n v="-6.4748201438848921E-2"/>
        <n v="-4.8884165781083955E-2"/>
        <n v="-8.2578046324269891E-2"/>
        <n v="4.0178571428571432E-2"/>
        <n v="-9.2911218169304893E-2"/>
        <n v="6.3440860215053768E-2"/>
        <n v="-0.1140495867768595"/>
        <n v="-5.0877192982456139E-2"/>
        <n v="5.4104477611940295E-2"/>
        <n v="-0.10042432814710042"/>
        <n v="-0.13480392156862744"/>
        <n v="-9.7087378640776698E-2"/>
        <n v="-2.3743016759776536E-2"/>
        <n v="0.16901408450704225"/>
        <n v="-6.369426751592357E-3"/>
        <n v="-1.7069701280227598E-2"/>
        <n v="-6.6037735849056603E-2"/>
        <n v="1.3333333333333334E-2"/>
        <n v="-3.0303030303030304E-2"/>
        <n v="9.4072164948453607E-2"/>
        <n v="-0.10989010989010989"/>
        <n v="3.9215686274509803E-2"/>
        <n v="-9.4269870609981515E-2"/>
        <n v="5.2730696798493411E-2"/>
        <n v="-4.3867502238137866E-2"/>
        <n v="-0.11992619926199262"/>
        <n v="3.6619718309859155E-2"/>
        <n v="-7.9447322970639028E-2"/>
        <n v="-2.8213166144200628E-2"/>
        <n v="0.12089356110381078"/>
        <n v="-5.9006211180124224E-2"/>
        <n v="-0.10554561717352415"/>
        <n v="-4.2918454935622317E-3"/>
        <n v="-4.4815465729349739E-2"/>
        <n v="-0.10309278350515463"/>
        <n v="0.15607734806629833"/>
        <n v="-0.15900383141762453"/>
        <n v="2.7322404371584699E-2"/>
        <n v="-2.1484375E-2"/>
        <n v="6.1162079510703363E-2"/>
        <n v="0.10948905109489052"/>
        <n v="-0.1141732283464567"/>
        <n v="-2.8231797919762259E-2"/>
        <n v="-9.6982758620689655E-2"/>
        <n v="-2.734375E-2"/>
        <n v="-0.12048192771084337"/>
        <n v="0.16939890710382513"/>
        <n v="0.13471502590673576"/>
        <n v="-0.16216216216216217"/>
        <n v="7.0234113712374577E-2"/>
        <n v="0.10144927536231885"/>
        <n v="-1.1494252873563218E-2"/>
        <n v="0.13664596273291926"/>
        <n v="7.874015748031496E-3"/>
        <n v="-5.4945054945054949E-3"/>
        <n v="7.9136690647482008E-2"/>
        <n v="3.7267080745341616E-2"/>
        <n v="0.19158878504672897"/>
        <n v="-7.2072072072072071E-2"/>
        <n v="3.5087719298245612E-2"/>
        <n v="1.9363762102351315E-2"/>
        <n v="-8.2191780821917804E-2"/>
        <n v="-2.5345622119815669E-2"/>
        <n v="-0.10305343511450382"/>
        <n v="-4.0983606557377046E-2"/>
        <n v="0.13138686131386862"/>
        <n v="-2.6615969581749048E-2"/>
        <n v="-6.4516129032258063E-2"/>
        <n v="5.4054054054054057E-3"/>
        <n v="1.6528925619834711E-2"/>
        <n v="1.8656716417910446E-2"/>
        <n v="2.922077922077922E-2"/>
      </sharedItems>
    </cacheField>
    <cacheField name="Status Kinerja" numFmtId="0">
      <sharedItems count="2">
        <s v="Mencapai target"/>
        <s v="Tidak mencapai target"/>
      </sharedItems>
    </cacheField>
    <cacheField name="Jumlah Kompetitor" numFmtId="0">
      <sharedItems containsSemiMixedTypes="0" containsString="0" containsNumber="1" containsInteger="1" minValue="3" maxValue="968"/>
    </cacheField>
    <cacheField name="vs Kompetitor" numFmtId="0">
      <sharedItems containsSemiMixedTypes="0" containsString="0" containsNumber="1" containsInteger="1" minValue="-122" maxValue="1985"/>
    </cacheField>
    <cacheField name="Status vs Kompetito" numFmtId="0">
      <sharedItems count="2">
        <s v="Win"/>
        <s v="Lose"/>
      </sharedItems>
    </cacheField>
    <cacheField name="Days (Tanggal)" numFmtId="0" databaseField="0">
      <fieldGroup base="5">
        <rangePr groupBy="days" startDate="2021-01-01T00:00:00" endDate="2021-12-02T00:00:00"/>
        <groupItems count="368">
          <s v="&lt;1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1"/>
        </groupItems>
      </fieldGroup>
    </cacheField>
    <cacheField name="Months (Tanggal)" numFmtId="0" databaseField="0">
      <fieldGroup base="5">
        <rangePr groupBy="months" startDate="2021-01-01T00:00:00" endDate="2021-12-02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hurrahman" refreshedDate="46043.762862962962" createdVersion="7" refreshedVersion="7" minRefreshableVersion="3" recordCount="143" xr:uid="{44CBD28F-039D-434C-90A5-0E88EA00CA2D}">
  <cacheSource type="worksheet">
    <worksheetSource name="Table3"/>
  </cacheSource>
  <cacheFields count="10">
    <cacheField name="Tanggal" numFmtId="14">
      <sharedItems containsSemiMixedTypes="0" containsNonDate="0" containsDate="1" containsString="0" minDate="2021-01-01T00:00:00" maxDate="2022-03-28T00:00:00" count="129">
        <d v="2021-01-01T00:00:00"/>
        <d v="2021-01-02T00:00:00"/>
        <d v="2021-01-05T00:00:00"/>
        <d v="2021-01-06T00:00:00"/>
        <d v="2021-01-07T00:00:00"/>
        <d v="2021-01-08T00:00:00"/>
        <d v="2021-01-12T00:00:00"/>
        <d v="2021-01-18T00:00:00"/>
        <d v="2021-01-22T00:00:00"/>
        <d v="2021-01-23T00:00:00"/>
        <d v="2021-01-26T00:00:00"/>
        <d v="2021-01-27T00:00:00"/>
        <d v="2021-02-06T00:00:00"/>
        <d v="2021-02-11T00:00:00"/>
        <d v="2021-02-12T00:00:00"/>
        <d v="2021-02-16T00:00:00"/>
        <d v="2021-02-25T00:00:00"/>
        <d v="2021-02-26T00:00:00"/>
        <d v="2021-03-06T00:00:00"/>
        <d v="2021-03-07T00:00:00"/>
        <d v="2021-03-14T00:00:00"/>
        <d v="2021-03-26T00:00:00"/>
        <d v="2021-04-03T00:00:00"/>
        <d v="2021-04-06T00:00:00"/>
        <d v="2021-04-10T00:00:00"/>
        <d v="2021-04-11T00:00:00"/>
        <d v="2021-04-13T00:00:00"/>
        <d v="2021-04-23T00:00:00"/>
        <d v="2021-04-25T00:00:00"/>
        <d v="2021-05-02T00:00:00"/>
        <d v="2021-05-04T00:00:00"/>
        <d v="2021-05-05T00:00:00"/>
        <d v="2021-05-06T00:00:00"/>
        <d v="2021-05-12T00:00:00"/>
        <d v="2021-05-16T00:00:00"/>
        <d v="2021-05-18T00:00:00"/>
        <d v="2021-05-19T00:00:00"/>
        <d v="2021-05-23T00:00:00"/>
        <d v="2021-05-25T00:00:00"/>
        <d v="2021-05-27T00:00:00"/>
        <d v="2021-05-28T00:00:00"/>
        <d v="2021-06-02T00:00:00"/>
        <d v="2021-06-05T00:00:00"/>
        <d v="2021-06-09T00:00:00"/>
        <d v="2021-06-10T00:00:00"/>
        <d v="2021-06-12T00:00:00"/>
        <d v="2021-06-15T00:00:00"/>
        <d v="2021-06-21T00:00:00"/>
        <d v="2021-06-22T00:00:00"/>
        <d v="2021-06-25T00:00:00"/>
        <d v="2021-06-29T00:00:00"/>
        <d v="2021-06-30T00:00:00"/>
        <d v="2021-07-01T00:00:00"/>
        <d v="2021-07-03T00:00:00"/>
        <d v="2021-07-06T00:00:00"/>
        <d v="2021-07-09T00:00:00"/>
        <d v="2021-07-14T00:00:00"/>
        <d v="2021-07-18T00:00:00"/>
        <d v="2021-07-20T00:00:00"/>
        <d v="2021-08-03T00:00:00"/>
        <d v="2021-08-11T00:00:00"/>
        <d v="2021-08-15T00:00:00"/>
        <d v="2021-08-16T00:00:00"/>
        <d v="2021-08-21T00:00:00"/>
        <d v="2021-08-25T00:00:00"/>
        <d v="2021-08-26T00:00:00"/>
        <d v="2021-08-30T00:00:00"/>
        <d v="2021-09-01T00:00:00"/>
        <d v="2021-09-07T00:00:00"/>
        <d v="2021-09-12T00:00:00"/>
        <d v="2021-09-16T00:00:00"/>
        <d v="2021-09-24T00:00:00"/>
        <d v="2021-09-27T00:00:00"/>
        <d v="2021-09-30T00:00:00"/>
        <d v="2021-10-01T00:00:00"/>
        <d v="2021-10-03T00:00:00"/>
        <d v="2021-10-04T00:00:00"/>
        <d v="2021-10-06T00:00:00"/>
        <d v="2021-10-07T00:00:00"/>
        <d v="2021-10-09T00:00:00"/>
        <d v="2021-10-16T00:00:00"/>
        <d v="2021-10-17T00:00:00"/>
        <d v="2021-10-21T00:00:00"/>
        <d v="2021-10-29T00:00:00"/>
        <d v="2021-10-30T00:00:00"/>
        <d v="2021-11-03T00:00:00"/>
        <d v="2021-11-07T00:00:00"/>
        <d v="2021-11-15T00:00:00"/>
        <d v="2021-11-19T00:00:00"/>
        <d v="2021-11-22T00:00:00"/>
        <d v="2021-11-25T00:00:00"/>
        <d v="2021-11-26T00:00:00"/>
        <d v="2021-11-29T00:00:00"/>
        <d v="2021-12-03T00:00:00"/>
        <d v="2021-12-08T00:00:00"/>
        <d v="2021-12-21T00:00:00"/>
        <d v="2021-12-23T00:00:00"/>
        <d v="2022-01-19T00:00:00"/>
        <d v="2022-03-09T00:00:00"/>
        <d v="2022-02-04T00:00:00"/>
        <d v="2022-02-20T00:00:00"/>
        <d v="2022-03-19T00:00:00"/>
        <d v="2022-03-12T00:00:00"/>
        <d v="2022-02-08T00:00:00"/>
        <d v="2022-02-27T00:00:00"/>
        <d v="2022-03-23T00:00:00"/>
        <d v="2022-02-16T00:00:00"/>
        <d v="2022-03-25T00:00:00"/>
        <d v="2022-01-16T00:00:00"/>
        <d v="2022-01-31T00:00:00"/>
        <d v="2022-03-26T00:00:00"/>
        <d v="2022-01-25T00:00:00"/>
        <d v="2022-03-11T00:00:00"/>
        <d v="2022-02-23T00:00:00"/>
        <d v="2022-01-03T00:00:00"/>
        <d v="2022-01-17T00:00:00"/>
        <d v="2022-01-14T00:00:00"/>
        <d v="2022-01-08T00:00:00"/>
        <d v="2022-03-06T00:00:00"/>
        <d v="2022-03-16T00:00:00"/>
        <d v="2022-03-27T00:00:00"/>
        <d v="2022-01-26T00:00:00"/>
        <d v="2022-02-05T00:00:00"/>
        <d v="2022-01-02T00:00:00"/>
        <d v="2022-02-11T00:00:00"/>
        <d v="2022-03-10T00:00:00"/>
        <d v="2022-03-18T00:00:00"/>
        <d v="2022-01-07T00:00:00"/>
        <d v="2022-01-21T00:00:00"/>
      </sharedItems>
      <fieldGroup par="9" base="0">
        <rangePr groupBy="months" startDate="2021-01-01T00:00:00" endDate="2022-03-28T00:00:00"/>
        <groupItems count="14">
          <s v="&lt;01/0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03/2022"/>
        </groupItems>
      </fieldGroup>
    </cacheField>
    <cacheField name="Produk" numFmtId="0">
      <sharedItems/>
    </cacheField>
    <cacheField name="Region" numFmtId="0">
      <sharedItems count="4">
        <s v="Sulawesi"/>
        <s v="Kalimantan"/>
        <s v="Jawa"/>
        <s v="Sumatra"/>
      </sharedItems>
    </cacheField>
    <cacheField name="SalesRep" numFmtId="0">
      <sharedItems/>
    </cacheField>
    <cacheField name="Customer" numFmtId="0">
      <sharedItems/>
    </cacheField>
    <cacheField name="Units" numFmtId="0">
      <sharedItems containsSemiMixedTypes="0" containsString="0" containsNumber="1" containsInteger="1" minValue="6" maxValue="65"/>
    </cacheField>
    <cacheField name="Penjualan" numFmtId="0">
      <sharedItems containsSemiMixedTypes="0" containsString="0" containsNumber="1" minValue="1717950" maxValue="75009000"/>
    </cacheField>
    <cacheField name="COGS" numFmtId="0">
      <sharedItems containsSemiMixedTypes="0" containsString="0" containsNumber="1" minValue="723900" maxValue="14143950"/>
    </cacheField>
    <cacheField name="Quarters" numFmtId="0" databaseField="0">
      <fieldGroup base="0">
        <rangePr groupBy="quarters" startDate="2021-01-01T00:00:00" endDate="2022-03-28T00:00:00"/>
        <groupItems count="6">
          <s v="&lt;01/01/2021"/>
          <s v="Qtr1"/>
          <s v="Qtr2"/>
          <s v="Qtr3"/>
          <s v="Qtr4"/>
          <s v="&gt;28/03/2022"/>
        </groupItems>
      </fieldGroup>
    </cacheField>
    <cacheField name="Years" numFmtId="0" databaseField="0">
      <fieldGroup base="0">
        <rangePr groupBy="years" startDate="2021-01-01T00:00:00" endDate="2022-03-28T00:00:00"/>
        <groupItems count="4">
          <s v="&lt;01/01/2021"/>
          <s v="2021"/>
          <s v="2022"/>
          <s v="&gt;28/03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4">
  <r>
    <n v="1"/>
    <x v="0"/>
    <x v="0"/>
    <x v="0"/>
    <n v="2021"/>
    <x v="0"/>
    <x v="0"/>
    <n v="1172"/>
    <n v="70"/>
    <x v="0"/>
    <x v="0"/>
    <n v="340"/>
    <n v="902"/>
    <x v="0"/>
  </r>
  <r>
    <n v="2"/>
    <x v="0"/>
    <x v="1"/>
    <x v="0"/>
    <n v="2021"/>
    <x v="0"/>
    <x v="1"/>
    <n v="633"/>
    <n v="44"/>
    <x v="1"/>
    <x v="0"/>
    <n v="142"/>
    <n v="535"/>
    <x v="0"/>
  </r>
  <r>
    <n v="3"/>
    <x v="0"/>
    <x v="2"/>
    <x v="0"/>
    <n v="2021"/>
    <x v="0"/>
    <x v="2"/>
    <n v="760"/>
    <n v="76"/>
    <x v="2"/>
    <x v="0"/>
    <n v="220"/>
    <n v="616"/>
    <x v="0"/>
  </r>
  <r>
    <n v="4"/>
    <x v="0"/>
    <x v="3"/>
    <x v="0"/>
    <n v="2021"/>
    <x v="0"/>
    <x v="3"/>
    <n v="103"/>
    <n v="0"/>
    <x v="3"/>
    <x v="0"/>
    <n v="143"/>
    <n v="-40"/>
    <x v="1"/>
  </r>
  <r>
    <n v="5"/>
    <x v="0"/>
    <x v="4"/>
    <x v="0"/>
    <n v="2021"/>
    <x v="0"/>
    <x v="4"/>
    <n v="1043"/>
    <n v="73"/>
    <x v="4"/>
    <x v="0"/>
    <n v="10"/>
    <n v="1106"/>
    <x v="0"/>
  </r>
  <r>
    <n v="6"/>
    <x v="0"/>
    <x v="5"/>
    <x v="0"/>
    <n v="2021"/>
    <x v="0"/>
    <x v="5"/>
    <n v="555"/>
    <n v="-34"/>
    <x v="5"/>
    <x v="1"/>
    <n v="27"/>
    <n v="494"/>
    <x v="0"/>
  </r>
  <r>
    <n v="7"/>
    <x v="0"/>
    <x v="6"/>
    <x v="0"/>
    <n v="2021"/>
    <x v="0"/>
    <x v="6"/>
    <n v="1004"/>
    <n v="-11"/>
    <x v="6"/>
    <x v="1"/>
    <n v="126"/>
    <n v="867"/>
    <x v="0"/>
  </r>
  <r>
    <n v="8"/>
    <x v="0"/>
    <x v="7"/>
    <x v="0"/>
    <n v="2021"/>
    <x v="0"/>
    <x v="7"/>
    <n v="878"/>
    <n v="-53"/>
    <x v="7"/>
    <x v="1"/>
    <n v="96"/>
    <n v="729"/>
    <x v="0"/>
  </r>
  <r>
    <n v="9"/>
    <x v="0"/>
    <x v="8"/>
    <x v="0"/>
    <n v="2021"/>
    <x v="0"/>
    <x v="8"/>
    <n v="148"/>
    <n v="-5"/>
    <x v="8"/>
    <x v="1"/>
    <n v="102"/>
    <n v="41"/>
    <x v="0"/>
  </r>
  <r>
    <n v="10"/>
    <x v="0"/>
    <x v="9"/>
    <x v="0"/>
    <n v="2021"/>
    <x v="0"/>
    <x v="9"/>
    <n v="512"/>
    <n v="-16"/>
    <x v="9"/>
    <x v="1"/>
    <n v="101"/>
    <n v="395"/>
    <x v="0"/>
  </r>
  <r>
    <n v="11"/>
    <x v="0"/>
    <x v="10"/>
    <x v="0"/>
    <n v="2021"/>
    <x v="0"/>
    <x v="10"/>
    <n v="478"/>
    <n v="-5"/>
    <x v="10"/>
    <x v="1"/>
    <n v="220"/>
    <n v="253"/>
    <x v="0"/>
  </r>
  <r>
    <n v="12"/>
    <x v="0"/>
    <x v="11"/>
    <x v="0"/>
    <n v="2021"/>
    <x v="0"/>
    <x v="11"/>
    <n v="494"/>
    <n v="-5"/>
    <x v="11"/>
    <x v="1"/>
    <n v="257"/>
    <n v="232"/>
    <x v="0"/>
  </r>
  <r>
    <n v="13"/>
    <x v="0"/>
    <x v="12"/>
    <x v="0"/>
    <n v="2021"/>
    <x v="0"/>
    <x v="12"/>
    <n v="292"/>
    <n v="35"/>
    <x v="12"/>
    <x v="0"/>
    <n v="206"/>
    <n v="121"/>
    <x v="0"/>
  </r>
  <r>
    <n v="14"/>
    <x v="0"/>
    <x v="13"/>
    <x v="0"/>
    <n v="2021"/>
    <x v="0"/>
    <x v="13"/>
    <n v="135"/>
    <n v="4"/>
    <x v="13"/>
    <x v="0"/>
    <n v="138"/>
    <n v="1"/>
    <x v="0"/>
  </r>
  <r>
    <n v="15"/>
    <x v="0"/>
    <x v="14"/>
    <x v="0"/>
    <n v="2021"/>
    <x v="0"/>
    <x v="14"/>
    <n v="505"/>
    <n v="50"/>
    <x v="14"/>
    <x v="0"/>
    <n v="3"/>
    <n v="552"/>
    <x v="0"/>
  </r>
  <r>
    <n v="16"/>
    <x v="0"/>
    <x v="15"/>
    <x v="0"/>
    <n v="2021"/>
    <x v="0"/>
    <x v="15"/>
    <n v="476"/>
    <n v="42"/>
    <x v="15"/>
    <x v="0"/>
    <n v="103"/>
    <n v="415"/>
    <x v="0"/>
  </r>
  <r>
    <n v="17"/>
    <x v="0"/>
    <x v="16"/>
    <x v="0"/>
    <n v="2021"/>
    <x v="0"/>
    <x v="16"/>
    <n v="154"/>
    <n v="15"/>
    <x v="16"/>
    <x v="0"/>
    <n v="128"/>
    <n v="41"/>
    <x v="0"/>
  </r>
  <r>
    <n v="18"/>
    <x v="0"/>
    <x v="17"/>
    <x v="0"/>
    <n v="2021"/>
    <x v="0"/>
    <x v="17"/>
    <n v="74"/>
    <n v="0"/>
    <x v="3"/>
    <x v="0"/>
    <n v="86"/>
    <n v="-12"/>
    <x v="1"/>
  </r>
  <r>
    <n v="19"/>
    <x v="0"/>
    <x v="18"/>
    <x v="0"/>
    <n v="2021"/>
    <x v="0"/>
    <x v="5"/>
    <n v="543"/>
    <n v="-22"/>
    <x v="17"/>
    <x v="1"/>
    <n v="151"/>
    <n v="370"/>
    <x v="0"/>
  </r>
  <r>
    <n v="20"/>
    <x v="1"/>
    <x v="19"/>
    <x v="0"/>
    <n v="2021"/>
    <x v="0"/>
    <x v="18"/>
    <n v="619"/>
    <n v="74"/>
    <x v="18"/>
    <x v="0"/>
    <n v="267"/>
    <n v="426"/>
    <x v="0"/>
  </r>
  <r>
    <n v="21"/>
    <x v="1"/>
    <x v="20"/>
    <x v="0"/>
    <n v="2021"/>
    <x v="0"/>
    <x v="19"/>
    <n v="904"/>
    <n v="-10"/>
    <x v="19"/>
    <x v="1"/>
    <n v="292"/>
    <n v="602"/>
    <x v="0"/>
  </r>
  <r>
    <n v="22"/>
    <x v="1"/>
    <x v="21"/>
    <x v="0"/>
    <n v="2021"/>
    <x v="0"/>
    <x v="20"/>
    <n v="669"/>
    <n v="-41"/>
    <x v="20"/>
    <x v="1"/>
    <n v="118"/>
    <n v="510"/>
    <x v="0"/>
  </r>
  <r>
    <n v="23"/>
    <x v="1"/>
    <x v="22"/>
    <x v="0"/>
    <n v="2021"/>
    <x v="0"/>
    <x v="21"/>
    <n v="1036"/>
    <n v="113"/>
    <x v="21"/>
    <x v="0"/>
    <n v="175"/>
    <n v="974"/>
    <x v="0"/>
  </r>
  <r>
    <n v="24"/>
    <x v="1"/>
    <x v="23"/>
    <x v="0"/>
    <n v="2021"/>
    <x v="0"/>
    <x v="22"/>
    <n v="960"/>
    <n v="115"/>
    <x v="22"/>
    <x v="0"/>
    <n v="80"/>
    <n v="995"/>
    <x v="0"/>
  </r>
  <r>
    <n v="25"/>
    <x v="1"/>
    <x v="24"/>
    <x v="0"/>
    <n v="2021"/>
    <x v="0"/>
    <x v="23"/>
    <n v="19"/>
    <n v="2"/>
    <x v="23"/>
    <x v="0"/>
    <n v="109"/>
    <n v="-88"/>
    <x v="1"/>
  </r>
  <r>
    <n v="26"/>
    <x v="2"/>
    <x v="25"/>
    <x v="0"/>
    <n v="2021"/>
    <x v="0"/>
    <x v="24"/>
    <n v="1140"/>
    <n v="-46"/>
    <x v="24"/>
    <x v="1"/>
    <n v="165"/>
    <n v="929"/>
    <x v="0"/>
  </r>
  <r>
    <n v="27"/>
    <x v="2"/>
    <x v="26"/>
    <x v="0"/>
    <n v="2021"/>
    <x v="0"/>
    <x v="25"/>
    <n v="583"/>
    <n v="40"/>
    <x v="25"/>
    <x v="0"/>
    <n v="49"/>
    <n v="574"/>
    <x v="0"/>
  </r>
  <r>
    <n v="28"/>
    <x v="3"/>
    <x v="27"/>
    <x v="0"/>
    <n v="2021"/>
    <x v="0"/>
    <x v="26"/>
    <n v="818"/>
    <n v="8"/>
    <x v="26"/>
    <x v="0"/>
    <n v="25"/>
    <n v="801"/>
    <x v="0"/>
  </r>
  <r>
    <n v="29"/>
    <x v="3"/>
    <x v="28"/>
    <x v="0"/>
    <n v="2021"/>
    <x v="0"/>
    <x v="27"/>
    <n v="1350"/>
    <n v="13"/>
    <x v="27"/>
    <x v="0"/>
    <n v="193"/>
    <n v="1170"/>
    <x v="0"/>
  </r>
  <r>
    <n v="30"/>
    <x v="3"/>
    <x v="29"/>
    <x v="0"/>
    <n v="2021"/>
    <x v="0"/>
    <x v="28"/>
    <n v="1188"/>
    <n v="-48"/>
    <x v="28"/>
    <x v="1"/>
    <n v="307"/>
    <n v="833"/>
    <x v="0"/>
  </r>
  <r>
    <n v="31"/>
    <x v="3"/>
    <x v="30"/>
    <x v="0"/>
    <n v="2021"/>
    <x v="0"/>
    <x v="29"/>
    <n v="1422"/>
    <n v="14"/>
    <x v="29"/>
    <x v="0"/>
    <n v="22"/>
    <n v="1414"/>
    <x v="0"/>
  </r>
  <r>
    <n v="32"/>
    <x v="3"/>
    <x v="31"/>
    <x v="0"/>
    <n v="2021"/>
    <x v="0"/>
    <x v="30"/>
    <n v="1404"/>
    <n v="98"/>
    <x v="30"/>
    <x v="0"/>
    <n v="171"/>
    <n v="1331"/>
    <x v="0"/>
  </r>
  <r>
    <n v="33"/>
    <x v="3"/>
    <x v="32"/>
    <x v="0"/>
    <n v="2021"/>
    <x v="0"/>
    <x v="31"/>
    <n v="421"/>
    <n v="-9"/>
    <x v="31"/>
    <x v="1"/>
    <n v="124"/>
    <n v="288"/>
    <x v="0"/>
  </r>
  <r>
    <n v="34"/>
    <x v="3"/>
    <x v="33"/>
    <x v="0"/>
    <n v="2021"/>
    <x v="0"/>
    <x v="32"/>
    <n v="480"/>
    <n v="14"/>
    <x v="32"/>
    <x v="0"/>
    <n v="72"/>
    <n v="422"/>
    <x v="0"/>
  </r>
  <r>
    <n v="35"/>
    <x v="3"/>
    <x v="34"/>
    <x v="0"/>
    <n v="2021"/>
    <x v="0"/>
    <x v="33"/>
    <n v="623"/>
    <n v="-13"/>
    <x v="33"/>
    <x v="1"/>
    <n v="130"/>
    <n v="480"/>
    <x v="0"/>
  </r>
  <r>
    <n v="36"/>
    <x v="3"/>
    <x v="35"/>
    <x v="0"/>
    <n v="2021"/>
    <x v="0"/>
    <x v="34"/>
    <n v="774"/>
    <n v="61"/>
    <x v="34"/>
    <x v="0"/>
    <n v="42"/>
    <n v="793"/>
    <x v="0"/>
  </r>
  <r>
    <n v="37"/>
    <x v="2"/>
    <x v="36"/>
    <x v="0"/>
    <n v="2021"/>
    <x v="0"/>
    <x v="35"/>
    <n v="372"/>
    <n v="29"/>
    <x v="35"/>
    <x v="0"/>
    <n v="19"/>
    <n v="382"/>
    <x v="0"/>
  </r>
  <r>
    <n v="38"/>
    <x v="2"/>
    <x v="37"/>
    <x v="0"/>
    <n v="2021"/>
    <x v="0"/>
    <x v="36"/>
    <n v="561"/>
    <n v="33"/>
    <x v="36"/>
    <x v="0"/>
    <n v="57"/>
    <n v="537"/>
    <x v="0"/>
  </r>
  <r>
    <n v="39"/>
    <x v="2"/>
    <x v="38"/>
    <x v="0"/>
    <n v="2021"/>
    <x v="0"/>
    <x v="37"/>
    <n v="988"/>
    <n v="-50"/>
    <x v="37"/>
    <x v="1"/>
    <n v="18"/>
    <n v="920"/>
    <x v="0"/>
  </r>
  <r>
    <n v="40"/>
    <x v="2"/>
    <x v="39"/>
    <x v="0"/>
    <n v="2021"/>
    <x v="0"/>
    <x v="38"/>
    <n v="225"/>
    <n v="15"/>
    <x v="38"/>
    <x v="0"/>
    <n v="24"/>
    <n v="216"/>
    <x v="0"/>
  </r>
  <r>
    <n v="41"/>
    <x v="3"/>
    <x v="40"/>
    <x v="0"/>
    <n v="2021"/>
    <x v="0"/>
    <x v="39"/>
    <n v="117"/>
    <n v="11"/>
    <x v="39"/>
    <x v="0"/>
    <n v="30"/>
    <n v="98"/>
    <x v="0"/>
  </r>
  <r>
    <n v="42"/>
    <x v="3"/>
    <x v="41"/>
    <x v="0"/>
    <n v="2021"/>
    <x v="0"/>
    <x v="40"/>
    <n v="1630"/>
    <n v="195"/>
    <x v="40"/>
    <x v="0"/>
    <n v="172"/>
    <n v="1653"/>
    <x v="0"/>
  </r>
  <r>
    <n v="43"/>
    <x v="3"/>
    <x v="42"/>
    <x v="0"/>
    <n v="2021"/>
    <x v="0"/>
    <x v="41"/>
    <n v="840"/>
    <n v="67"/>
    <x v="41"/>
    <x v="0"/>
    <n v="115"/>
    <n v="792"/>
    <x v="0"/>
  </r>
  <r>
    <n v="44"/>
    <x v="3"/>
    <x v="43"/>
    <x v="0"/>
    <n v="2021"/>
    <x v="0"/>
    <x v="42"/>
    <n v="181"/>
    <n v="19"/>
    <x v="42"/>
    <x v="0"/>
    <n v="133"/>
    <n v="67"/>
    <x v="0"/>
  </r>
  <r>
    <n v="45"/>
    <x v="3"/>
    <x v="44"/>
    <x v="0"/>
    <n v="2021"/>
    <x v="0"/>
    <x v="43"/>
    <n v="1170"/>
    <n v="-47"/>
    <x v="43"/>
    <x v="1"/>
    <n v="120"/>
    <n v="1003"/>
    <x v="0"/>
  </r>
  <r>
    <n v="46"/>
    <x v="3"/>
    <x v="45"/>
    <x v="0"/>
    <n v="2021"/>
    <x v="0"/>
    <x v="26"/>
    <n v="802"/>
    <n v="24"/>
    <x v="44"/>
    <x v="0"/>
    <n v="69"/>
    <n v="757"/>
    <x v="0"/>
  </r>
  <r>
    <n v="47"/>
    <x v="3"/>
    <x v="46"/>
    <x v="0"/>
    <n v="2021"/>
    <x v="0"/>
    <x v="44"/>
    <n v="538"/>
    <n v="5"/>
    <x v="45"/>
    <x v="0"/>
    <n v="111"/>
    <n v="432"/>
    <x v="0"/>
  </r>
  <r>
    <n v="48"/>
    <x v="3"/>
    <x v="47"/>
    <x v="0"/>
    <n v="2021"/>
    <x v="0"/>
    <x v="45"/>
    <n v="519"/>
    <n v="-11"/>
    <x v="46"/>
    <x v="1"/>
    <n v="91"/>
    <n v="417"/>
    <x v="0"/>
  </r>
  <r>
    <n v="49"/>
    <x v="3"/>
    <x v="48"/>
    <x v="0"/>
    <n v="2021"/>
    <x v="0"/>
    <x v="46"/>
    <n v="445"/>
    <n v="26"/>
    <x v="47"/>
    <x v="0"/>
    <n v="106"/>
    <n v="365"/>
    <x v="0"/>
  </r>
  <r>
    <n v="50"/>
    <x v="3"/>
    <x v="49"/>
    <x v="0"/>
    <n v="2021"/>
    <x v="0"/>
    <x v="47"/>
    <n v="613"/>
    <n v="-7"/>
    <x v="48"/>
    <x v="1"/>
    <n v="107"/>
    <n v="499"/>
    <x v="0"/>
  </r>
  <r>
    <n v="51"/>
    <x v="3"/>
    <x v="50"/>
    <x v="0"/>
    <n v="2021"/>
    <x v="0"/>
    <x v="48"/>
    <n v="332"/>
    <n v="6"/>
    <x v="49"/>
    <x v="0"/>
    <n v="47"/>
    <n v="291"/>
    <x v="0"/>
  </r>
  <r>
    <n v="52"/>
    <x v="3"/>
    <x v="51"/>
    <x v="0"/>
    <n v="2021"/>
    <x v="0"/>
    <x v="49"/>
    <n v="84"/>
    <n v="-4"/>
    <x v="50"/>
    <x v="1"/>
    <n v="45"/>
    <n v="35"/>
    <x v="0"/>
  </r>
  <r>
    <n v="53"/>
    <x v="4"/>
    <x v="52"/>
    <x v="0"/>
    <n v="2021"/>
    <x v="0"/>
    <x v="50"/>
    <n v="624"/>
    <n v="-7"/>
    <x v="51"/>
    <x v="1"/>
    <n v="31"/>
    <n v="586"/>
    <x v="0"/>
  </r>
  <r>
    <n v="54"/>
    <x v="4"/>
    <x v="53"/>
    <x v="0"/>
    <n v="2021"/>
    <x v="0"/>
    <x v="13"/>
    <n v="128"/>
    <n v="11"/>
    <x v="52"/>
    <x v="0"/>
    <n v="60"/>
    <n v="79"/>
    <x v="0"/>
  </r>
  <r>
    <n v="55"/>
    <x v="4"/>
    <x v="54"/>
    <x v="0"/>
    <n v="2021"/>
    <x v="0"/>
    <x v="51"/>
    <n v="132"/>
    <n v="14"/>
    <x v="53"/>
    <x v="0"/>
    <n v="87"/>
    <n v="59"/>
    <x v="0"/>
  </r>
  <r>
    <n v="56"/>
    <x v="4"/>
    <x v="55"/>
    <x v="0"/>
    <n v="2021"/>
    <x v="0"/>
    <x v="52"/>
    <n v="425"/>
    <n v="38"/>
    <x v="54"/>
    <x v="0"/>
    <n v="58"/>
    <n v="405"/>
    <x v="0"/>
  </r>
  <r>
    <n v="57"/>
    <x v="4"/>
    <x v="56"/>
    <x v="0"/>
    <n v="2021"/>
    <x v="0"/>
    <x v="53"/>
    <n v="621"/>
    <n v="62"/>
    <x v="55"/>
    <x v="0"/>
    <n v="61"/>
    <n v="622"/>
    <x v="0"/>
  </r>
  <r>
    <n v="58"/>
    <x v="4"/>
    <x v="57"/>
    <x v="0"/>
    <n v="2021"/>
    <x v="0"/>
    <x v="54"/>
    <n v="187"/>
    <n v="11"/>
    <x v="36"/>
    <x v="0"/>
    <n v="146"/>
    <n v="52"/>
    <x v="0"/>
  </r>
  <r>
    <n v="59"/>
    <x v="4"/>
    <x v="58"/>
    <x v="0"/>
    <n v="2021"/>
    <x v="0"/>
    <x v="55"/>
    <n v="974"/>
    <n v="-30"/>
    <x v="56"/>
    <x v="1"/>
    <n v="83"/>
    <n v="861"/>
    <x v="0"/>
  </r>
  <r>
    <n v="60"/>
    <x v="4"/>
    <x v="59"/>
    <x v="0"/>
    <n v="2021"/>
    <x v="0"/>
    <x v="56"/>
    <n v="619"/>
    <n v="68"/>
    <x v="57"/>
    <x v="0"/>
    <n v="131"/>
    <n v="556"/>
    <x v="0"/>
  </r>
  <r>
    <n v="61"/>
    <x v="4"/>
    <x v="60"/>
    <x v="0"/>
    <n v="2021"/>
    <x v="0"/>
    <x v="57"/>
    <n v="1328"/>
    <n v="132"/>
    <x v="58"/>
    <x v="0"/>
    <n v="60"/>
    <n v="1400"/>
    <x v="0"/>
  </r>
  <r>
    <n v="62"/>
    <x v="4"/>
    <x v="61"/>
    <x v="0"/>
    <n v="2021"/>
    <x v="0"/>
    <x v="58"/>
    <n v="1296"/>
    <n v="77"/>
    <x v="59"/>
    <x v="0"/>
    <n v="141"/>
    <n v="1232"/>
    <x v="0"/>
  </r>
  <r>
    <n v="63"/>
    <x v="4"/>
    <x v="62"/>
    <x v="0"/>
    <n v="2021"/>
    <x v="0"/>
    <x v="59"/>
    <n v="494"/>
    <n v="29"/>
    <x v="60"/>
    <x v="0"/>
    <n v="65"/>
    <n v="458"/>
    <x v="0"/>
  </r>
  <r>
    <n v="64"/>
    <x v="4"/>
    <x v="63"/>
    <x v="0"/>
    <n v="2021"/>
    <x v="0"/>
    <x v="60"/>
    <n v="479"/>
    <n v="-20"/>
    <x v="61"/>
    <x v="1"/>
    <n v="57"/>
    <n v="402"/>
    <x v="0"/>
  </r>
  <r>
    <n v="65"/>
    <x v="4"/>
    <x v="64"/>
    <x v="0"/>
    <n v="2021"/>
    <x v="0"/>
    <x v="5"/>
    <n v="487"/>
    <n v="34"/>
    <x v="62"/>
    <x v="0"/>
    <n v="111"/>
    <n v="410"/>
    <x v="0"/>
  </r>
  <r>
    <n v="66"/>
    <x v="4"/>
    <x v="65"/>
    <x v="0"/>
    <n v="2021"/>
    <x v="0"/>
    <x v="61"/>
    <n v="964"/>
    <n v="115"/>
    <x v="63"/>
    <x v="0"/>
    <n v="82"/>
    <n v="997"/>
    <x v="0"/>
  </r>
  <r>
    <n v="67"/>
    <x v="4"/>
    <x v="66"/>
    <x v="0"/>
    <n v="2021"/>
    <x v="0"/>
    <x v="62"/>
    <n v="1016"/>
    <n v="-61"/>
    <x v="64"/>
    <x v="1"/>
    <n v="142"/>
    <n v="813"/>
    <x v="0"/>
  </r>
  <r>
    <n v="68"/>
    <x v="4"/>
    <x v="67"/>
    <x v="0"/>
    <n v="2021"/>
    <x v="0"/>
    <x v="63"/>
    <n v="578"/>
    <n v="57"/>
    <x v="65"/>
    <x v="0"/>
    <n v="62"/>
    <n v="573"/>
    <x v="0"/>
  </r>
  <r>
    <n v="69"/>
    <x v="4"/>
    <x v="68"/>
    <x v="0"/>
    <n v="2021"/>
    <x v="0"/>
    <x v="64"/>
    <n v="516"/>
    <n v="-16"/>
    <x v="66"/>
    <x v="1"/>
    <n v="73"/>
    <n v="427"/>
    <x v="0"/>
  </r>
  <r>
    <n v="70"/>
    <x v="4"/>
    <x v="69"/>
    <x v="0"/>
    <n v="2021"/>
    <x v="0"/>
    <x v="65"/>
    <n v="292"/>
    <n v="14"/>
    <x v="67"/>
    <x v="0"/>
    <n v="43"/>
    <n v="263"/>
    <x v="0"/>
  </r>
  <r>
    <n v="71"/>
    <x v="4"/>
    <x v="70"/>
    <x v="0"/>
    <n v="2021"/>
    <x v="0"/>
    <x v="66"/>
    <n v="691"/>
    <n v="55"/>
    <x v="68"/>
    <x v="0"/>
    <n v="9"/>
    <n v="737"/>
    <x v="0"/>
  </r>
  <r>
    <n v="72"/>
    <x v="4"/>
    <x v="71"/>
    <x v="0"/>
    <n v="2021"/>
    <x v="0"/>
    <x v="67"/>
    <n v="525"/>
    <n v="-11"/>
    <x v="69"/>
    <x v="1"/>
    <n v="28"/>
    <n v="486"/>
    <x v="0"/>
  </r>
  <r>
    <n v="73"/>
    <x v="4"/>
    <x v="72"/>
    <x v="0"/>
    <n v="2021"/>
    <x v="0"/>
    <x v="68"/>
    <n v="483"/>
    <n v="0"/>
    <x v="3"/>
    <x v="0"/>
    <n v="19"/>
    <n v="464"/>
    <x v="0"/>
  </r>
  <r>
    <n v="74"/>
    <x v="4"/>
    <x v="73"/>
    <x v="0"/>
    <n v="2021"/>
    <x v="0"/>
    <x v="69"/>
    <n v="848"/>
    <n v="93"/>
    <x v="70"/>
    <x v="0"/>
    <n v="37"/>
    <n v="904"/>
    <x v="0"/>
  </r>
  <r>
    <n v="75"/>
    <x v="4"/>
    <x v="74"/>
    <x v="0"/>
    <n v="2021"/>
    <x v="0"/>
    <x v="70"/>
    <n v="1004"/>
    <n v="20"/>
    <x v="71"/>
    <x v="0"/>
    <n v="19"/>
    <n v="1005"/>
    <x v="0"/>
  </r>
  <r>
    <n v="76"/>
    <x v="4"/>
    <x v="75"/>
    <x v="0"/>
    <n v="2021"/>
    <x v="0"/>
    <x v="71"/>
    <n v="645"/>
    <n v="-7"/>
    <x v="72"/>
    <x v="1"/>
    <n v="124"/>
    <n v="514"/>
    <x v="0"/>
  </r>
  <r>
    <n v="77"/>
    <x v="4"/>
    <x v="76"/>
    <x v="0"/>
    <n v="2021"/>
    <x v="0"/>
    <x v="72"/>
    <n v="747"/>
    <n v="-38"/>
    <x v="73"/>
    <x v="1"/>
    <n v="83"/>
    <n v="626"/>
    <x v="0"/>
  </r>
  <r>
    <n v="78"/>
    <x v="4"/>
    <x v="77"/>
    <x v="0"/>
    <n v="2021"/>
    <x v="0"/>
    <x v="73"/>
    <n v="636"/>
    <n v="63"/>
    <x v="74"/>
    <x v="0"/>
    <n v="46"/>
    <n v="653"/>
    <x v="0"/>
  </r>
  <r>
    <n v="79"/>
    <x v="4"/>
    <x v="78"/>
    <x v="0"/>
    <n v="2021"/>
    <x v="0"/>
    <x v="74"/>
    <n v="843"/>
    <n v="16"/>
    <x v="75"/>
    <x v="0"/>
    <n v="843"/>
    <n v="16"/>
    <x v="0"/>
  </r>
  <r>
    <n v="80"/>
    <x v="4"/>
    <x v="79"/>
    <x v="0"/>
    <n v="2021"/>
    <x v="0"/>
    <x v="75"/>
    <n v="479"/>
    <n v="-5"/>
    <x v="76"/>
    <x v="1"/>
    <n v="479"/>
    <n v="-5"/>
    <x v="1"/>
  </r>
  <r>
    <n v="81"/>
    <x v="4"/>
    <x v="80"/>
    <x v="0"/>
    <n v="2021"/>
    <x v="0"/>
    <x v="68"/>
    <n v="493"/>
    <n v="-10"/>
    <x v="77"/>
    <x v="1"/>
    <n v="493"/>
    <n v="-10"/>
    <x v="1"/>
  </r>
  <r>
    <n v="82"/>
    <x v="4"/>
    <x v="81"/>
    <x v="0"/>
    <n v="2021"/>
    <x v="0"/>
    <x v="76"/>
    <n v="576"/>
    <n v="23"/>
    <x v="78"/>
    <x v="0"/>
    <n v="576"/>
    <n v="23"/>
    <x v="0"/>
  </r>
  <r>
    <n v="83"/>
    <x v="4"/>
    <x v="82"/>
    <x v="0"/>
    <n v="2021"/>
    <x v="0"/>
    <x v="77"/>
    <n v="391"/>
    <n v="-8"/>
    <x v="79"/>
    <x v="1"/>
    <n v="391"/>
    <n v="-8"/>
    <x v="1"/>
  </r>
  <r>
    <n v="84"/>
    <x v="5"/>
    <x v="83"/>
    <x v="0"/>
    <n v="2021"/>
    <x v="0"/>
    <x v="78"/>
    <n v="939"/>
    <n v="-38"/>
    <x v="80"/>
    <x v="1"/>
    <n v="939"/>
    <n v="-38"/>
    <x v="1"/>
  </r>
  <r>
    <n v="85"/>
    <x v="5"/>
    <x v="84"/>
    <x v="0"/>
    <n v="2021"/>
    <x v="0"/>
    <x v="79"/>
    <n v="600"/>
    <n v="66"/>
    <x v="81"/>
    <x v="0"/>
    <n v="600"/>
    <n v="66"/>
    <x v="0"/>
  </r>
  <r>
    <n v="86"/>
    <x v="5"/>
    <x v="85"/>
    <x v="0"/>
    <n v="2021"/>
    <x v="0"/>
    <x v="80"/>
    <n v="418"/>
    <n v="-9"/>
    <x v="82"/>
    <x v="1"/>
    <n v="418"/>
    <n v="-9"/>
    <x v="1"/>
  </r>
  <r>
    <n v="87"/>
    <x v="5"/>
    <x v="86"/>
    <x v="0"/>
    <n v="2021"/>
    <x v="0"/>
    <x v="81"/>
    <n v="222"/>
    <n v="-5"/>
    <x v="83"/>
    <x v="1"/>
    <n v="222"/>
    <n v="-5"/>
    <x v="1"/>
  </r>
  <r>
    <n v="88"/>
    <x v="5"/>
    <x v="87"/>
    <x v="0"/>
    <n v="2021"/>
    <x v="0"/>
    <x v="82"/>
    <n v="140"/>
    <n v="1"/>
    <x v="84"/>
    <x v="0"/>
    <n v="140"/>
    <n v="1"/>
    <x v="0"/>
  </r>
  <r>
    <n v="89"/>
    <x v="5"/>
    <x v="88"/>
    <x v="0"/>
    <n v="2021"/>
    <x v="0"/>
    <x v="83"/>
    <n v="133"/>
    <n v="2"/>
    <x v="85"/>
    <x v="0"/>
    <n v="133"/>
    <n v="2"/>
    <x v="0"/>
  </r>
  <r>
    <n v="90"/>
    <x v="5"/>
    <x v="89"/>
    <x v="0"/>
    <n v="2021"/>
    <x v="0"/>
    <x v="84"/>
    <n v="184"/>
    <n v="5"/>
    <x v="86"/>
    <x v="0"/>
    <n v="184"/>
    <n v="5"/>
    <x v="0"/>
  </r>
  <r>
    <n v="91"/>
    <x v="5"/>
    <x v="90"/>
    <x v="0"/>
    <n v="2021"/>
    <x v="0"/>
    <x v="85"/>
    <n v="189"/>
    <n v="13"/>
    <x v="87"/>
    <x v="0"/>
    <n v="189"/>
    <n v="13"/>
    <x v="0"/>
  </r>
  <r>
    <n v="92"/>
    <x v="5"/>
    <x v="91"/>
    <x v="0"/>
    <n v="2021"/>
    <x v="0"/>
    <x v="86"/>
    <n v="95"/>
    <n v="-5"/>
    <x v="88"/>
    <x v="1"/>
    <n v="95"/>
    <n v="-5"/>
    <x v="1"/>
  </r>
  <r>
    <n v="93"/>
    <x v="5"/>
    <x v="92"/>
    <x v="0"/>
    <n v="2021"/>
    <x v="0"/>
    <x v="87"/>
    <n v="271"/>
    <n v="32"/>
    <x v="89"/>
    <x v="0"/>
    <n v="271"/>
    <n v="32"/>
    <x v="0"/>
  </r>
  <r>
    <n v="94"/>
    <x v="5"/>
    <x v="93"/>
    <x v="0"/>
    <n v="2021"/>
    <x v="0"/>
    <x v="88"/>
    <n v="126"/>
    <n v="10"/>
    <x v="90"/>
    <x v="0"/>
    <n v="126"/>
    <n v="10"/>
    <x v="0"/>
  </r>
  <r>
    <n v="95"/>
    <x v="5"/>
    <x v="94"/>
    <x v="0"/>
    <n v="2021"/>
    <x v="0"/>
    <x v="89"/>
    <n v="79"/>
    <n v="4"/>
    <x v="91"/>
    <x v="0"/>
    <n v="79"/>
    <n v="4"/>
    <x v="0"/>
  </r>
  <r>
    <n v="96"/>
    <x v="5"/>
    <x v="95"/>
    <x v="0"/>
    <n v="2021"/>
    <x v="0"/>
    <x v="90"/>
    <n v="158"/>
    <n v="12"/>
    <x v="92"/>
    <x v="0"/>
    <n v="158"/>
    <n v="12"/>
    <x v="0"/>
  </r>
  <r>
    <n v="97"/>
    <x v="5"/>
    <x v="96"/>
    <x v="0"/>
    <n v="2021"/>
    <x v="0"/>
    <x v="91"/>
    <n v="212"/>
    <n v="10"/>
    <x v="93"/>
    <x v="0"/>
    <n v="212"/>
    <n v="10"/>
    <x v="0"/>
  </r>
  <r>
    <n v="98"/>
    <x v="5"/>
    <x v="97"/>
    <x v="0"/>
    <n v="2021"/>
    <x v="0"/>
    <x v="92"/>
    <n v="172"/>
    <n v="12"/>
    <x v="94"/>
    <x v="0"/>
    <n v="172"/>
    <n v="12"/>
    <x v="0"/>
  </r>
  <r>
    <n v="99"/>
    <x v="5"/>
    <x v="98"/>
    <x v="0"/>
    <n v="2021"/>
    <x v="0"/>
    <x v="93"/>
    <n v="123"/>
    <n v="3"/>
    <x v="95"/>
    <x v="0"/>
    <n v="123"/>
    <n v="3"/>
    <x v="0"/>
  </r>
  <r>
    <n v="100"/>
    <x v="5"/>
    <x v="99"/>
    <x v="0"/>
    <n v="2021"/>
    <x v="0"/>
    <x v="94"/>
    <n v="137"/>
    <n v="8"/>
    <x v="96"/>
    <x v="0"/>
    <n v="137"/>
    <n v="8"/>
    <x v="0"/>
  </r>
  <r>
    <n v="101"/>
    <x v="5"/>
    <x v="100"/>
    <x v="0"/>
    <n v="2021"/>
    <x v="0"/>
    <x v="95"/>
    <n v="170"/>
    <n v="5"/>
    <x v="97"/>
    <x v="0"/>
    <n v="170"/>
    <n v="5"/>
    <x v="0"/>
  </r>
  <r>
    <n v="102"/>
    <x v="5"/>
    <x v="101"/>
    <x v="0"/>
    <n v="2021"/>
    <x v="0"/>
    <x v="96"/>
    <n v="98"/>
    <n v="-4"/>
    <x v="98"/>
    <x v="1"/>
    <n v="98"/>
    <n v="-4"/>
    <x v="1"/>
  </r>
  <r>
    <n v="103"/>
    <x v="5"/>
    <x v="102"/>
    <x v="0"/>
    <n v="2021"/>
    <x v="0"/>
    <x v="97"/>
    <n v="106"/>
    <n v="-6"/>
    <x v="99"/>
    <x v="1"/>
    <n v="106"/>
    <n v="-6"/>
    <x v="1"/>
  </r>
  <r>
    <n v="104"/>
    <x v="5"/>
    <x v="103"/>
    <x v="0"/>
    <n v="2021"/>
    <x v="0"/>
    <x v="98"/>
    <n v="196"/>
    <n v="17"/>
    <x v="100"/>
    <x v="0"/>
    <n v="196"/>
    <n v="17"/>
    <x v="0"/>
  </r>
  <r>
    <n v="105"/>
    <x v="5"/>
    <x v="104"/>
    <x v="0"/>
    <n v="2021"/>
    <x v="0"/>
    <x v="99"/>
    <n v="108"/>
    <n v="-3"/>
    <x v="101"/>
    <x v="1"/>
    <n v="108"/>
    <n v="-3"/>
    <x v="1"/>
  </r>
  <r>
    <n v="106"/>
    <x v="5"/>
    <x v="105"/>
    <x v="0"/>
    <n v="2021"/>
    <x v="0"/>
    <x v="100"/>
    <n v="157"/>
    <n v="-10"/>
    <x v="102"/>
    <x v="1"/>
    <n v="157"/>
    <n v="-10"/>
    <x v="1"/>
  </r>
  <r>
    <n v="107"/>
    <x v="5"/>
    <x v="106"/>
    <x v="0"/>
    <n v="2021"/>
    <x v="0"/>
    <x v="101"/>
    <n v="50"/>
    <n v="2"/>
    <x v="103"/>
    <x v="0"/>
    <n v="50"/>
    <n v="2"/>
    <x v="0"/>
  </r>
  <r>
    <n v="108"/>
    <x v="6"/>
    <x v="107"/>
    <x v="0"/>
    <n v="2021"/>
    <x v="0"/>
    <x v="102"/>
    <n v="658"/>
    <n v="-40"/>
    <x v="104"/>
    <x v="1"/>
    <n v="658"/>
    <n v="-40"/>
    <x v="1"/>
  </r>
  <r>
    <n v="109"/>
    <x v="6"/>
    <x v="108"/>
    <x v="0"/>
    <n v="2021"/>
    <x v="0"/>
    <x v="103"/>
    <n v="509"/>
    <n v="20"/>
    <x v="105"/>
    <x v="0"/>
    <n v="509"/>
    <n v="20"/>
    <x v="0"/>
  </r>
  <r>
    <n v="110"/>
    <x v="6"/>
    <x v="109"/>
    <x v="0"/>
    <n v="2021"/>
    <x v="0"/>
    <x v="104"/>
    <n v="163"/>
    <n v="16"/>
    <x v="106"/>
    <x v="0"/>
    <n v="163"/>
    <n v="16"/>
    <x v="0"/>
  </r>
  <r>
    <n v="111"/>
    <x v="6"/>
    <x v="110"/>
    <x v="0"/>
    <n v="2021"/>
    <x v="0"/>
    <x v="105"/>
    <n v="424"/>
    <n v="-17"/>
    <x v="107"/>
    <x v="1"/>
    <n v="424"/>
    <n v="-17"/>
    <x v="1"/>
  </r>
  <r>
    <n v="112"/>
    <x v="6"/>
    <x v="111"/>
    <x v="0"/>
    <n v="2021"/>
    <x v="0"/>
    <x v="38"/>
    <n v="240"/>
    <n v="0"/>
    <x v="3"/>
    <x v="0"/>
    <n v="240"/>
    <n v="0"/>
    <x v="1"/>
  </r>
  <r>
    <n v="113"/>
    <x v="6"/>
    <x v="112"/>
    <x v="0"/>
    <n v="2021"/>
    <x v="0"/>
    <x v="106"/>
    <n v="325"/>
    <n v="9"/>
    <x v="108"/>
    <x v="0"/>
    <n v="325"/>
    <n v="9"/>
    <x v="0"/>
  </r>
  <r>
    <n v="114"/>
    <x v="6"/>
    <x v="113"/>
    <x v="0"/>
    <n v="2021"/>
    <x v="0"/>
    <x v="107"/>
    <n v="130"/>
    <n v="7"/>
    <x v="109"/>
    <x v="0"/>
    <n v="130"/>
    <n v="7"/>
    <x v="0"/>
  </r>
  <r>
    <n v="115"/>
    <x v="6"/>
    <x v="114"/>
    <x v="0"/>
    <n v="2021"/>
    <x v="0"/>
    <x v="108"/>
    <n v="213"/>
    <n v="19"/>
    <x v="110"/>
    <x v="0"/>
    <n v="213"/>
    <n v="19"/>
    <x v="0"/>
  </r>
  <r>
    <n v="116"/>
    <x v="6"/>
    <x v="115"/>
    <x v="0"/>
    <n v="2021"/>
    <x v="0"/>
    <x v="109"/>
    <n v="182"/>
    <n v="-6"/>
    <x v="111"/>
    <x v="1"/>
    <n v="182"/>
    <n v="-6"/>
    <x v="1"/>
  </r>
  <r>
    <n v="117"/>
    <x v="6"/>
    <x v="116"/>
    <x v="0"/>
    <n v="2021"/>
    <x v="0"/>
    <x v="110"/>
    <n v="159"/>
    <n v="9"/>
    <x v="112"/>
    <x v="0"/>
    <n v="159"/>
    <n v="9"/>
    <x v="0"/>
  </r>
  <r>
    <n v="118"/>
    <x v="6"/>
    <x v="117"/>
    <x v="0"/>
    <n v="2021"/>
    <x v="0"/>
    <x v="111"/>
    <n v="93"/>
    <n v="11"/>
    <x v="113"/>
    <x v="0"/>
    <n v="93"/>
    <n v="11"/>
    <x v="0"/>
  </r>
  <r>
    <n v="119"/>
    <x v="6"/>
    <x v="118"/>
    <x v="0"/>
    <n v="2021"/>
    <x v="0"/>
    <x v="112"/>
    <n v="167"/>
    <n v="18"/>
    <x v="114"/>
    <x v="0"/>
    <n v="167"/>
    <n v="18"/>
    <x v="0"/>
  </r>
  <r>
    <n v="120"/>
    <x v="6"/>
    <x v="119"/>
    <x v="0"/>
    <n v="2021"/>
    <x v="0"/>
    <x v="113"/>
    <n v="112"/>
    <n v="-5"/>
    <x v="115"/>
    <x v="1"/>
    <n v="112"/>
    <n v="-5"/>
    <x v="1"/>
  </r>
  <r>
    <n v="121"/>
    <x v="6"/>
    <x v="120"/>
    <x v="0"/>
    <n v="2021"/>
    <x v="0"/>
    <x v="114"/>
    <n v="257"/>
    <n v="-11"/>
    <x v="116"/>
    <x v="1"/>
    <n v="257"/>
    <n v="-11"/>
    <x v="1"/>
  </r>
  <r>
    <n v="122"/>
    <x v="6"/>
    <x v="121"/>
    <x v="0"/>
    <n v="2021"/>
    <x v="0"/>
    <x v="115"/>
    <n v="256"/>
    <n v="23"/>
    <x v="117"/>
    <x v="0"/>
    <n v="256"/>
    <n v="23"/>
    <x v="0"/>
  </r>
  <r>
    <n v="123"/>
    <x v="0"/>
    <x v="0"/>
    <x v="1"/>
    <n v="2021"/>
    <x v="1"/>
    <x v="116"/>
    <n v="1242"/>
    <n v="119"/>
    <x v="118"/>
    <x v="0"/>
    <n v="341"/>
    <n v="1020"/>
    <x v="0"/>
  </r>
  <r>
    <n v="124"/>
    <x v="0"/>
    <x v="1"/>
    <x v="1"/>
    <n v="2021"/>
    <x v="1"/>
    <x v="117"/>
    <n v="696"/>
    <n v="-10"/>
    <x v="119"/>
    <x v="1"/>
    <n v="142"/>
    <n v="544"/>
    <x v="0"/>
  </r>
  <r>
    <n v="125"/>
    <x v="0"/>
    <x v="2"/>
    <x v="1"/>
    <n v="2021"/>
    <x v="1"/>
    <x v="118"/>
    <n v="798"/>
    <n v="64"/>
    <x v="120"/>
    <x v="0"/>
    <n v="222"/>
    <n v="640"/>
    <x v="0"/>
  </r>
  <r>
    <n v="126"/>
    <x v="0"/>
    <x v="3"/>
    <x v="1"/>
    <n v="2021"/>
    <x v="1"/>
    <x v="119"/>
    <n v="107"/>
    <n v="1"/>
    <x v="121"/>
    <x v="0"/>
    <n v="141"/>
    <n v="-33"/>
    <x v="1"/>
  </r>
  <r>
    <n v="127"/>
    <x v="0"/>
    <x v="4"/>
    <x v="1"/>
    <n v="2021"/>
    <x v="1"/>
    <x v="120"/>
    <n v="1147"/>
    <n v="-23"/>
    <x v="122"/>
    <x v="1"/>
    <n v="17"/>
    <n v="1107"/>
    <x v="0"/>
  </r>
  <r>
    <n v="128"/>
    <x v="0"/>
    <x v="5"/>
    <x v="1"/>
    <n v="2021"/>
    <x v="1"/>
    <x v="33"/>
    <n v="593"/>
    <n v="17"/>
    <x v="123"/>
    <x v="0"/>
    <n v="32"/>
    <n v="578"/>
    <x v="0"/>
  </r>
  <r>
    <n v="129"/>
    <x v="0"/>
    <x v="6"/>
    <x v="1"/>
    <n v="2021"/>
    <x v="1"/>
    <x v="121"/>
    <n v="1054"/>
    <n v="67"/>
    <x v="124"/>
    <x v="0"/>
    <n v="128"/>
    <n v="993"/>
    <x v="0"/>
  </r>
  <r>
    <n v="130"/>
    <x v="0"/>
    <x v="7"/>
    <x v="1"/>
    <n v="2021"/>
    <x v="1"/>
    <x v="122"/>
    <n v="878"/>
    <n v="41"/>
    <x v="125"/>
    <x v="0"/>
    <n v="97"/>
    <n v="822"/>
    <x v="0"/>
  </r>
  <r>
    <n v="131"/>
    <x v="0"/>
    <x v="8"/>
    <x v="1"/>
    <n v="2021"/>
    <x v="1"/>
    <x v="123"/>
    <n v="152"/>
    <n v="-12"/>
    <x v="126"/>
    <x v="1"/>
    <n v="101"/>
    <n v="39"/>
    <x v="0"/>
  </r>
  <r>
    <n v="132"/>
    <x v="0"/>
    <x v="9"/>
    <x v="1"/>
    <n v="2021"/>
    <x v="1"/>
    <x v="124"/>
    <n v="552"/>
    <n v="2"/>
    <x v="127"/>
    <x v="0"/>
    <n v="103"/>
    <n v="451"/>
    <x v="0"/>
  </r>
  <r>
    <n v="133"/>
    <x v="0"/>
    <x v="10"/>
    <x v="1"/>
    <n v="2021"/>
    <x v="1"/>
    <x v="125"/>
    <n v="482"/>
    <n v="34"/>
    <x v="128"/>
    <x v="0"/>
    <n v="220"/>
    <n v="296"/>
    <x v="0"/>
  </r>
  <r>
    <n v="134"/>
    <x v="0"/>
    <x v="11"/>
    <x v="1"/>
    <n v="2021"/>
    <x v="1"/>
    <x v="126"/>
    <n v="503"/>
    <n v="56"/>
    <x v="129"/>
    <x v="0"/>
    <n v="257"/>
    <n v="302"/>
    <x v="0"/>
  </r>
  <r>
    <n v="135"/>
    <x v="0"/>
    <x v="12"/>
    <x v="1"/>
    <n v="2021"/>
    <x v="1"/>
    <x v="127"/>
    <n v="300"/>
    <n v="23"/>
    <x v="130"/>
    <x v="0"/>
    <n v="213"/>
    <n v="110"/>
    <x v="0"/>
  </r>
  <r>
    <n v="136"/>
    <x v="0"/>
    <x v="13"/>
    <x v="1"/>
    <n v="2021"/>
    <x v="1"/>
    <x v="128"/>
    <n v="148"/>
    <n v="18"/>
    <x v="131"/>
    <x v="0"/>
    <n v="139"/>
    <n v="27"/>
    <x v="0"/>
  </r>
  <r>
    <n v="137"/>
    <x v="0"/>
    <x v="14"/>
    <x v="1"/>
    <n v="2021"/>
    <x v="1"/>
    <x v="129"/>
    <n v="525"/>
    <n v="107"/>
    <x v="132"/>
    <x v="0"/>
    <n v="5"/>
    <n v="627"/>
    <x v="0"/>
  </r>
  <r>
    <n v="138"/>
    <x v="0"/>
    <x v="15"/>
    <x v="1"/>
    <n v="2021"/>
    <x v="1"/>
    <x v="33"/>
    <n v="523"/>
    <n v="87"/>
    <x v="133"/>
    <x v="0"/>
    <n v="108"/>
    <n v="502"/>
    <x v="0"/>
  </r>
  <r>
    <n v="139"/>
    <x v="0"/>
    <x v="16"/>
    <x v="1"/>
    <n v="2021"/>
    <x v="1"/>
    <x v="130"/>
    <n v="157"/>
    <n v="40"/>
    <x v="134"/>
    <x v="0"/>
    <n v="126"/>
    <n v="71"/>
    <x v="0"/>
  </r>
  <r>
    <n v="140"/>
    <x v="0"/>
    <x v="17"/>
    <x v="1"/>
    <n v="2021"/>
    <x v="1"/>
    <x v="131"/>
    <n v="75"/>
    <n v="4"/>
    <x v="135"/>
    <x v="0"/>
    <n v="87"/>
    <n v="-8"/>
    <x v="1"/>
  </r>
  <r>
    <n v="141"/>
    <x v="0"/>
    <x v="18"/>
    <x v="1"/>
    <n v="2021"/>
    <x v="1"/>
    <x v="125"/>
    <n v="570"/>
    <n v="-54"/>
    <x v="136"/>
    <x v="1"/>
    <n v="155"/>
    <n v="361"/>
    <x v="0"/>
  </r>
  <r>
    <n v="142"/>
    <x v="1"/>
    <x v="19"/>
    <x v="1"/>
    <n v="2021"/>
    <x v="1"/>
    <x v="132"/>
    <n v="625"/>
    <n v="67"/>
    <x v="137"/>
    <x v="0"/>
    <n v="269"/>
    <n v="423"/>
    <x v="0"/>
  </r>
  <r>
    <n v="143"/>
    <x v="1"/>
    <x v="20"/>
    <x v="1"/>
    <n v="2021"/>
    <x v="1"/>
    <x v="133"/>
    <n v="976"/>
    <n v="84"/>
    <x v="138"/>
    <x v="0"/>
    <n v="293"/>
    <n v="767"/>
    <x v="0"/>
  </r>
  <r>
    <n v="144"/>
    <x v="1"/>
    <x v="21"/>
    <x v="1"/>
    <n v="2021"/>
    <x v="1"/>
    <x v="134"/>
    <n v="702"/>
    <n v="-28"/>
    <x v="139"/>
    <x v="1"/>
    <n v="125"/>
    <n v="549"/>
    <x v="0"/>
  </r>
  <r>
    <n v="145"/>
    <x v="1"/>
    <x v="22"/>
    <x v="1"/>
    <n v="2021"/>
    <x v="1"/>
    <x v="135"/>
    <n v="1098"/>
    <n v="96"/>
    <x v="140"/>
    <x v="0"/>
    <n v="178"/>
    <n v="1016"/>
    <x v="0"/>
  </r>
  <r>
    <n v="146"/>
    <x v="1"/>
    <x v="23"/>
    <x v="1"/>
    <n v="2021"/>
    <x v="1"/>
    <x v="133"/>
    <n v="960"/>
    <n v="100"/>
    <x v="141"/>
    <x v="0"/>
    <n v="80"/>
    <n v="980"/>
    <x v="0"/>
  </r>
  <r>
    <n v="147"/>
    <x v="1"/>
    <x v="24"/>
    <x v="1"/>
    <n v="2021"/>
    <x v="1"/>
    <x v="136"/>
    <n v="20"/>
    <n v="3"/>
    <x v="142"/>
    <x v="0"/>
    <n v="115"/>
    <n v="-92"/>
    <x v="1"/>
  </r>
  <r>
    <n v="148"/>
    <x v="2"/>
    <x v="25"/>
    <x v="1"/>
    <n v="2021"/>
    <x v="1"/>
    <x v="137"/>
    <n v="1162"/>
    <n v="61"/>
    <x v="143"/>
    <x v="0"/>
    <n v="164"/>
    <n v="1059"/>
    <x v="0"/>
  </r>
  <r>
    <n v="149"/>
    <x v="2"/>
    <x v="26"/>
    <x v="1"/>
    <n v="2021"/>
    <x v="1"/>
    <x v="138"/>
    <n v="583"/>
    <n v="117"/>
    <x v="144"/>
    <x v="0"/>
    <n v="54"/>
    <n v="646"/>
    <x v="0"/>
  </r>
  <r>
    <n v="150"/>
    <x v="3"/>
    <x v="27"/>
    <x v="1"/>
    <n v="2021"/>
    <x v="1"/>
    <x v="139"/>
    <n v="883"/>
    <n v="-59"/>
    <x v="145"/>
    <x v="1"/>
    <n v="32"/>
    <n v="792"/>
    <x v="0"/>
  </r>
  <r>
    <n v="151"/>
    <x v="3"/>
    <x v="28"/>
    <x v="1"/>
    <n v="2021"/>
    <x v="1"/>
    <x v="140"/>
    <n v="1458"/>
    <n v="107"/>
    <x v="146"/>
    <x v="0"/>
    <n v="196"/>
    <n v="1369"/>
    <x v="0"/>
  </r>
  <r>
    <n v="152"/>
    <x v="3"/>
    <x v="29"/>
    <x v="1"/>
    <n v="2021"/>
    <x v="1"/>
    <x v="141"/>
    <n v="1259"/>
    <n v="53"/>
    <x v="147"/>
    <x v="0"/>
    <n v="312"/>
    <n v="1000"/>
    <x v="0"/>
  </r>
  <r>
    <n v="153"/>
    <x v="3"/>
    <x v="30"/>
    <x v="1"/>
    <n v="2021"/>
    <x v="1"/>
    <x v="142"/>
    <n v="1521"/>
    <n v="53"/>
    <x v="148"/>
    <x v="0"/>
    <n v="27"/>
    <n v="1547"/>
    <x v="0"/>
  </r>
  <r>
    <n v="154"/>
    <x v="3"/>
    <x v="31"/>
    <x v="1"/>
    <n v="2021"/>
    <x v="1"/>
    <x v="143"/>
    <n v="1516"/>
    <n v="-3"/>
    <x v="149"/>
    <x v="1"/>
    <n v="174"/>
    <n v="1339"/>
    <x v="0"/>
  </r>
  <r>
    <n v="155"/>
    <x v="3"/>
    <x v="32"/>
    <x v="1"/>
    <n v="2021"/>
    <x v="1"/>
    <x v="144"/>
    <n v="429"/>
    <n v="-2"/>
    <x v="150"/>
    <x v="1"/>
    <n v="123"/>
    <n v="304"/>
    <x v="0"/>
  </r>
  <r>
    <n v="156"/>
    <x v="3"/>
    <x v="33"/>
    <x v="1"/>
    <n v="2021"/>
    <x v="1"/>
    <x v="145"/>
    <n v="499"/>
    <n v="80"/>
    <x v="151"/>
    <x v="0"/>
    <n v="70"/>
    <n v="509"/>
    <x v="0"/>
  </r>
  <r>
    <n v="157"/>
    <x v="3"/>
    <x v="34"/>
    <x v="1"/>
    <n v="2021"/>
    <x v="1"/>
    <x v="146"/>
    <n v="666"/>
    <n v="51"/>
    <x v="152"/>
    <x v="0"/>
    <n v="135"/>
    <n v="582"/>
    <x v="0"/>
  </r>
  <r>
    <n v="158"/>
    <x v="3"/>
    <x v="35"/>
    <x v="1"/>
    <n v="2021"/>
    <x v="1"/>
    <x v="147"/>
    <n v="820"/>
    <n v="130"/>
    <x v="153"/>
    <x v="0"/>
    <n v="45"/>
    <n v="905"/>
    <x v="0"/>
  </r>
  <r>
    <n v="159"/>
    <x v="2"/>
    <x v="36"/>
    <x v="1"/>
    <n v="2021"/>
    <x v="1"/>
    <x v="148"/>
    <n v="379"/>
    <n v="73"/>
    <x v="154"/>
    <x v="0"/>
    <n v="21"/>
    <n v="431"/>
    <x v="0"/>
  </r>
  <r>
    <n v="160"/>
    <x v="2"/>
    <x v="37"/>
    <x v="1"/>
    <n v="2021"/>
    <x v="1"/>
    <x v="149"/>
    <n v="611"/>
    <n v="-13"/>
    <x v="155"/>
    <x v="1"/>
    <n v="62"/>
    <n v="536"/>
    <x v="0"/>
  </r>
  <r>
    <n v="161"/>
    <x v="2"/>
    <x v="38"/>
    <x v="1"/>
    <n v="2021"/>
    <x v="1"/>
    <x v="150"/>
    <n v="1027"/>
    <n v="55"/>
    <x v="156"/>
    <x v="0"/>
    <n v="20"/>
    <n v="1062"/>
    <x v="0"/>
  </r>
  <r>
    <n v="162"/>
    <x v="2"/>
    <x v="39"/>
    <x v="1"/>
    <n v="2021"/>
    <x v="1"/>
    <x v="151"/>
    <n v="245"/>
    <n v="20"/>
    <x v="157"/>
    <x v="0"/>
    <n v="30"/>
    <n v="235"/>
    <x v="0"/>
  </r>
  <r>
    <n v="163"/>
    <x v="3"/>
    <x v="40"/>
    <x v="1"/>
    <n v="2021"/>
    <x v="1"/>
    <x v="152"/>
    <n v="126"/>
    <n v="8"/>
    <x v="158"/>
    <x v="0"/>
    <n v="28"/>
    <n v="106"/>
    <x v="0"/>
  </r>
  <r>
    <n v="164"/>
    <x v="3"/>
    <x v="41"/>
    <x v="1"/>
    <n v="2021"/>
    <x v="1"/>
    <x v="153"/>
    <n v="1744"/>
    <n v="247"/>
    <x v="159"/>
    <x v="0"/>
    <n v="179"/>
    <n v="1812"/>
    <x v="0"/>
  </r>
  <r>
    <n v="165"/>
    <x v="3"/>
    <x v="42"/>
    <x v="1"/>
    <n v="2021"/>
    <x v="1"/>
    <x v="154"/>
    <n v="865"/>
    <n v="193"/>
    <x v="160"/>
    <x v="0"/>
    <n v="114"/>
    <n v="944"/>
    <x v="0"/>
  </r>
  <r>
    <n v="166"/>
    <x v="3"/>
    <x v="43"/>
    <x v="1"/>
    <n v="2021"/>
    <x v="1"/>
    <x v="155"/>
    <n v="188"/>
    <n v="20"/>
    <x v="161"/>
    <x v="0"/>
    <n v="136"/>
    <n v="72"/>
    <x v="0"/>
  </r>
  <r>
    <n v="167"/>
    <x v="3"/>
    <x v="44"/>
    <x v="1"/>
    <n v="2021"/>
    <x v="1"/>
    <x v="156"/>
    <n v="1228"/>
    <n v="-94"/>
    <x v="162"/>
    <x v="1"/>
    <n v="122"/>
    <n v="1012"/>
    <x v="0"/>
  </r>
  <r>
    <n v="168"/>
    <x v="3"/>
    <x v="45"/>
    <x v="1"/>
    <n v="2021"/>
    <x v="1"/>
    <x v="157"/>
    <n v="802"/>
    <n v="169"/>
    <x v="163"/>
    <x v="0"/>
    <n v="75"/>
    <n v="896"/>
    <x v="0"/>
  </r>
  <r>
    <n v="169"/>
    <x v="3"/>
    <x v="46"/>
    <x v="1"/>
    <n v="2021"/>
    <x v="1"/>
    <x v="158"/>
    <n v="548"/>
    <n v="78"/>
    <x v="164"/>
    <x v="0"/>
    <n v="109"/>
    <n v="517"/>
    <x v="0"/>
  </r>
  <r>
    <n v="170"/>
    <x v="3"/>
    <x v="47"/>
    <x v="1"/>
    <n v="2021"/>
    <x v="1"/>
    <x v="159"/>
    <n v="544"/>
    <n v="-42"/>
    <x v="165"/>
    <x v="1"/>
    <n v="89"/>
    <n v="413"/>
    <x v="0"/>
  </r>
  <r>
    <n v="171"/>
    <x v="3"/>
    <x v="48"/>
    <x v="1"/>
    <n v="2021"/>
    <x v="1"/>
    <x v="160"/>
    <n v="467"/>
    <n v="10"/>
    <x v="166"/>
    <x v="0"/>
    <n v="112"/>
    <n v="365"/>
    <x v="0"/>
  </r>
  <r>
    <n v="172"/>
    <x v="3"/>
    <x v="49"/>
    <x v="1"/>
    <n v="2021"/>
    <x v="1"/>
    <x v="161"/>
    <n v="668"/>
    <n v="53"/>
    <x v="167"/>
    <x v="0"/>
    <n v="112"/>
    <n v="609"/>
    <x v="0"/>
  </r>
  <r>
    <n v="173"/>
    <x v="3"/>
    <x v="50"/>
    <x v="1"/>
    <n v="2021"/>
    <x v="1"/>
    <x v="162"/>
    <n v="355"/>
    <n v="14"/>
    <x v="168"/>
    <x v="0"/>
    <n v="45"/>
    <n v="324"/>
    <x v="0"/>
  </r>
  <r>
    <n v="174"/>
    <x v="3"/>
    <x v="51"/>
    <x v="1"/>
    <n v="2021"/>
    <x v="1"/>
    <x v="163"/>
    <n v="89"/>
    <n v="-1"/>
    <x v="169"/>
    <x v="1"/>
    <n v="51"/>
    <n v="37"/>
    <x v="0"/>
  </r>
  <r>
    <n v="175"/>
    <x v="4"/>
    <x v="52"/>
    <x v="1"/>
    <n v="2021"/>
    <x v="1"/>
    <x v="164"/>
    <n v="636"/>
    <n v="-7"/>
    <x v="170"/>
    <x v="1"/>
    <n v="37"/>
    <n v="592"/>
    <x v="0"/>
  </r>
  <r>
    <n v="176"/>
    <x v="4"/>
    <x v="53"/>
    <x v="1"/>
    <n v="2021"/>
    <x v="1"/>
    <x v="8"/>
    <n v="129"/>
    <n v="14"/>
    <x v="171"/>
    <x v="0"/>
    <n v="60"/>
    <n v="83"/>
    <x v="0"/>
  </r>
  <r>
    <n v="177"/>
    <x v="4"/>
    <x v="54"/>
    <x v="1"/>
    <n v="2021"/>
    <x v="1"/>
    <x v="165"/>
    <n v="138"/>
    <n v="15"/>
    <x v="172"/>
    <x v="0"/>
    <n v="88"/>
    <n v="65"/>
    <x v="0"/>
  </r>
  <r>
    <n v="178"/>
    <x v="4"/>
    <x v="55"/>
    <x v="1"/>
    <n v="2021"/>
    <x v="1"/>
    <x v="159"/>
    <n v="454"/>
    <n v="48"/>
    <x v="173"/>
    <x v="0"/>
    <n v="63"/>
    <n v="439"/>
    <x v="0"/>
  </r>
  <r>
    <n v="179"/>
    <x v="4"/>
    <x v="56"/>
    <x v="1"/>
    <n v="2021"/>
    <x v="1"/>
    <x v="166"/>
    <n v="658"/>
    <n v="111"/>
    <x v="174"/>
    <x v="0"/>
    <n v="59"/>
    <n v="710"/>
    <x v="0"/>
  </r>
  <r>
    <n v="180"/>
    <x v="4"/>
    <x v="57"/>
    <x v="1"/>
    <n v="2021"/>
    <x v="1"/>
    <x v="85"/>
    <n v="188"/>
    <n v="14"/>
    <x v="175"/>
    <x v="0"/>
    <n v="148"/>
    <n v="54"/>
    <x v="0"/>
  </r>
  <r>
    <n v="181"/>
    <x v="4"/>
    <x v="58"/>
    <x v="1"/>
    <n v="2021"/>
    <x v="1"/>
    <x v="167"/>
    <n v="993"/>
    <n v="102"/>
    <x v="176"/>
    <x v="0"/>
    <n v="86"/>
    <n v="1009"/>
    <x v="0"/>
  </r>
  <r>
    <n v="182"/>
    <x v="4"/>
    <x v="59"/>
    <x v="1"/>
    <n v="2021"/>
    <x v="1"/>
    <x v="168"/>
    <n v="680"/>
    <n v="16"/>
    <x v="177"/>
    <x v="0"/>
    <n v="130"/>
    <n v="566"/>
    <x v="0"/>
  </r>
  <r>
    <n v="183"/>
    <x v="4"/>
    <x v="60"/>
    <x v="1"/>
    <n v="2021"/>
    <x v="1"/>
    <x v="169"/>
    <n v="1420"/>
    <n v="193"/>
    <x v="178"/>
    <x v="0"/>
    <n v="65"/>
    <n v="1548"/>
    <x v="0"/>
  </r>
  <r>
    <n v="184"/>
    <x v="4"/>
    <x v="61"/>
    <x v="1"/>
    <n v="2021"/>
    <x v="1"/>
    <x v="170"/>
    <n v="1360"/>
    <n v="67"/>
    <x v="179"/>
    <x v="0"/>
    <n v="141"/>
    <n v="1286"/>
    <x v="0"/>
  </r>
  <r>
    <n v="185"/>
    <x v="4"/>
    <x v="62"/>
    <x v="1"/>
    <n v="2021"/>
    <x v="1"/>
    <x v="171"/>
    <n v="518"/>
    <n v="104"/>
    <x v="180"/>
    <x v="0"/>
    <n v="67"/>
    <n v="555"/>
    <x v="0"/>
  </r>
  <r>
    <n v="186"/>
    <x v="4"/>
    <x v="63"/>
    <x v="1"/>
    <n v="2021"/>
    <x v="1"/>
    <x v="172"/>
    <n v="507"/>
    <n v="-29"/>
    <x v="181"/>
    <x v="1"/>
    <n v="59"/>
    <n v="419"/>
    <x v="0"/>
  </r>
  <r>
    <n v="187"/>
    <x v="4"/>
    <x v="64"/>
    <x v="1"/>
    <n v="2021"/>
    <x v="1"/>
    <x v="173"/>
    <n v="516"/>
    <n v="11"/>
    <x v="182"/>
    <x v="0"/>
    <n v="111"/>
    <n v="416"/>
    <x v="0"/>
  </r>
  <r>
    <n v="188"/>
    <x v="4"/>
    <x v="65"/>
    <x v="1"/>
    <n v="2021"/>
    <x v="1"/>
    <x v="121"/>
    <n v="983"/>
    <n v="138"/>
    <x v="183"/>
    <x v="0"/>
    <n v="82"/>
    <n v="1039"/>
    <x v="0"/>
  </r>
  <r>
    <n v="189"/>
    <x v="4"/>
    <x v="66"/>
    <x v="1"/>
    <n v="2021"/>
    <x v="1"/>
    <x v="174"/>
    <n v="1016"/>
    <n v="-47"/>
    <x v="184"/>
    <x v="1"/>
    <n v="149"/>
    <n v="820"/>
    <x v="0"/>
  </r>
  <r>
    <n v="190"/>
    <x v="4"/>
    <x v="67"/>
    <x v="1"/>
    <n v="2021"/>
    <x v="1"/>
    <x v="164"/>
    <n v="618"/>
    <n v="11"/>
    <x v="185"/>
    <x v="0"/>
    <n v="66"/>
    <n v="563"/>
    <x v="0"/>
  </r>
  <r>
    <n v="191"/>
    <x v="4"/>
    <x v="68"/>
    <x v="1"/>
    <n v="2021"/>
    <x v="1"/>
    <x v="175"/>
    <n v="562"/>
    <n v="-31"/>
    <x v="186"/>
    <x v="1"/>
    <n v="75"/>
    <n v="456"/>
    <x v="0"/>
  </r>
  <r>
    <n v="192"/>
    <x v="4"/>
    <x v="69"/>
    <x v="1"/>
    <n v="2021"/>
    <x v="1"/>
    <x v="176"/>
    <n v="321"/>
    <n v="-14"/>
    <x v="187"/>
    <x v="1"/>
    <n v="43"/>
    <n v="264"/>
    <x v="0"/>
  </r>
  <r>
    <n v="193"/>
    <x v="4"/>
    <x v="70"/>
    <x v="1"/>
    <n v="2021"/>
    <x v="1"/>
    <x v="177"/>
    <n v="718"/>
    <n v="156"/>
    <x v="188"/>
    <x v="0"/>
    <n v="10"/>
    <n v="864"/>
    <x v="0"/>
  </r>
  <r>
    <n v="194"/>
    <x v="4"/>
    <x v="71"/>
    <x v="1"/>
    <n v="2021"/>
    <x v="1"/>
    <x v="178"/>
    <n v="561"/>
    <n v="-26"/>
    <x v="189"/>
    <x v="1"/>
    <n v="32"/>
    <n v="503"/>
    <x v="0"/>
  </r>
  <r>
    <n v="195"/>
    <x v="4"/>
    <x v="72"/>
    <x v="1"/>
    <n v="2021"/>
    <x v="1"/>
    <x v="179"/>
    <n v="507"/>
    <n v="61"/>
    <x v="190"/>
    <x v="0"/>
    <n v="18"/>
    <n v="550"/>
    <x v="0"/>
  </r>
  <r>
    <n v="196"/>
    <x v="4"/>
    <x v="73"/>
    <x v="1"/>
    <n v="2021"/>
    <x v="1"/>
    <x v="180"/>
    <n v="848"/>
    <n v="191"/>
    <x v="191"/>
    <x v="0"/>
    <n v="37"/>
    <n v="1002"/>
    <x v="0"/>
  </r>
  <r>
    <n v="197"/>
    <x v="4"/>
    <x v="74"/>
    <x v="1"/>
    <n v="2021"/>
    <x v="1"/>
    <x v="181"/>
    <n v="1044"/>
    <n v="156"/>
    <x v="192"/>
    <x v="0"/>
    <n v="18"/>
    <n v="1182"/>
    <x v="0"/>
  </r>
  <r>
    <n v="198"/>
    <x v="4"/>
    <x v="75"/>
    <x v="1"/>
    <n v="2021"/>
    <x v="1"/>
    <x v="182"/>
    <n v="664"/>
    <n v="88"/>
    <x v="193"/>
    <x v="0"/>
    <n v="123"/>
    <n v="629"/>
    <x v="0"/>
  </r>
  <r>
    <n v="199"/>
    <x v="4"/>
    <x v="76"/>
    <x v="1"/>
    <n v="2021"/>
    <x v="1"/>
    <x v="183"/>
    <n v="784"/>
    <n v="-3"/>
    <x v="194"/>
    <x v="1"/>
    <n v="86"/>
    <n v="695"/>
    <x v="0"/>
  </r>
  <r>
    <n v="200"/>
    <x v="4"/>
    <x v="77"/>
    <x v="1"/>
    <n v="2021"/>
    <x v="1"/>
    <x v="184"/>
    <n v="680"/>
    <n v="23"/>
    <x v="195"/>
    <x v="0"/>
    <n v="51"/>
    <n v="652"/>
    <x v="0"/>
  </r>
  <r>
    <n v="201"/>
    <x v="4"/>
    <x v="78"/>
    <x v="1"/>
    <n v="2021"/>
    <x v="1"/>
    <x v="185"/>
    <n v="927"/>
    <n v="38"/>
    <x v="196"/>
    <x v="0"/>
    <n v="844"/>
    <n v="121"/>
    <x v="0"/>
  </r>
  <r>
    <n v="202"/>
    <x v="4"/>
    <x v="79"/>
    <x v="1"/>
    <n v="2021"/>
    <x v="1"/>
    <x v="186"/>
    <n v="498"/>
    <n v="41"/>
    <x v="197"/>
    <x v="0"/>
    <n v="477"/>
    <n v="62"/>
    <x v="0"/>
  </r>
  <r>
    <n v="203"/>
    <x v="4"/>
    <x v="80"/>
    <x v="1"/>
    <n v="2021"/>
    <x v="1"/>
    <x v="187"/>
    <n v="502"/>
    <n v="2"/>
    <x v="198"/>
    <x v="0"/>
    <n v="500"/>
    <n v="4"/>
    <x v="0"/>
  </r>
  <r>
    <n v="204"/>
    <x v="4"/>
    <x v="81"/>
    <x v="1"/>
    <n v="2021"/>
    <x v="1"/>
    <x v="184"/>
    <n v="576"/>
    <n v="127"/>
    <x v="199"/>
    <x v="0"/>
    <n v="582"/>
    <n v="121"/>
    <x v="0"/>
  </r>
  <r>
    <n v="205"/>
    <x v="4"/>
    <x v="82"/>
    <x v="1"/>
    <n v="2021"/>
    <x v="1"/>
    <x v="188"/>
    <n v="426"/>
    <n v="-42"/>
    <x v="200"/>
    <x v="1"/>
    <n v="393"/>
    <n v="-9"/>
    <x v="1"/>
  </r>
  <r>
    <n v="206"/>
    <x v="5"/>
    <x v="83"/>
    <x v="1"/>
    <n v="2021"/>
    <x v="1"/>
    <x v="189"/>
    <n v="939"/>
    <n v="-2"/>
    <x v="201"/>
    <x v="1"/>
    <n v="943"/>
    <n v="-6"/>
    <x v="1"/>
  </r>
  <r>
    <n v="207"/>
    <x v="5"/>
    <x v="84"/>
    <x v="1"/>
    <n v="2021"/>
    <x v="1"/>
    <x v="190"/>
    <n v="618"/>
    <n v="44"/>
    <x v="202"/>
    <x v="0"/>
    <n v="602"/>
    <n v="60"/>
    <x v="0"/>
  </r>
  <r>
    <n v="208"/>
    <x v="5"/>
    <x v="85"/>
    <x v="1"/>
    <n v="2021"/>
    <x v="1"/>
    <x v="191"/>
    <n v="430"/>
    <n v="10"/>
    <x v="203"/>
    <x v="0"/>
    <n v="424"/>
    <n v="16"/>
    <x v="0"/>
  </r>
  <r>
    <n v="209"/>
    <x v="5"/>
    <x v="86"/>
    <x v="1"/>
    <n v="2021"/>
    <x v="1"/>
    <x v="192"/>
    <n v="244"/>
    <n v="-11"/>
    <x v="204"/>
    <x v="1"/>
    <n v="229"/>
    <n v="4"/>
    <x v="0"/>
  </r>
  <r>
    <n v="210"/>
    <x v="5"/>
    <x v="87"/>
    <x v="1"/>
    <n v="2021"/>
    <x v="1"/>
    <x v="165"/>
    <n v="151"/>
    <n v="2"/>
    <x v="205"/>
    <x v="0"/>
    <n v="144"/>
    <n v="9"/>
    <x v="0"/>
  </r>
  <r>
    <n v="211"/>
    <x v="5"/>
    <x v="88"/>
    <x v="1"/>
    <n v="2021"/>
    <x v="1"/>
    <x v="193"/>
    <n v="146"/>
    <n v="15"/>
    <x v="206"/>
    <x v="0"/>
    <n v="132"/>
    <n v="29"/>
    <x v="0"/>
  </r>
  <r>
    <n v="212"/>
    <x v="5"/>
    <x v="89"/>
    <x v="1"/>
    <n v="2021"/>
    <x v="1"/>
    <x v="194"/>
    <n v="184"/>
    <n v="28"/>
    <x v="207"/>
    <x v="0"/>
    <n v="191"/>
    <n v="21"/>
    <x v="0"/>
  </r>
  <r>
    <n v="213"/>
    <x v="5"/>
    <x v="90"/>
    <x v="1"/>
    <n v="2021"/>
    <x v="1"/>
    <x v="91"/>
    <n v="196"/>
    <n v="26"/>
    <x v="208"/>
    <x v="0"/>
    <n v="190"/>
    <n v="32"/>
    <x v="0"/>
  </r>
  <r>
    <n v="214"/>
    <x v="5"/>
    <x v="91"/>
    <x v="1"/>
    <n v="2021"/>
    <x v="1"/>
    <x v="163"/>
    <n v="103"/>
    <n v="-15"/>
    <x v="209"/>
    <x v="1"/>
    <n v="96"/>
    <n v="-8"/>
    <x v="1"/>
  </r>
  <r>
    <n v="215"/>
    <x v="5"/>
    <x v="92"/>
    <x v="1"/>
    <n v="2021"/>
    <x v="1"/>
    <x v="195"/>
    <n v="289"/>
    <n v="40"/>
    <x v="210"/>
    <x v="0"/>
    <n v="276"/>
    <n v="53"/>
    <x v="0"/>
  </r>
  <r>
    <n v="216"/>
    <x v="5"/>
    <x v="93"/>
    <x v="1"/>
    <n v="2021"/>
    <x v="1"/>
    <x v="193"/>
    <n v="126"/>
    <n v="35"/>
    <x v="211"/>
    <x v="0"/>
    <n v="128"/>
    <n v="33"/>
    <x v="0"/>
  </r>
  <r>
    <n v="217"/>
    <x v="5"/>
    <x v="94"/>
    <x v="1"/>
    <n v="2021"/>
    <x v="1"/>
    <x v="196"/>
    <n v="80"/>
    <n v="18"/>
    <x v="212"/>
    <x v="0"/>
    <n v="79"/>
    <n v="19"/>
    <x v="0"/>
  </r>
  <r>
    <n v="218"/>
    <x v="5"/>
    <x v="95"/>
    <x v="1"/>
    <n v="2021"/>
    <x v="1"/>
    <x v="197"/>
    <n v="161"/>
    <n v="33"/>
    <x v="213"/>
    <x v="0"/>
    <n v="165"/>
    <n v="29"/>
    <x v="0"/>
  </r>
  <r>
    <n v="219"/>
    <x v="5"/>
    <x v="96"/>
    <x v="1"/>
    <n v="2021"/>
    <x v="1"/>
    <x v="198"/>
    <n v="231"/>
    <n v="23"/>
    <x v="214"/>
    <x v="0"/>
    <n v="216"/>
    <n v="38"/>
    <x v="0"/>
  </r>
  <r>
    <n v="220"/>
    <x v="5"/>
    <x v="97"/>
    <x v="1"/>
    <n v="2021"/>
    <x v="1"/>
    <x v="199"/>
    <n v="173"/>
    <n v="36"/>
    <x v="215"/>
    <x v="0"/>
    <n v="173"/>
    <n v="36"/>
    <x v="0"/>
  </r>
  <r>
    <n v="221"/>
    <x v="5"/>
    <x v="98"/>
    <x v="1"/>
    <n v="2021"/>
    <x v="1"/>
    <x v="200"/>
    <n v="123"/>
    <n v="2"/>
    <x v="216"/>
    <x v="0"/>
    <n v="123"/>
    <n v="2"/>
    <x v="0"/>
  </r>
  <r>
    <n v="222"/>
    <x v="5"/>
    <x v="99"/>
    <x v="1"/>
    <n v="2021"/>
    <x v="1"/>
    <x v="201"/>
    <n v="149"/>
    <n v="14"/>
    <x v="217"/>
    <x v="0"/>
    <n v="140"/>
    <n v="23"/>
    <x v="0"/>
  </r>
  <r>
    <n v="223"/>
    <x v="5"/>
    <x v="100"/>
    <x v="1"/>
    <n v="2021"/>
    <x v="1"/>
    <x v="202"/>
    <n v="178"/>
    <n v="21"/>
    <x v="218"/>
    <x v="0"/>
    <n v="172"/>
    <n v="27"/>
    <x v="0"/>
  </r>
  <r>
    <n v="224"/>
    <x v="5"/>
    <x v="101"/>
    <x v="1"/>
    <n v="2021"/>
    <x v="1"/>
    <x v="203"/>
    <n v="102"/>
    <n v="8"/>
    <x v="219"/>
    <x v="0"/>
    <n v="97"/>
    <n v="13"/>
    <x v="0"/>
  </r>
  <r>
    <n v="225"/>
    <x v="5"/>
    <x v="102"/>
    <x v="1"/>
    <n v="2021"/>
    <x v="1"/>
    <x v="97"/>
    <n v="112"/>
    <n v="-12"/>
    <x v="220"/>
    <x v="1"/>
    <n v="112"/>
    <n v="-12"/>
    <x v="1"/>
  </r>
  <r>
    <n v="226"/>
    <x v="5"/>
    <x v="103"/>
    <x v="1"/>
    <n v="2021"/>
    <x v="1"/>
    <x v="91"/>
    <n v="196"/>
    <n v="26"/>
    <x v="208"/>
    <x v="0"/>
    <n v="199"/>
    <n v="23"/>
    <x v="0"/>
  </r>
  <r>
    <n v="227"/>
    <x v="5"/>
    <x v="104"/>
    <x v="1"/>
    <n v="2021"/>
    <x v="1"/>
    <x v="204"/>
    <n v="111"/>
    <n v="11"/>
    <x v="221"/>
    <x v="0"/>
    <n v="112"/>
    <n v="10"/>
    <x v="0"/>
  </r>
  <r>
    <n v="228"/>
    <x v="5"/>
    <x v="105"/>
    <x v="1"/>
    <n v="2021"/>
    <x v="1"/>
    <x v="205"/>
    <n v="169"/>
    <n v="2"/>
    <x v="222"/>
    <x v="0"/>
    <n v="159"/>
    <n v="12"/>
    <x v="0"/>
  </r>
  <r>
    <n v="229"/>
    <x v="5"/>
    <x v="106"/>
    <x v="1"/>
    <n v="2021"/>
    <x v="1"/>
    <x v="206"/>
    <n v="52"/>
    <n v="5"/>
    <x v="223"/>
    <x v="0"/>
    <n v="55"/>
    <n v="2"/>
    <x v="0"/>
  </r>
  <r>
    <n v="230"/>
    <x v="6"/>
    <x v="107"/>
    <x v="1"/>
    <n v="2021"/>
    <x v="1"/>
    <x v="207"/>
    <n v="664"/>
    <n v="-16"/>
    <x v="224"/>
    <x v="1"/>
    <n v="660"/>
    <n v="-12"/>
    <x v="1"/>
  </r>
  <r>
    <n v="231"/>
    <x v="6"/>
    <x v="108"/>
    <x v="1"/>
    <n v="2021"/>
    <x v="1"/>
    <x v="208"/>
    <n v="509"/>
    <n v="73"/>
    <x v="225"/>
    <x v="0"/>
    <n v="516"/>
    <n v="66"/>
    <x v="0"/>
  </r>
  <r>
    <n v="232"/>
    <x v="6"/>
    <x v="109"/>
    <x v="1"/>
    <n v="2021"/>
    <x v="1"/>
    <x v="98"/>
    <n v="171"/>
    <n v="42"/>
    <x v="226"/>
    <x v="0"/>
    <n v="169"/>
    <n v="44"/>
    <x v="0"/>
  </r>
  <r>
    <n v="233"/>
    <x v="6"/>
    <x v="110"/>
    <x v="1"/>
    <n v="2021"/>
    <x v="1"/>
    <x v="209"/>
    <n v="432"/>
    <n v="6"/>
    <x v="227"/>
    <x v="0"/>
    <n v="423"/>
    <n v="15"/>
    <x v="0"/>
  </r>
  <r>
    <n v="234"/>
    <x v="6"/>
    <x v="111"/>
    <x v="1"/>
    <n v="2021"/>
    <x v="1"/>
    <x v="210"/>
    <n v="249"/>
    <n v="-2"/>
    <x v="228"/>
    <x v="1"/>
    <n v="243"/>
    <n v="4"/>
    <x v="0"/>
  </r>
  <r>
    <n v="235"/>
    <x v="6"/>
    <x v="112"/>
    <x v="1"/>
    <n v="2021"/>
    <x v="1"/>
    <x v="211"/>
    <n v="334"/>
    <n v="52"/>
    <x v="229"/>
    <x v="0"/>
    <n v="325"/>
    <n v="61"/>
    <x v="0"/>
  </r>
  <r>
    <n v="236"/>
    <x v="6"/>
    <x v="113"/>
    <x v="1"/>
    <n v="2021"/>
    <x v="1"/>
    <x v="212"/>
    <n v="139"/>
    <n v="10"/>
    <x v="230"/>
    <x v="0"/>
    <n v="136"/>
    <n v="13"/>
    <x v="0"/>
  </r>
  <r>
    <n v="237"/>
    <x v="6"/>
    <x v="114"/>
    <x v="1"/>
    <n v="2021"/>
    <x v="1"/>
    <x v="213"/>
    <n v="234"/>
    <n v="43"/>
    <x v="231"/>
    <x v="0"/>
    <n v="214"/>
    <n v="63"/>
    <x v="0"/>
  </r>
  <r>
    <n v="238"/>
    <x v="6"/>
    <x v="115"/>
    <x v="1"/>
    <n v="2021"/>
    <x v="1"/>
    <x v="92"/>
    <n v="183"/>
    <n v="1"/>
    <x v="232"/>
    <x v="0"/>
    <n v="186"/>
    <n v="-2"/>
    <x v="1"/>
  </r>
  <r>
    <n v="239"/>
    <x v="6"/>
    <x v="116"/>
    <x v="1"/>
    <n v="2021"/>
    <x v="1"/>
    <x v="214"/>
    <n v="163"/>
    <n v="14"/>
    <x v="233"/>
    <x v="0"/>
    <n v="163"/>
    <n v="14"/>
    <x v="0"/>
  </r>
  <r>
    <n v="240"/>
    <x v="6"/>
    <x v="117"/>
    <x v="1"/>
    <n v="2021"/>
    <x v="1"/>
    <x v="215"/>
    <n v="101"/>
    <n v="23"/>
    <x v="234"/>
    <x v="0"/>
    <n v="99"/>
    <n v="25"/>
    <x v="0"/>
  </r>
  <r>
    <n v="241"/>
    <x v="6"/>
    <x v="118"/>
    <x v="1"/>
    <n v="2021"/>
    <x v="1"/>
    <x v="216"/>
    <n v="168"/>
    <n v="33"/>
    <x v="235"/>
    <x v="0"/>
    <n v="172"/>
    <n v="29"/>
    <x v="0"/>
  </r>
  <r>
    <n v="242"/>
    <x v="6"/>
    <x v="119"/>
    <x v="1"/>
    <n v="2021"/>
    <x v="1"/>
    <x v="217"/>
    <n v="117"/>
    <n v="-1"/>
    <x v="236"/>
    <x v="1"/>
    <n v="112"/>
    <n v="4"/>
    <x v="0"/>
  </r>
  <r>
    <n v="243"/>
    <x v="6"/>
    <x v="120"/>
    <x v="1"/>
    <n v="2021"/>
    <x v="1"/>
    <x v="218"/>
    <n v="257"/>
    <n v="-14"/>
    <x v="237"/>
    <x v="1"/>
    <n v="260"/>
    <n v="-17"/>
    <x v="1"/>
  </r>
  <r>
    <n v="244"/>
    <x v="6"/>
    <x v="121"/>
    <x v="1"/>
    <n v="2021"/>
    <x v="1"/>
    <x v="219"/>
    <n v="273"/>
    <n v="27"/>
    <x v="238"/>
    <x v="0"/>
    <n v="256"/>
    <n v="44"/>
    <x v="0"/>
  </r>
  <r>
    <n v="245"/>
    <x v="0"/>
    <x v="0"/>
    <x v="2"/>
    <n v="2021"/>
    <x v="2"/>
    <x v="220"/>
    <n v="1242"/>
    <n v="61"/>
    <x v="239"/>
    <x v="0"/>
    <n v="344"/>
    <n v="959"/>
    <x v="0"/>
  </r>
  <r>
    <n v="246"/>
    <x v="0"/>
    <x v="1"/>
    <x v="2"/>
    <n v="2021"/>
    <x v="2"/>
    <x v="221"/>
    <n v="696"/>
    <n v="-29"/>
    <x v="240"/>
    <x v="1"/>
    <n v="141"/>
    <n v="526"/>
    <x v="0"/>
  </r>
  <r>
    <n v="247"/>
    <x v="0"/>
    <x v="2"/>
    <x v="2"/>
    <n v="2021"/>
    <x v="2"/>
    <x v="222"/>
    <n v="805"/>
    <n v="42"/>
    <x v="241"/>
    <x v="0"/>
    <n v="224"/>
    <n v="623"/>
    <x v="0"/>
  </r>
  <r>
    <n v="248"/>
    <x v="0"/>
    <x v="3"/>
    <x v="2"/>
    <n v="2021"/>
    <x v="2"/>
    <x v="223"/>
    <n v="108"/>
    <n v="-2"/>
    <x v="242"/>
    <x v="1"/>
    <n v="141"/>
    <n v="-35"/>
    <x v="1"/>
  </r>
  <r>
    <n v="249"/>
    <x v="0"/>
    <x v="4"/>
    <x v="2"/>
    <n v="2021"/>
    <x v="2"/>
    <x v="224"/>
    <n v="1170"/>
    <n v="166"/>
    <x v="243"/>
    <x v="0"/>
    <n v="19"/>
    <n v="1317"/>
    <x v="0"/>
  </r>
  <r>
    <n v="250"/>
    <x v="0"/>
    <x v="5"/>
    <x v="2"/>
    <n v="2021"/>
    <x v="2"/>
    <x v="225"/>
    <n v="593"/>
    <n v="-76"/>
    <x v="244"/>
    <x v="1"/>
    <n v="32"/>
    <n v="485"/>
    <x v="0"/>
  </r>
  <r>
    <n v="251"/>
    <x v="0"/>
    <x v="6"/>
    <x v="2"/>
    <n v="2021"/>
    <x v="2"/>
    <x v="226"/>
    <n v="1064"/>
    <n v="-12"/>
    <x v="245"/>
    <x v="1"/>
    <n v="128"/>
    <n v="924"/>
    <x v="0"/>
  </r>
  <r>
    <n v="252"/>
    <x v="0"/>
    <x v="7"/>
    <x v="2"/>
    <n v="2021"/>
    <x v="2"/>
    <x v="227"/>
    <n v="878"/>
    <n v="34"/>
    <x v="246"/>
    <x v="0"/>
    <n v="100"/>
    <n v="812"/>
    <x v="0"/>
  </r>
  <r>
    <n v="253"/>
    <x v="0"/>
    <x v="8"/>
    <x v="2"/>
    <n v="2021"/>
    <x v="2"/>
    <x v="193"/>
    <n v="155"/>
    <n v="6"/>
    <x v="247"/>
    <x v="0"/>
    <n v="103"/>
    <n v="58"/>
    <x v="0"/>
  </r>
  <r>
    <n v="254"/>
    <x v="0"/>
    <x v="9"/>
    <x v="2"/>
    <n v="2021"/>
    <x v="2"/>
    <x v="228"/>
    <n v="564"/>
    <n v="-54"/>
    <x v="248"/>
    <x v="1"/>
    <n v="110"/>
    <n v="400"/>
    <x v="0"/>
  </r>
  <r>
    <n v="255"/>
    <x v="0"/>
    <x v="10"/>
    <x v="2"/>
    <n v="2021"/>
    <x v="2"/>
    <x v="229"/>
    <n v="487"/>
    <n v="43"/>
    <x v="249"/>
    <x v="0"/>
    <n v="225"/>
    <n v="305"/>
    <x v="0"/>
  </r>
  <r>
    <n v="256"/>
    <x v="0"/>
    <x v="11"/>
    <x v="2"/>
    <n v="2021"/>
    <x v="2"/>
    <x v="230"/>
    <n v="513"/>
    <n v="13"/>
    <x v="250"/>
    <x v="0"/>
    <n v="262"/>
    <n v="264"/>
    <x v="0"/>
  </r>
  <r>
    <n v="257"/>
    <x v="0"/>
    <x v="12"/>
    <x v="2"/>
    <n v="2021"/>
    <x v="2"/>
    <x v="231"/>
    <n v="300"/>
    <n v="24"/>
    <x v="251"/>
    <x v="0"/>
    <n v="218"/>
    <n v="106"/>
    <x v="0"/>
  </r>
  <r>
    <n v="258"/>
    <x v="0"/>
    <x v="13"/>
    <x v="2"/>
    <n v="2021"/>
    <x v="2"/>
    <x v="232"/>
    <n v="149"/>
    <n v="-11"/>
    <x v="252"/>
    <x v="1"/>
    <n v="140"/>
    <n v="-2"/>
    <x v="1"/>
  </r>
  <r>
    <n v="259"/>
    <x v="0"/>
    <x v="14"/>
    <x v="2"/>
    <n v="2021"/>
    <x v="2"/>
    <x v="233"/>
    <n v="535"/>
    <n v="23"/>
    <x v="253"/>
    <x v="0"/>
    <n v="8"/>
    <n v="550"/>
    <x v="0"/>
  </r>
  <r>
    <n v="260"/>
    <x v="0"/>
    <x v="15"/>
    <x v="2"/>
    <n v="2021"/>
    <x v="2"/>
    <x v="234"/>
    <n v="523"/>
    <n v="49"/>
    <x v="254"/>
    <x v="0"/>
    <n v="108"/>
    <n v="464"/>
    <x v="0"/>
  </r>
  <r>
    <n v="261"/>
    <x v="0"/>
    <x v="16"/>
    <x v="2"/>
    <n v="2021"/>
    <x v="2"/>
    <x v="235"/>
    <n v="157"/>
    <n v="38"/>
    <x v="255"/>
    <x v="0"/>
    <n v="131"/>
    <n v="64"/>
    <x v="0"/>
  </r>
  <r>
    <n v="262"/>
    <x v="0"/>
    <x v="17"/>
    <x v="2"/>
    <n v="2021"/>
    <x v="2"/>
    <x v="236"/>
    <n v="75"/>
    <n v="12"/>
    <x v="256"/>
    <x v="0"/>
    <n v="94"/>
    <n v="-7"/>
    <x v="1"/>
  </r>
  <r>
    <n v="263"/>
    <x v="0"/>
    <x v="18"/>
    <x v="2"/>
    <n v="2021"/>
    <x v="2"/>
    <x v="33"/>
    <n v="575"/>
    <n v="35"/>
    <x v="257"/>
    <x v="0"/>
    <n v="159"/>
    <n v="451"/>
    <x v="0"/>
  </r>
  <r>
    <n v="264"/>
    <x v="1"/>
    <x v="19"/>
    <x v="2"/>
    <n v="2021"/>
    <x v="2"/>
    <x v="237"/>
    <n v="625"/>
    <n v="157"/>
    <x v="258"/>
    <x v="0"/>
    <n v="273"/>
    <n v="509"/>
    <x v="0"/>
  </r>
  <r>
    <n v="265"/>
    <x v="1"/>
    <x v="20"/>
    <x v="2"/>
    <n v="2021"/>
    <x v="2"/>
    <x v="238"/>
    <n v="995"/>
    <n v="16"/>
    <x v="259"/>
    <x v="0"/>
    <n v="295"/>
    <n v="716"/>
    <x v="0"/>
  </r>
  <r>
    <n v="266"/>
    <x v="1"/>
    <x v="21"/>
    <x v="2"/>
    <n v="2021"/>
    <x v="2"/>
    <x v="239"/>
    <n v="702"/>
    <n v="-52"/>
    <x v="260"/>
    <x v="1"/>
    <n v="129"/>
    <n v="521"/>
    <x v="0"/>
  </r>
  <r>
    <n v="267"/>
    <x v="1"/>
    <x v="22"/>
    <x v="2"/>
    <n v="2021"/>
    <x v="2"/>
    <x v="240"/>
    <n v="1109"/>
    <n v="223"/>
    <x v="261"/>
    <x v="0"/>
    <n v="179"/>
    <n v="1153"/>
    <x v="0"/>
  </r>
  <r>
    <n v="268"/>
    <x v="1"/>
    <x v="23"/>
    <x v="2"/>
    <n v="2021"/>
    <x v="2"/>
    <x v="241"/>
    <n v="979"/>
    <n v="264"/>
    <x v="262"/>
    <x v="0"/>
    <n v="84"/>
    <n v="1159"/>
    <x v="0"/>
  </r>
  <r>
    <n v="269"/>
    <x v="1"/>
    <x v="24"/>
    <x v="2"/>
    <n v="2021"/>
    <x v="2"/>
    <x v="242"/>
    <n v="20"/>
    <n v="5"/>
    <x v="263"/>
    <x v="0"/>
    <n v="121"/>
    <n v="-96"/>
    <x v="1"/>
  </r>
  <r>
    <n v="270"/>
    <x v="2"/>
    <x v="25"/>
    <x v="2"/>
    <n v="2021"/>
    <x v="2"/>
    <x v="243"/>
    <n v="1186"/>
    <n v="92"/>
    <x v="264"/>
    <x v="0"/>
    <n v="165"/>
    <n v="1113"/>
    <x v="0"/>
  </r>
  <r>
    <n v="271"/>
    <x v="2"/>
    <x v="26"/>
    <x v="2"/>
    <n v="2021"/>
    <x v="2"/>
    <x v="244"/>
    <n v="594"/>
    <n v="64"/>
    <x v="265"/>
    <x v="0"/>
    <n v="61"/>
    <n v="597"/>
    <x v="0"/>
  </r>
  <r>
    <n v="272"/>
    <x v="3"/>
    <x v="27"/>
    <x v="2"/>
    <n v="2021"/>
    <x v="2"/>
    <x v="245"/>
    <n v="883"/>
    <n v="-38"/>
    <x v="266"/>
    <x v="1"/>
    <n v="36"/>
    <n v="809"/>
    <x v="0"/>
  </r>
  <r>
    <n v="273"/>
    <x v="3"/>
    <x v="28"/>
    <x v="2"/>
    <n v="2021"/>
    <x v="2"/>
    <x v="246"/>
    <n v="1487"/>
    <n v="-57"/>
    <x v="267"/>
    <x v="1"/>
    <n v="197"/>
    <n v="1233"/>
    <x v="0"/>
  </r>
  <r>
    <n v="274"/>
    <x v="3"/>
    <x v="29"/>
    <x v="2"/>
    <n v="2021"/>
    <x v="2"/>
    <x v="247"/>
    <n v="1259"/>
    <n v="-114"/>
    <x v="268"/>
    <x v="1"/>
    <n v="313"/>
    <n v="832"/>
    <x v="0"/>
  </r>
  <r>
    <n v="275"/>
    <x v="3"/>
    <x v="30"/>
    <x v="2"/>
    <n v="2021"/>
    <x v="2"/>
    <x v="248"/>
    <n v="1521"/>
    <n v="159"/>
    <x v="269"/>
    <x v="0"/>
    <n v="34"/>
    <n v="1646"/>
    <x v="0"/>
  </r>
  <r>
    <n v="276"/>
    <x v="3"/>
    <x v="31"/>
    <x v="2"/>
    <n v="2021"/>
    <x v="2"/>
    <x v="249"/>
    <n v="1546"/>
    <n v="207"/>
    <x v="270"/>
    <x v="0"/>
    <n v="173"/>
    <n v="1580"/>
    <x v="0"/>
  </r>
  <r>
    <n v="277"/>
    <x v="3"/>
    <x v="32"/>
    <x v="2"/>
    <n v="2021"/>
    <x v="2"/>
    <x v="250"/>
    <n v="438"/>
    <n v="49"/>
    <x v="271"/>
    <x v="0"/>
    <n v="127"/>
    <n v="360"/>
    <x v="0"/>
  </r>
  <r>
    <n v="278"/>
    <x v="3"/>
    <x v="33"/>
    <x v="2"/>
    <n v="2021"/>
    <x v="2"/>
    <x v="251"/>
    <n v="509"/>
    <n v="82"/>
    <x v="272"/>
    <x v="0"/>
    <n v="75"/>
    <n v="516"/>
    <x v="0"/>
  </r>
  <r>
    <n v="279"/>
    <x v="3"/>
    <x v="34"/>
    <x v="2"/>
    <n v="2021"/>
    <x v="2"/>
    <x v="252"/>
    <n v="673"/>
    <n v="-61"/>
    <x v="273"/>
    <x v="1"/>
    <n v="139"/>
    <n v="473"/>
    <x v="0"/>
  </r>
  <r>
    <n v="280"/>
    <x v="3"/>
    <x v="35"/>
    <x v="2"/>
    <n v="2021"/>
    <x v="2"/>
    <x v="253"/>
    <n v="828"/>
    <n v="149"/>
    <x v="274"/>
    <x v="0"/>
    <n v="46"/>
    <n v="931"/>
    <x v="0"/>
  </r>
  <r>
    <n v="281"/>
    <x v="2"/>
    <x v="36"/>
    <x v="2"/>
    <n v="2021"/>
    <x v="2"/>
    <x v="254"/>
    <n v="383"/>
    <n v="50"/>
    <x v="275"/>
    <x v="0"/>
    <n v="19"/>
    <n v="414"/>
    <x v="0"/>
  </r>
  <r>
    <n v="282"/>
    <x v="2"/>
    <x v="37"/>
    <x v="2"/>
    <n v="2021"/>
    <x v="2"/>
    <x v="255"/>
    <n v="623"/>
    <n v="23"/>
    <x v="276"/>
    <x v="0"/>
    <n v="65"/>
    <n v="581"/>
    <x v="0"/>
  </r>
  <r>
    <n v="283"/>
    <x v="2"/>
    <x v="38"/>
    <x v="2"/>
    <n v="2021"/>
    <x v="2"/>
    <x v="256"/>
    <n v="1027"/>
    <n v="-4"/>
    <x v="277"/>
    <x v="1"/>
    <n v="23"/>
    <n v="1000"/>
    <x v="0"/>
  </r>
  <r>
    <n v="284"/>
    <x v="2"/>
    <x v="39"/>
    <x v="2"/>
    <n v="2021"/>
    <x v="2"/>
    <x v="257"/>
    <n v="250"/>
    <n v="-9"/>
    <x v="278"/>
    <x v="1"/>
    <n v="29"/>
    <n v="212"/>
    <x v="0"/>
  </r>
  <r>
    <n v="285"/>
    <x v="3"/>
    <x v="40"/>
    <x v="2"/>
    <n v="2021"/>
    <x v="2"/>
    <x v="258"/>
    <n v="127"/>
    <n v="17"/>
    <x v="279"/>
    <x v="0"/>
    <n v="29"/>
    <n v="115"/>
    <x v="0"/>
  </r>
  <r>
    <n v="286"/>
    <x v="3"/>
    <x v="41"/>
    <x v="2"/>
    <n v="2021"/>
    <x v="2"/>
    <x v="259"/>
    <n v="1761"/>
    <n v="79"/>
    <x v="280"/>
    <x v="0"/>
    <n v="181"/>
    <n v="1659"/>
    <x v="0"/>
  </r>
  <r>
    <n v="287"/>
    <x v="3"/>
    <x v="42"/>
    <x v="2"/>
    <n v="2021"/>
    <x v="2"/>
    <x v="260"/>
    <n v="882"/>
    <n v="76"/>
    <x v="281"/>
    <x v="0"/>
    <n v="114"/>
    <n v="844"/>
    <x v="0"/>
  </r>
  <r>
    <n v="288"/>
    <x v="3"/>
    <x v="43"/>
    <x v="2"/>
    <n v="2021"/>
    <x v="2"/>
    <x v="98"/>
    <n v="192"/>
    <n v="21"/>
    <x v="282"/>
    <x v="0"/>
    <n v="142"/>
    <n v="71"/>
    <x v="0"/>
  </r>
  <r>
    <n v="289"/>
    <x v="3"/>
    <x v="44"/>
    <x v="2"/>
    <n v="2021"/>
    <x v="2"/>
    <x v="224"/>
    <n v="1253"/>
    <n v="83"/>
    <x v="283"/>
    <x v="0"/>
    <n v="122"/>
    <n v="1214"/>
    <x v="0"/>
  </r>
  <r>
    <n v="290"/>
    <x v="3"/>
    <x v="45"/>
    <x v="2"/>
    <n v="2021"/>
    <x v="2"/>
    <x v="41"/>
    <n v="810"/>
    <n v="97"/>
    <x v="284"/>
    <x v="0"/>
    <n v="78"/>
    <n v="829"/>
    <x v="0"/>
  </r>
  <r>
    <n v="291"/>
    <x v="3"/>
    <x v="46"/>
    <x v="2"/>
    <n v="2021"/>
    <x v="2"/>
    <x v="261"/>
    <n v="548"/>
    <n v="12"/>
    <x v="285"/>
    <x v="0"/>
    <n v="115"/>
    <n v="445"/>
    <x v="0"/>
  </r>
  <r>
    <n v="292"/>
    <x v="3"/>
    <x v="47"/>
    <x v="2"/>
    <n v="2021"/>
    <x v="2"/>
    <x v="251"/>
    <n v="544"/>
    <n v="47"/>
    <x v="286"/>
    <x v="0"/>
    <n v="95"/>
    <n v="496"/>
    <x v="0"/>
  </r>
  <r>
    <n v="293"/>
    <x v="3"/>
    <x v="48"/>
    <x v="2"/>
    <n v="2021"/>
    <x v="2"/>
    <x v="262"/>
    <n v="467"/>
    <n v="77"/>
    <x v="287"/>
    <x v="0"/>
    <n v="112"/>
    <n v="432"/>
    <x v="0"/>
  </r>
  <r>
    <n v="294"/>
    <x v="3"/>
    <x v="49"/>
    <x v="2"/>
    <n v="2021"/>
    <x v="2"/>
    <x v="134"/>
    <n v="681"/>
    <n v="-7"/>
    <x v="288"/>
    <x v="1"/>
    <n v="116"/>
    <n v="558"/>
    <x v="0"/>
  </r>
  <r>
    <n v="295"/>
    <x v="3"/>
    <x v="50"/>
    <x v="2"/>
    <n v="2021"/>
    <x v="2"/>
    <x v="263"/>
    <n v="362"/>
    <n v="-18"/>
    <x v="289"/>
    <x v="1"/>
    <n v="44"/>
    <n v="300"/>
    <x v="0"/>
  </r>
  <r>
    <n v="296"/>
    <x v="3"/>
    <x v="51"/>
    <x v="2"/>
    <n v="2021"/>
    <x v="2"/>
    <x v="264"/>
    <n v="90"/>
    <n v="3"/>
    <x v="290"/>
    <x v="0"/>
    <n v="51"/>
    <n v="42"/>
    <x v="0"/>
  </r>
  <r>
    <n v="297"/>
    <x v="4"/>
    <x v="52"/>
    <x v="2"/>
    <n v="2021"/>
    <x v="2"/>
    <x v="164"/>
    <n v="636"/>
    <n v="-7"/>
    <x v="170"/>
    <x v="1"/>
    <n v="38"/>
    <n v="591"/>
    <x v="0"/>
  </r>
  <r>
    <n v="298"/>
    <x v="4"/>
    <x v="53"/>
    <x v="2"/>
    <n v="2021"/>
    <x v="2"/>
    <x v="265"/>
    <n v="131"/>
    <n v="17"/>
    <x v="291"/>
    <x v="0"/>
    <n v="63"/>
    <n v="85"/>
    <x v="0"/>
  </r>
  <r>
    <n v="299"/>
    <x v="4"/>
    <x v="54"/>
    <x v="2"/>
    <n v="2021"/>
    <x v="2"/>
    <x v="193"/>
    <n v="141"/>
    <n v="20"/>
    <x v="292"/>
    <x v="0"/>
    <n v="93"/>
    <n v="68"/>
    <x v="0"/>
  </r>
  <r>
    <n v="300"/>
    <x v="4"/>
    <x v="55"/>
    <x v="2"/>
    <n v="2021"/>
    <x v="2"/>
    <x v="266"/>
    <n v="463"/>
    <n v="-6"/>
    <x v="293"/>
    <x v="1"/>
    <n v="64"/>
    <n v="393"/>
    <x v="0"/>
  </r>
  <r>
    <n v="301"/>
    <x v="4"/>
    <x v="56"/>
    <x v="2"/>
    <n v="2021"/>
    <x v="2"/>
    <x v="267"/>
    <n v="671"/>
    <n v="95"/>
    <x v="294"/>
    <x v="0"/>
    <n v="59"/>
    <n v="707"/>
    <x v="0"/>
  </r>
  <r>
    <n v="302"/>
    <x v="4"/>
    <x v="57"/>
    <x v="2"/>
    <n v="2021"/>
    <x v="2"/>
    <x v="268"/>
    <n v="190"/>
    <n v="44"/>
    <x v="295"/>
    <x v="0"/>
    <n v="153"/>
    <n v="81"/>
    <x v="0"/>
  </r>
  <r>
    <n v="303"/>
    <x v="4"/>
    <x v="58"/>
    <x v="2"/>
    <n v="2021"/>
    <x v="2"/>
    <x v="269"/>
    <n v="993"/>
    <n v="-58"/>
    <x v="296"/>
    <x v="1"/>
    <n v="92"/>
    <n v="843"/>
    <x v="0"/>
  </r>
  <r>
    <n v="304"/>
    <x v="4"/>
    <x v="59"/>
    <x v="2"/>
    <n v="2021"/>
    <x v="2"/>
    <x v="270"/>
    <n v="687"/>
    <n v="3"/>
    <x v="297"/>
    <x v="0"/>
    <n v="134"/>
    <n v="556"/>
    <x v="0"/>
  </r>
  <r>
    <n v="305"/>
    <x v="4"/>
    <x v="60"/>
    <x v="2"/>
    <n v="2021"/>
    <x v="2"/>
    <x v="271"/>
    <n v="1435"/>
    <n v="225"/>
    <x v="298"/>
    <x v="0"/>
    <n v="70"/>
    <n v="1590"/>
    <x v="0"/>
  </r>
  <r>
    <n v="306"/>
    <x v="4"/>
    <x v="61"/>
    <x v="2"/>
    <n v="2021"/>
    <x v="2"/>
    <x v="272"/>
    <n v="1388"/>
    <n v="231"/>
    <x v="299"/>
    <x v="0"/>
    <n v="144"/>
    <n v="1475"/>
    <x v="0"/>
  </r>
  <r>
    <n v="307"/>
    <x v="4"/>
    <x v="62"/>
    <x v="2"/>
    <n v="2021"/>
    <x v="2"/>
    <x v="273"/>
    <n v="523"/>
    <n v="96"/>
    <x v="300"/>
    <x v="0"/>
    <n v="73"/>
    <n v="546"/>
    <x v="0"/>
  </r>
  <r>
    <n v="308"/>
    <x v="4"/>
    <x v="63"/>
    <x v="2"/>
    <n v="2021"/>
    <x v="2"/>
    <x v="274"/>
    <n v="517"/>
    <n v="-2"/>
    <x v="301"/>
    <x v="1"/>
    <n v="60"/>
    <n v="455"/>
    <x v="0"/>
  </r>
  <r>
    <n v="309"/>
    <x v="4"/>
    <x v="64"/>
    <x v="2"/>
    <n v="2021"/>
    <x v="2"/>
    <x v="275"/>
    <n v="521"/>
    <n v="67"/>
    <x v="302"/>
    <x v="0"/>
    <n v="111"/>
    <n v="477"/>
    <x v="0"/>
  </r>
  <r>
    <n v="310"/>
    <x v="4"/>
    <x v="65"/>
    <x v="2"/>
    <n v="2021"/>
    <x v="2"/>
    <x v="276"/>
    <n v="983"/>
    <n v="196"/>
    <x v="303"/>
    <x v="0"/>
    <n v="83"/>
    <n v="1096"/>
    <x v="0"/>
  </r>
  <r>
    <n v="311"/>
    <x v="4"/>
    <x v="66"/>
    <x v="2"/>
    <n v="2021"/>
    <x v="2"/>
    <x v="277"/>
    <n v="1026"/>
    <n v="-27"/>
    <x v="304"/>
    <x v="1"/>
    <n v="156"/>
    <n v="843"/>
    <x v="0"/>
  </r>
  <r>
    <n v="312"/>
    <x v="4"/>
    <x v="67"/>
    <x v="2"/>
    <n v="2021"/>
    <x v="2"/>
    <x v="278"/>
    <n v="624"/>
    <n v="118"/>
    <x v="305"/>
    <x v="0"/>
    <n v="67"/>
    <n v="675"/>
    <x v="0"/>
  </r>
  <r>
    <n v="313"/>
    <x v="4"/>
    <x v="68"/>
    <x v="2"/>
    <n v="2021"/>
    <x v="2"/>
    <x v="279"/>
    <n v="562"/>
    <n v="12"/>
    <x v="306"/>
    <x v="0"/>
    <n v="79"/>
    <n v="495"/>
    <x v="0"/>
  </r>
  <r>
    <n v="314"/>
    <x v="4"/>
    <x v="69"/>
    <x v="2"/>
    <n v="2021"/>
    <x v="2"/>
    <x v="280"/>
    <n v="321"/>
    <n v="-3"/>
    <x v="307"/>
    <x v="1"/>
    <n v="42"/>
    <n v="276"/>
    <x v="0"/>
  </r>
  <r>
    <n v="315"/>
    <x v="4"/>
    <x v="70"/>
    <x v="2"/>
    <n v="2021"/>
    <x v="2"/>
    <x v="281"/>
    <n v="733"/>
    <n v="100"/>
    <x v="308"/>
    <x v="0"/>
    <n v="8"/>
    <n v="825"/>
    <x v="0"/>
  </r>
  <r>
    <n v="316"/>
    <x v="4"/>
    <x v="71"/>
    <x v="2"/>
    <n v="2021"/>
    <x v="2"/>
    <x v="5"/>
    <n v="572"/>
    <n v="-51"/>
    <x v="309"/>
    <x v="1"/>
    <n v="32"/>
    <n v="489"/>
    <x v="0"/>
  </r>
  <r>
    <n v="317"/>
    <x v="4"/>
    <x v="72"/>
    <x v="2"/>
    <n v="2021"/>
    <x v="2"/>
    <x v="282"/>
    <n v="517"/>
    <n v="-31"/>
    <x v="310"/>
    <x v="1"/>
    <n v="23"/>
    <n v="463"/>
    <x v="0"/>
  </r>
  <r>
    <n v="318"/>
    <x v="4"/>
    <x v="73"/>
    <x v="2"/>
    <n v="2021"/>
    <x v="2"/>
    <x v="283"/>
    <n v="856"/>
    <n v="133"/>
    <x v="311"/>
    <x v="0"/>
    <n v="44"/>
    <n v="945"/>
    <x v="0"/>
  </r>
  <r>
    <n v="319"/>
    <x v="4"/>
    <x v="74"/>
    <x v="2"/>
    <n v="2021"/>
    <x v="2"/>
    <x v="284"/>
    <n v="1065"/>
    <n v="67"/>
    <x v="312"/>
    <x v="0"/>
    <n v="20"/>
    <n v="1112"/>
    <x v="0"/>
  </r>
  <r>
    <n v="320"/>
    <x v="4"/>
    <x v="75"/>
    <x v="2"/>
    <n v="2021"/>
    <x v="2"/>
    <x v="285"/>
    <n v="677"/>
    <n v="82"/>
    <x v="313"/>
    <x v="0"/>
    <n v="129"/>
    <n v="630"/>
    <x v="0"/>
  </r>
  <r>
    <n v="321"/>
    <x v="4"/>
    <x v="76"/>
    <x v="2"/>
    <n v="2021"/>
    <x v="2"/>
    <x v="286"/>
    <n v="792"/>
    <n v="39"/>
    <x v="314"/>
    <x v="0"/>
    <n v="91"/>
    <n v="740"/>
    <x v="0"/>
  </r>
  <r>
    <n v="322"/>
    <x v="4"/>
    <x v="77"/>
    <x v="2"/>
    <n v="2021"/>
    <x v="2"/>
    <x v="287"/>
    <n v="680"/>
    <n v="157"/>
    <x v="315"/>
    <x v="0"/>
    <n v="50"/>
    <n v="787"/>
    <x v="0"/>
  </r>
  <r>
    <n v="323"/>
    <x v="4"/>
    <x v="78"/>
    <x v="2"/>
    <n v="2021"/>
    <x v="2"/>
    <x v="288"/>
    <n v="936"/>
    <n v="84"/>
    <x v="316"/>
    <x v="0"/>
    <n v="843"/>
    <n v="177"/>
    <x v="0"/>
  </r>
  <r>
    <n v="324"/>
    <x v="4"/>
    <x v="79"/>
    <x v="2"/>
    <n v="2021"/>
    <x v="2"/>
    <x v="289"/>
    <n v="508"/>
    <n v="56"/>
    <x v="317"/>
    <x v="0"/>
    <n v="477"/>
    <n v="87"/>
    <x v="0"/>
  </r>
  <r>
    <n v="325"/>
    <x v="4"/>
    <x v="80"/>
    <x v="2"/>
    <n v="2021"/>
    <x v="2"/>
    <x v="289"/>
    <n v="502"/>
    <n v="62"/>
    <x v="318"/>
    <x v="0"/>
    <n v="502"/>
    <n v="62"/>
    <x v="0"/>
  </r>
  <r>
    <n v="326"/>
    <x v="4"/>
    <x v="81"/>
    <x v="2"/>
    <n v="2021"/>
    <x v="2"/>
    <x v="138"/>
    <n v="581"/>
    <n v="119"/>
    <x v="319"/>
    <x v="0"/>
    <n v="581"/>
    <n v="119"/>
    <x v="0"/>
  </r>
  <r>
    <n v="327"/>
    <x v="4"/>
    <x v="82"/>
    <x v="2"/>
    <n v="2021"/>
    <x v="2"/>
    <x v="290"/>
    <n v="430"/>
    <n v="4"/>
    <x v="320"/>
    <x v="0"/>
    <n v="396"/>
    <n v="38"/>
    <x v="0"/>
  </r>
  <r>
    <n v="328"/>
    <x v="5"/>
    <x v="83"/>
    <x v="2"/>
    <n v="2021"/>
    <x v="2"/>
    <x v="291"/>
    <n v="939"/>
    <n v="-33"/>
    <x v="321"/>
    <x v="1"/>
    <n v="942"/>
    <n v="-36"/>
    <x v="1"/>
  </r>
  <r>
    <n v="329"/>
    <x v="5"/>
    <x v="84"/>
    <x v="2"/>
    <n v="2021"/>
    <x v="2"/>
    <x v="132"/>
    <n v="618"/>
    <n v="74"/>
    <x v="322"/>
    <x v="0"/>
    <n v="602"/>
    <n v="90"/>
    <x v="0"/>
  </r>
  <r>
    <n v="330"/>
    <x v="5"/>
    <x v="85"/>
    <x v="2"/>
    <n v="2021"/>
    <x v="2"/>
    <x v="292"/>
    <n v="434"/>
    <n v="-3"/>
    <x v="323"/>
    <x v="1"/>
    <n v="426"/>
    <n v="5"/>
    <x v="0"/>
  </r>
  <r>
    <n v="331"/>
    <x v="5"/>
    <x v="86"/>
    <x v="2"/>
    <n v="2021"/>
    <x v="2"/>
    <x v="293"/>
    <n v="244"/>
    <n v="-30"/>
    <x v="324"/>
    <x v="1"/>
    <n v="229"/>
    <n v="-15"/>
    <x v="1"/>
  </r>
  <r>
    <n v="332"/>
    <x v="5"/>
    <x v="87"/>
    <x v="2"/>
    <n v="2021"/>
    <x v="2"/>
    <x v="123"/>
    <n v="154"/>
    <n v="-14"/>
    <x v="325"/>
    <x v="1"/>
    <n v="144"/>
    <n v="-4"/>
    <x v="1"/>
  </r>
  <r>
    <n v="333"/>
    <x v="5"/>
    <x v="88"/>
    <x v="2"/>
    <n v="2021"/>
    <x v="2"/>
    <x v="294"/>
    <n v="147"/>
    <n v="15"/>
    <x v="326"/>
    <x v="0"/>
    <n v="138"/>
    <n v="24"/>
    <x v="0"/>
  </r>
  <r>
    <n v="334"/>
    <x v="5"/>
    <x v="89"/>
    <x v="2"/>
    <n v="2021"/>
    <x v="2"/>
    <x v="197"/>
    <n v="187"/>
    <n v="7"/>
    <x v="327"/>
    <x v="0"/>
    <n v="197"/>
    <n v="-3"/>
    <x v="1"/>
  </r>
  <r>
    <n v="335"/>
    <x v="5"/>
    <x v="90"/>
    <x v="2"/>
    <n v="2021"/>
    <x v="2"/>
    <x v="199"/>
    <n v="196"/>
    <n v="13"/>
    <x v="328"/>
    <x v="0"/>
    <n v="188"/>
    <n v="21"/>
    <x v="0"/>
  </r>
  <r>
    <n v="336"/>
    <x v="5"/>
    <x v="91"/>
    <x v="2"/>
    <n v="2021"/>
    <x v="2"/>
    <x v="97"/>
    <n v="105"/>
    <n v="-5"/>
    <x v="50"/>
    <x v="1"/>
    <n v="96"/>
    <n v="4"/>
    <x v="0"/>
  </r>
  <r>
    <n v="337"/>
    <x v="5"/>
    <x v="92"/>
    <x v="2"/>
    <n v="2021"/>
    <x v="2"/>
    <x v="295"/>
    <n v="292"/>
    <n v="12"/>
    <x v="329"/>
    <x v="0"/>
    <n v="279"/>
    <n v="25"/>
    <x v="0"/>
  </r>
  <r>
    <n v="338"/>
    <x v="5"/>
    <x v="93"/>
    <x v="2"/>
    <n v="2021"/>
    <x v="2"/>
    <x v="212"/>
    <n v="127"/>
    <n v="22"/>
    <x v="330"/>
    <x v="0"/>
    <n v="131"/>
    <n v="18"/>
    <x v="0"/>
  </r>
  <r>
    <n v="339"/>
    <x v="5"/>
    <x v="94"/>
    <x v="2"/>
    <n v="2021"/>
    <x v="2"/>
    <x v="97"/>
    <n v="80"/>
    <n v="20"/>
    <x v="263"/>
    <x v="0"/>
    <n v="78"/>
    <n v="22"/>
    <x v="0"/>
  </r>
  <r>
    <n v="340"/>
    <x v="5"/>
    <x v="95"/>
    <x v="2"/>
    <n v="2021"/>
    <x v="2"/>
    <x v="110"/>
    <n v="162"/>
    <n v="6"/>
    <x v="331"/>
    <x v="0"/>
    <n v="170"/>
    <n v="-2"/>
    <x v="1"/>
  </r>
  <r>
    <n v="341"/>
    <x v="5"/>
    <x v="96"/>
    <x v="2"/>
    <n v="2021"/>
    <x v="2"/>
    <x v="296"/>
    <n v="235"/>
    <n v="3"/>
    <x v="332"/>
    <x v="0"/>
    <n v="219"/>
    <n v="19"/>
    <x v="0"/>
  </r>
  <r>
    <n v="342"/>
    <x v="5"/>
    <x v="97"/>
    <x v="2"/>
    <n v="2021"/>
    <x v="2"/>
    <x v="130"/>
    <n v="175"/>
    <n v="22"/>
    <x v="333"/>
    <x v="0"/>
    <n v="176"/>
    <n v="21"/>
    <x v="0"/>
  </r>
  <r>
    <n v="343"/>
    <x v="5"/>
    <x v="98"/>
    <x v="2"/>
    <n v="2021"/>
    <x v="2"/>
    <x v="297"/>
    <n v="125"/>
    <n v="6"/>
    <x v="334"/>
    <x v="0"/>
    <n v="129"/>
    <n v="2"/>
    <x v="0"/>
  </r>
  <r>
    <n v="344"/>
    <x v="5"/>
    <x v="99"/>
    <x v="2"/>
    <n v="2021"/>
    <x v="2"/>
    <x v="165"/>
    <n v="152"/>
    <n v="1"/>
    <x v="335"/>
    <x v="0"/>
    <n v="140"/>
    <n v="13"/>
    <x v="0"/>
  </r>
  <r>
    <n v="345"/>
    <x v="5"/>
    <x v="100"/>
    <x v="2"/>
    <n v="2021"/>
    <x v="2"/>
    <x v="197"/>
    <n v="178"/>
    <n v="16"/>
    <x v="336"/>
    <x v="0"/>
    <n v="175"/>
    <n v="19"/>
    <x v="0"/>
  </r>
  <r>
    <n v="346"/>
    <x v="5"/>
    <x v="101"/>
    <x v="2"/>
    <n v="2021"/>
    <x v="2"/>
    <x v="298"/>
    <n v="102"/>
    <n v="7"/>
    <x v="337"/>
    <x v="0"/>
    <n v="96"/>
    <n v="13"/>
    <x v="0"/>
  </r>
  <r>
    <n v="347"/>
    <x v="5"/>
    <x v="102"/>
    <x v="2"/>
    <n v="2021"/>
    <x v="2"/>
    <x v="3"/>
    <n v="113"/>
    <n v="-10"/>
    <x v="338"/>
    <x v="1"/>
    <n v="116"/>
    <n v="-13"/>
    <x v="1"/>
  </r>
  <r>
    <n v="348"/>
    <x v="5"/>
    <x v="103"/>
    <x v="2"/>
    <n v="2021"/>
    <x v="2"/>
    <x v="98"/>
    <n v="196"/>
    <n v="17"/>
    <x v="100"/>
    <x v="0"/>
    <n v="202"/>
    <n v="11"/>
    <x v="0"/>
  </r>
  <r>
    <n v="349"/>
    <x v="5"/>
    <x v="104"/>
    <x v="2"/>
    <n v="2021"/>
    <x v="2"/>
    <x v="299"/>
    <n v="112"/>
    <n v="0"/>
    <x v="3"/>
    <x v="0"/>
    <n v="115"/>
    <n v="-3"/>
    <x v="1"/>
  </r>
  <r>
    <n v="350"/>
    <x v="5"/>
    <x v="105"/>
    <x v="2"/>
    <n v="2021"/>
    <x v="2"/>
    <x v="90"/>
    <n v="172"/>
    <n v="-2"/>
    <x v="339"/>
    <x v="1"/>
    <n v="160"/>
    <n v="10"/>
    <x v="0"/>
  </r>
  <r>
    <n v="351"/>
    <x v="5"/>
    <x v="106"/>
    <x v="2"/>
    <n v="2021"/>
    <x v="2"/>
    <x v="206"/>
    <n v="52"/>
    <n v="5"/>
    <x v="223"/>
    <x v="0"/>
    <n v="59"/>
    <n v="-2"/>
    <x v="1"/>
  </r>
  <r>
    <n v="352"/>
    <x v="6"/>
    <x v="107"/>
    <x v="2"/>
    <n v="2021"/>
    <x v="2"/>
    <x v="300"/>
    <n v="677"/>
    <n v="63"/>
    <x v="340"/>
    <x v="0"/>
    <n v="660"/>
    <n v="80"/>
    <x v="0"/>
  </r>
  <r>
    <n v="353"/>
    <x v="6"/>
    <x v="108"/>
    <x v="2"/>
    <n v="2021"/>
    <x v="2"/>
    <x v="33"/>
    <n v="509"/>
    <n v="101"/>
    <x v="341"/>
    <x v="0"/>
    <n v="521"/>
    <n v="89"/>
    <x v="0"/>
  </r>
  <r>
    <n v="354"/>
    <x v="6"/>
    <x v="109"/>
    <x v="2"/>
    <n v="2021"/>
    <x v="2"/>
    <x v="301"/>
    <n v="171"/>
    <n v="32"/>
    <x v="342"/>
    <x v="0"/>
    <n v="172"/>
    <n v="31"/>
    <x v="0"/>
  </r>
  <r>
    <n v="355"/>
    <x v="6"/>
    <x v="110"/>
    <x v="2"/>
    <n v="2021"/>
    <x v="2"/>
    <x v="302"/>
    <n v="436"/>
    <n v="-31"/>
    <x v="343"/>
    <x v="1"/>
    <n v="425"/>
    <n v="-20"/>
    <x v="1"/>
  </r>
  <r>
    <n v="356"/>
    <x v="6"/>
    <x v="111"/>
    <x v="2"/>
    <n v="2021"/>
    <x v="2"/>
    <x v="303"/>
    <n v="254"/>
    <n v="16"/>
    <x v="344"/>
    <x v="0"/>
    <n v="248"/>
    <n v="22"/>
    <x v="0"/>
  </r>
  <r>
    <n v="357"/>
    <x v="6"/>
    <x v="112"/>
    <x v="2"/>
    <n v="2021"/>
    <x v="2"/>
    <x v="304"/>
    <n v="338"/>
    <n v="53"/>
    <x v="345"/>
    <x v="0"/>
    <n v="331"/>
    <n v="60"/>
    <x v="0"/>
  </r>
  <r>
    <n v="358"/>
    <x v="6"/>
    <x v="113"/>
    <x v="2"/>
    <n v="2021"/>
    <x v="2"/>
    <x v="94"/>
    <n v="141"/>
    <n v="4"/>
    <x v="346"/>
    <x v="0"/>
    <n v="138"/>
    <n v="7"/>
    <x v="0"/>
  </r>
  <r>
    <n v="359"/>
    <x v="6"/>
    <x v="114"/>
    <x v="2"/>
    <n v="2021"/>
    <x v="2"/>
    <x v="38"/>
    <n v="236"/>
    <n v="4"/>
    <x v="347"/>
    <x v="0"/>
    <n v="219"/>
    <n v="21"/>
    <x v="0"/>
  </r>
  <r>
    <n v="360"/>
    <x v="6"/>
    <x v="115"/>
    <x v="2"/>
    <n v="2021"/>
    <x v="2"/>
    <x v="130"/>
    <n v="183"/>
    <n v="14"/>
    <x v="348"/>
    <x v="0"/>
    <n v="190"/>
    <n v="7"/>
    <x v="0"/>
  </r>
  <r>
    <n v="361"/>
    <x v="6"/>
    <x v="116"/>
    <x v="2"/>
    <n v="2021"/>
    <x v="2"/>
    <x v="305"/>
    <n v="167"/>
    <n v="16"/>
    <x v="349"/>
    <x v="0"/>
    <n v="168"/>
    <n v="15"/>
    <x v="0"/>
  </r>
  <r>
    <n v="362"/>
    <x v="6"/>
    <x v="117"/>
    <x v="2"/>
    <n v="2021"/>
    <x v="2"/>
    <x v="306"/>
    <n v="103"/>
    <n v="18"/>
    <x v="350"/>
    <x v="0"/>
    <n v="99"/>
    <n v="22"/>
    <x v="0"/>
  </r>
  <r>
    <n v="363"/>
    <x v="6"/>
    <x v="118"/>
    <x v="2"/>
    <n v="2021"/>
    <x v="2"/>
    <x v="197"/>
    <n v="172"/>
    <n v="22"/>
    <x v="351"/>
    <x v="0"/>
    <n v="176"/>
    <n v="18"/>
    <x v="0"/>
  </r>
  <r>
    <n v="364"/>
    <x v="6"/>
    <x v="119"/>
    <x v="2"/>
    <n v="2021"/>
    <x v="2"/>
    <x v="307"/>
    <n v="119"/>
    <n v="0"/>
    <x v="3"/>
    <x v="0"/>
    <n v="115"/>
    <n v="4"/>
    <x v="0"/>
  </r>
  <r>
    <n v="365"/>
    <x v="6"/>
    <x v="120"/>
    <x v="2"/>
    <n v="2021"/>
    <x v="2"/>
    <x v="218"/>
    <n v="257"/>
    <n v="-14"/>
    <x v="237"/>
    <x v="1"/>
    <n v="266"/>
    <n v="-23"/>
    <x v="1"/>
  </r>
  <r>
    <n v="366"/>
    <x v="6"/>
    <x v="121"/>
    <x v="2"/>
    <n v="2021"/>
    <x v="2"/>
    <x v="87"/>
    <n v="279"/>
    <n v="24"/>
    <x v="352"/>
    <x v="0"/>
    <n v="255"/>
    <n v="48"/>
    <x v="0"/>
  </r>
  <r>
    <n v="367"/>
    <x v="0"/>
    <x v="0"/>
    <x v="3"/>
    <n v="2021"/>
    <x v="3"/>
    <x v="308"/>
    <n v="1254"/>
    <n v="214"/>
    <x v="353"/>
    <x v="0"/>
    <n v="346"/>
    <n v="1122"/>
    <x v="0"/>
  </r>
  <r>
    <n v="368"/>
    <x v="0"/>
    <x v="1"/>
    <x v="3"/>
    <n v="2021"/>
    <x v="3"/>
    <x v="309"/>
    <n v="703"/>
    <n v="58"/>
    <x v="354"/>
    <x v="0"/>
    <n v="143"/>
    <n v="618"/>
    <x v="0"/>
  </r>
  <r>
    <n v="369"/>
    <x v="0"/>
    <x v="2"/>
    <x v="3"/>
    <n v="2021"/>
    <x v="3"/>
    <x v="310"/>
    <n v="805"/>
    <n v="49"/>
    <x v="257"/>
    <x v="0"/>
    <n v="228"/>
    <n v="626"/>
    <x v="0"/>
  </r>
  <r>
    <n v="370"/>
    <x v="0"/>
    <x v="3"/>
    <x v="3"/>
    <n v="2021"/>
    <x v="3"/>
    <x v="311"/>
    <n v="108"/>
    <n v="7"/>
    <x v="355"/>
    <x v="0"/>
    <n v="140"/>
    <n v="-25"/>
    <x v="1"/>
  </r>
  <r>
    <n v="371"/>
    <x v="0"/>
    <x v="4"/>
    <x v="3"/>
    <n v="2021"/>
    <x v="3"/>
    <x v="312"/>
    <n v="1181"/>
    <n v="-78"/>
    <x v="356"/>
    <x v="1"/>
    <n v="21"/>
    <n v="1082"/>
    <x v="0"/>
  </r>
  <r>
    <n v="372"/>
    <x v="0"/>
    <x v="5"/>
    <x v="3"/>
    <n v="2021"/>
    <x v="3"/>
    <x v="178"/>
    <n v="599"/>
    <n v="-64"/>
    <x v="357"/>
    <x v="1"/>
    <n v="36"/>
    <n v="499"/>
    <x v="0"/>
  </r>
  <r>
    <n v="373"/>
    <x v="0"/>
    <x v="6"/>
    <x v="3"/>
    <n v="2021"/>
    <x v="3"/>
    <x v="150"/>
    <n v="1064"/>
    <n v="18"/>
    <x v="358"/>
    <x v="0"/>
    <n v="129"/>
    <n v="953"/>
    <x v="0"/>
  </r>
  <r>
    <n v="374"/>
    <x v="0"/>
    <x v="7"/>
    <x v="3"/>
    <n v="2021"/>
    <x v="3"/>
    <x v="174"/>
    <n v="895"/>
    <n v="74"/>
    <x v="359"/>
    <x v="0"/>
    <n v="105"/>
    <n v="864"/>
    <x v="0"/>
  </r>
  <r>
    <n v="375"/>
    <x v="0"/>
    <x v="8"/>
    <x v="3"/>
    <n v="2021"/>
    <x v="3"/>
    <x v="123"/>
    <n v="157"/>
    <n v="-17"/>
    <x v="360"/>
    <x v="1"/>
    <n v="104"/>
    <n v="36"/>
    <x v="0"/>
  </r>
  <r>
    <n v="376"/>
    <x v="0"/>
    <x v="9"/>
    <x v="3"/>
    <n v="2021"/>
    <x v="3"/>
    <x v="313"/>
    <n v="564"/>
    <n v="-12"/>
    <x v="155"/>
    <x v="1"/>
    <n v="114"/>
    <n v="438"/>
    <x v="0"/>
  </r>
  <r>
    <n v="377"/>
    <x v="0"/>
    <x v="10"/>
    <x v="3"/>
    <n v="2021"/>
    <x v="3"/>
    <x v="314"/>
    <n v="492"/>
    <n v="73"/>
    <x v="361"/>
    <x v="0"/>
    <n v="226"/>
    <n v="339"/>
    <x v="0"/>
  </r>
  <r>
    <n v="378"/>
    <x v="0"/>
    <x v="11"/>
    <x v="3"/>
    <n v="2021"/>
    <x v="3"/>
    <x v="234"/>
    <n v="513"/>
    <n v="59"/>
    <x v="362"/>
    <x v="0"/>
    <n v="262"/>
    <n v="310"/>
    <x v="0"/>
  </r>
  <r>
    <n v="379"/>
    <x v="0"/>
    <x v="12"/>
    <x v="3"/>
    <n v="2021"/>
    <x v="3"/>
    <x v="315"/>
    <n v="306"/>
    <n v="62"/>
    <x v="363"/>
    <x v="0"/>
    <n v="216"/>
    <n v="152"/>
    <x v="0"/>
  </r>
  <r>
    <n v="380"/>
    <x v="0"/>
    <x v="13"/>
    <x v="3"/>
    <n v="2021"/>
    <x v="3"/>
    <x v="201"/>
    <n v="151"/>
    <n v="12"/>
    <x v="364"/>
    <x v="0"/>
    <n v="143"/>
    <n v="20"/>
    <x v="0"/>
  </r>
  <r>
    <n v="381"/>
    <x v="0"/>
    <x v="14"/>
    <x v="3"/>
    <n v="2021"/>
    <x v="3"/>
    <x v="314"/>
    <n v="535"/>
    <n v="30"/>
    <x v="365"/>
    <x v="0"/>
    <n v="13"/>
    <n v="552"/>
    <x v="0"/>
  </r>
  <r>
    <n v="382"/>
    <x v="0"/>
    <x v="15"/>
    <x v="3"/>
    <n v="2021"/>
    <x v="3"/>
    <x v="316"/>
    <n v="523"/>
    <n v="5"/>
    <x v="366"/>
    <x v="0"/>
    <n v="114"/>
    <n v="414"/>
    <x v="0"/>
  </r>
  <r>
    <n v="383"/>
    <x v="0"/>
    <x v="16"/>
    <x v="3"/>
    <n v="2021"/>
    <x v="3"/>
    <x v="317"/>
    <n v="158"/>
    <n v="16"/>
    <x v="367"/>
    <x v="0"/>
    <n v="131"/>
    <n v="43"/>
    <x v="0"/>
  </r>
  <r>
    <n v="384"/>
    <x v="0"/>
    <x v="17"/>
    <x v="3"/>
    <n v="2021"/>
    <x v="3"/>
    <x v="131"/>
    <n v="76"/>
    <n v="3"/>
    <x v="368"/>
    <x v="0"/>
    <n v="98"/>
    <n v="-19"/>
    <x v="1"/>
  </r>
  <r>
    <n v="385"/>
    <x v="0"/>
    <x v="18"/>
    <x v="3"/>
    <n v="2021"/>
    <x v="3"/>
    <x v="273"/>
    <n v="581"/>
    <n v="38"/>
    <x v="369"/>
    <x v="0"/>
    <n v="165"/>
    <n v="454"/>
    <x v="0"/>
  </r>
  <r>
    <n v="386"/>
    <x v="1"/>
    <x v="19"/>
    <x v="3"/>
    <n v="2021"/>
    <x v="3"/>
    <x v="72"/>
    <n v="625"/>
    <n v="84"/>
    <x v="370"/>
    <x v="0"/>
    <n v="274"/>
    <n v="435"/>
    <x v="0"/>
  </r>
  <r>
    <n v="387"/>
    <x v="1"/>
    <x v="20"/>
    <x v="3"/>
    <n v="2021"/>
    <x v="3"/>
    <x v="318"/>
    <n v="1015"/>
    <n v="-104"/>
    <x v="371"/>
    <x v="1"/>
    <n v="297"/>
    <n v="614"/>
    <x v="0"/>
  </r>
  <r>
    <n v="388"/>
    <x v="1"/>
    <x v="21"/>
    <x v="3"/>
    <n v="2021"/>
    <x v="3"/>
    <x v="319"/>
    <n v="702"/>
    <n v="-82"/>
    <x v="372"/>
    <x v="1"/>
    <n v="136"/>
    <n v="484"/>
    <x v="0"/>
  </r>
  <r>
    <n v="389"/>
    <x v="1"/>
    <x v="22"/>
    <x v="3"/>
    <n v="2021"/>
    <x v="3"/>
    <x v="320"/>
    <n v="1120"/>
    <n v="100"/>
    <x v="373"/>
    <x v="0"/>
    <n v="179"/>
    <n v="1041"/>
    <x v="0"/>
  </r>
  <r>
    <n v="390"/>
    <x v="1"/>
    <x v="23"/>
    <x v="3"/>
    <n v="2021"/>
    <x v="3"/>
    <x v="321"/>
    <n v="998"/>
    <n v="211"/>
    <x v="374"/>
    <x v="0"/>
    <n v="88"/>
    <n v="1121"/>
    <x v="0"/>
  </r>
  <r>
    <n v="391"/>
    <x v="1"/>
    <x v="24"/>
    <x v="3"/>
    <n v="2021"/>
    <x v="3"/>
    <x v="136"/>
    <n v="20"/>
    <n v="3"/>
    <x v="142"/>
    <x v="0"/>
    <n v="120"/>
    <n v="-97"/>
    <x v="1"/>
  </r>
  <r>
    <n v="392"/>
    <x v="2"/>
    <x v="25"/>
    <x v="3"/>
    <n v="2021"/>
    <x v="3"/>
    <x v="322"/>
    <n v="1197"/>
    <n v="-105"/>
    <x v="375"/>
    <x v="1"/>
    <n v="168"/>
    <n v="924"/>
    <x v="0"/>
  </r>
  <r>
    <n v="393"/>
    <x v="2"/>
    <x v="26"/>
    <x v="3"/>
    <n v="2021"/>
    <x v="3"/>
    <x v="323"/>
    <n v="594"/>
    <n v="84"/>
    <x v="376"/>
    <x v="0"/>
    <n v="68"/>
    <n v="610"/>
    <x v="0"/>
  </r>
  <r>
    <n v="394"/>
    <x v="3"/>
    <x v="27"/>
    <x v="3"/>
    <n v="2021"/>
    <x v="3"/>
    <x v="281"/>
    <n v="892"/>
    <n v="-59"/>
    <x v="377"/>
    <x v="1"/>
    <n v="42"/>
    <n v="791"/>
    <x v="0"/>
  </r>
  <r>
    <n v="395"/>
    <x v="3"/>
    <x v="28"/>
    <x v="3"/>
    <n v="2021"/>
    <x v="3"/>
    <x v="324"/>
    <n v="1487"/>
    <n v="-61"/>
    <x v="378"/>
    <x v="1"/>
    <n v="195"/>
    <n v="1231"/>
    <x v="0"/>
  </r>
  <r>
    <n v="396"/>
    <x v="3"/>
    <x v="29"/>
    <x v="3"/>
    <n v="2021"/>
    <x v="3"/>
    <x v="276"/>
    <n v="1271"/>
    <n v="-92"/>
    <x v="379"/>
    <x v="1"/>
    <n v="312"/>
    <n v="867"/>
    <x v="0"/>
  </r>
  <r>
    <n v="397"/>
    <x v="3"/>
    <x v="30"/>
    <x v="3"/>
    <n v="2021"/>
    <x v="3"/>
    <x v="325"/>
    <n v="1521"/>
    <n v="-79"/>
    <x v="380"/>
    <x v="1"/>
    <n v="33"/>
    <n v="1409"/>
    <x v="0"/>
  </r>
  <r>
    <n v="398"/>
    <x v="3"/>
    <x v="31"/>
    <x v="3"/>
    <n v="2021"/>
    <x v="3"/>
    <x v="326"/>
    <n v="1546"/>
    <n v="198"/>
    <x v="381"/>
    <x v="0"/>
    <n v="177"/>
    <n v="1567"/>
    <x v="0"/>
  </r>
  <r>
    <n v="399"/>
    <x v="3"/>
    <x v="32"/>
    <x v="3"/>
    <n v="2021"/>
    <x v="3"/>
    <x v="327"/>
    <n v="446"/>
    <n v="18"/>
    <x v="382"/>
    <x v="0"/>
    <n v="132"/>
    <n v="332"/>
    <x v="0"/>
  </r>
  <r>
    <n v="400"/>
    <x v="3"/>
    <x v="33"/>
    <x v="3"/>
    <n v="2021"/>
    <x v="3"/>
    <x v="328"/>
    <n v="519"/>
    <n v="47"/>
    <x v="383"/>
    <x v="0"/>
    <n v="79"/>
    <n v="487"/>
    <x v="0"/>
  </r>
  <r>
    <n v="401"/>
    <x v="3"/>
    <x v="34"/>
    <x v="3"/>
    <n v="2021"/>
    <x v="3"/>
    <x v="329"/>
    <n v="673"/>
    <n v="43"/>
    <x v="384"/>
    <x v="0"/>
    <n v="143"/>
    <n v="573"/>
    <x v="0"/>
  </r>
  <r>
    <n v="402"/>
    <x v="3"/>
    <x v="35"/>
    <x v="3"/>
    <n v="2021"/>
    <x v="3"/>
    <x v="330"/>
    <n v="845"/>
    <n v="37"/>
    <x v="385"/>
    <x v="0"/>
    <n v="44"/>
    <n v="838"/>
    <x v="0"/>
  </r>
  <r>
    <n v="403"/>
    <x v="2"/>
    <x v="36"/>
    <x v="3"/>
    <n v="2021"/>
    <x v="3"/>
    <x v="331"/>
    <n v="390"/>
    <n v="68"/>
    <x v="386"/>
    <x v="0"/>
    <n v="25"/>
    <n v="433"/>
    <x v="0"/>
  </r>
  <r>
    <n v="404"/>
    <x v="2"/>
    <x v="37"/>
    <x v="3"/>
    <n v="2021"/>
    <x v="3"/>
    <x v="332"/>
    <n v="636"/>
    <n v="-35"/>
    <x v="387"/>
    <x v="1"/>
    <n v="71"/>
    <n v="530"/>
    <x v="0"/>
  </r>
  <r>
    <n v="405"/>
    <x v="2"/>
    <x v="38"/>
    <x v="3"/>
    <n v="2021"/>
    <x v="3"/>
    <x v="333"/>
    <n v="1027"/>
    <n v="18"/>
    <x v="388"/>
    <x v="0"/>
    <n v="27"/>
    <n v="1018"/>
    <x v="0"/>
  </r>
  <r>
    <n v="406"/>
    <x v="2"/>
    <x v="39"/>
    <x v="3"/>
    <n v="2021"/>
    <x v="3"/>
    <x v="334"/>
    <n v="255"/>
    <n v="7"/>
    <x v="389"/>
    <x v="0"/>
    <n v="31"/>
    <n v="231"/>
    <x v="0"/>
  </r>
  <r>
    <n v="407"/>
    <x v="3"/>
    <x v="40"/>
    <x v="3"/>
    <n v="2021"/>
    <x v="3"/>
    <x v="335"/>
    <n v="127"/>
    <n v="25"/>
    <x v="390"/>
    <x v="0"/>
    <n v="30"/>
    <n v="122"/>
    <x v="0"/>
  </r>
  <r>
    <n v="408"/>
    <x v="3"/>
    <x v="41"/>
    <x v="3"/>
    <n v="2021"/>
    <x v="3"/>
    <x v="336"/>
    <n v="1761"/>
    <n v="59"/>
    <x v="391"/>
    <x v="0"/>
    <n v="184"/>
    <n v="1636"/>
    <x v="0"/>
  </r>
  <r>
    <n v="409"/>
    <x v="3"/>
    <x v="42"/>
    <x v="3"/>
    <n v="2021"/>
    <x v="3"/>
    <x v="260"/>
    <n v="882"/>
    <n v="76"/>
    <x v="281"/>
    <x v="0"/>
    <n v="113"/>
    <n v="845"/>
    <x v="0"/>
  </r>
  <r>
    <n v="410"/>
    <x v="3"/>
    <x v="43"/>
    <x v="3"/>
    <n v="2021"/>
    <x v="3"/>
    <x v="199"/>
    <n v="193"/>
    <n v="16"/>
    <x v="392"/>
    <x v="0"/>
    <n v="145"/>
    <n v="64"/>
    <x v="0"/>
  </r>
  <r>
    <n v="411"/>
    <x v="3"/>
    <x v="44"/>
    <x v="3"/>
    <n v="2021"/>
    <x v="3"/>
    <x v="337"/>
    <n v="1278"/>
    <n v="-92"/>
    <x v="393"/>
    <x v="1"/>
    <n v="127"/>
    <n v="1059"/>
    <x v="0"/>
  </r>
  <r>
    <n v="412"/>
    <x v="3"/>
    <x v="45"/>
    <x v="3"/>
    <n v="2021"/>
    <x v="3"/>
    <x v="338"/>
    <n v="818"/>
    <n v="100"/>
    <x v="394"/>
    <x v="0"/>
    <n v="83"/>
    <n v="835"/>
    <x v="0"/>
  </r>
  <r>
    <n v="413"/>
    <x v="3"/>
    <x v="46"/>
    <x v="3"/>
    <n v="2021"/>
    <x v="3"/>
    <x v="339"/>
    <n v="554"/>
    <n v="86"/>
    <x v="395"/>
    <x v="0"/>
    <n v="116"/>
    <n v="524"/>
    <x v="0"/>
  </r>
  <r>
    <n v="414"/>
    <x v="3"/>
    <x v="47"/>
    <x v="3"/>
    <n v="2021"/>
    <x v="3"/>
    <x v="340"/>
    <n v="550"/>
    <n v="-9"/>
    <x v="396"/>
    <x v="1"/>
    <n v="100"/>
    <n v="441"/>
    <x v="0"/>
  </r>
  <r>
    <n v="415"/>
    <x v="3"/>
    <x v="48"/>
    <x v="3"/>
    <n v="2021"/>
    <x v="3"/>
    <x v="228"/>
    <n v="471"/>
    <n v="39"/>
    <x v="397"/>
    <x v="0"/>
    <n v="117"/>
    <n v="393"/>
    <x v="0"/>
  </r>
  <r>
    <n v="416"/>
    <x v="3"/>
    <x v="49"/>
    <x v="3"/>
    <n v="2021"/>
    <x v="3"/>
    <x v="341"/>
    <n v="695"/>
    <n v="-56"/>
    <x v="398"/>
    <x v="1"/>
    <n v="117"/>
    <n v="522"/>
    <x v="0"/>
  </r>
  <r>
    <n v="417"/>
    <x v="3"/>
    <x v="50"/>
    <x v="3"/>
    <n v="2021"/>
    <x v="3"/>
    <x v="342"/>
    <n v="369"/>
    <n v="7"/>
    <x v="399"/>
    <x v="0"/>
    <n v="51"/>
    <n v="325"/>
    <x v="0"/>
  </r>
  <r>
    <n v="418"/>
    <x v="3"/>
    <x v="51"/>
    <x v="3"/>
    <n v="2021"/>
    <x v="3"/>
    <x v="343"/>
    <n v="90"/>
    <n v="-8"/>
    <x v="400"/>
    <x v="1"/>
    <n v="57"/>
    <n v="25"/>
    <x v="0"/>
  </r>
  <r>
    <n v="419"/>
    <x v="4"/>
    <x v="52"/>
    <x v="3"/>
    <n v="2021"/>
    <x v="3"/>
    <x v="344"/>
    <n v="642"/>
    <n v="40"/>
    <x v="401"/>
    <x v="0"/>
    <n v="36"/>
    <n v="646"/>
    <x v="0"/>
  </r>
  <r>
    <n v="420"/>
    <x v="4"/>
    <x v="53"/>
    <x v="3"/>
    <n v="2021"/>
    <x v="3"/>
    <x v="345"/>
    <n v="131"/>
    <n v="36"/>
    <x v="402"/>
    <x v="0"/>
    <n v="69"/>
    <n v="98"/>
    <x v="0"/>
  </r>
  <r>
    <n v="421"/>
    <x v="4"/>
    <x v="54"/>
    <x v="3"/>
    <n v="2021"/>
    <x v="3"/>
    <x v="346"/>
    <n v="141"/>
    <n v="16"/>
    <x v="403"/>
    <x v="0"/>
    <n v="96"/>
    <n v="61"/>
    <x v="0"/>
  </r>
  <r>
    <n v="422"/>
    <x v="4"/>
    <x v="55"/>
    <x v="3"/>
    <n v="2021"/>
    <x v="3"/>
    <x v="52"/>
    <n v="473"/>
    <n v="-10"/>
    <x v="404"/>
    <x v="1"/>
    <n v="68"/>
    <n v="395"/>
    <x v="0"/>
  </r>
  <r>
    <n v="423"/>
    <x v="4"/>
    <x v="56"/>
    <x v="3"/>
    <n v="2021"/>
    <x v="3"/>
    <x v="347"/>
    <n v="678"/>
    <n v="82"/>
    <x v="405"/>
    <x v="0"/>
    <n v="65"/>
    <n v="695"/>
    <x v="0"/>
  </r>
  <r>
    <n v="424"/>
    <x v="4"/>
    <x v="57"/>
    <x v="3"/>
    <n v="2021"/>
    <x v="3"/>
    <x v="301"/>
    <n v="194"/>
    <n v="9"/>
    <x v="406"/>
    <x v="0"/>
    <n v="152"/>
    <n v="51"/>
    <x v="0"/>
  </r>
  <r>
    <n v="425"/>
    <x v="4"/>
    <x v="58"/>
    <x v="3"/>
    <n v="2021"/>
    <x v="3"/>
    <x v="348"/>
    <n v="1013"/>
    <n v="36"/>
    <x v="407"/>
    <x v="0"/>
    <n v="95"/>
    <n v="954"/>
    <x v="0"/>
  </r>
  <r>
    <n v="426"/>
    <x v="4"/>
    <x v="59"/>
    <x v="3"/>
    <n v="2021"/>
    <x v="3"/>
    <x v="349"/>
    <n v="687"/>
    <n v="78"/>
    <x v="408"/>
    <x v="0"/>
    <n v="140"/>
    <n v="625"/>
    <x v="0"/>
  </r>
  <r>
    <n v="427"/>
    <x v="4"/>
    <x v="60"/>
    <x v="3"/>
    <n v="2021"/>
    <x v="3"/>
    <x v="350"/>
    <n v="1435"/>
    <n v="168"/>
    <x v="409"/>
    <x v="0"/>
    <n v="72"/>
    <n v="1531"/>
    <x v="0"/>
  </r>
  <r>
    <n v="428"/>
    <x v="4"/>
    <x v="61"/>
    <x v="3"/>
    <n v="2021"/>
    <x v="3"/>
    <x v="351"/>
    <n v="1388"/>
    <n v="47"/>
    <x v="410"/>
    <x v="0"/>
    <n v="142"/>
    <n v="1293"/>
    <x v="0"/>
  </r>
  <r>
    <n v="429"/>
    <x v="4"/>
    <x v="62"/>
    <x v="3"/>
    <n v="2021"/>
    <x v="3"/>
    <x v="352"/>
    <n v="523"/>
    <n v="88"/>
    <x v="411"/>
    <x v="0"/>
    <n v="76"/>
    <n v="535"/>
    <x v="0"/>
  </r>
  <r>
    <n v="430"/>
    <x v="4"/>
    <x v="63"/>
    <x v="3"/>
    <n v="2021"/>
    <x v="3"/>
    <x v="125"/>
    <n v="517"/>
    <n v="-1"/>
    <x v="412"/>
    <x v="1"/>
    <n v="63"/>
    <n v="453"/>
    <x v="0"/>
  </r>
  <r>
    <n v="431"/>
    <x v="4"/>
    <x v="64"/>
    <x v="3"/>
    <n v="2021"/>
    <x v="3"/>
    <x v="353"/>
    <n v="531"/>
    <n v="-19"/>
    <x v="413"/>
    <x v="1"/>
    <n v="113"/>
    <n v="399"/>
    <x v="0"/>
  </r>
  <r>
    <n v="432"/>
    <x v="4"/>
    <x v="65"/>
    <x v="3"/>
    <n v="2021"/>
    <x v="3"/>
    <x v="354"/>
    <n v="1002"/>
    <n v="62"/>
    <x v="414"/>
    <x v="0"/>
    <n v="84"/>
    <n v="980"/>
    <x v="0"/>
  </r>
  <r>
    <n v="433"/>
    <x v="4"/>
    <x v="66"/>
    <x v="3"/>
    <n v="2021"/>
    <x v="3"/>
    <x v="355"/>
    <n v="1026"/>
    <n v="-87"/>
    <x v="415"/>
    <x v="1"/>
    <n v="162"/>
    <n v="777"/>
    <x v="0"/>
  </r>
  <r>
    <n v="434"/>
    <x v="4"/>
    <x v="67"/>
    <x v="3"/>
    <n v="2021"/>
    <x v="3"/>
    <x v="356"/>
    <n v="630"/>
    <n v="111"/>
    <x v="416"/>
    <x v="0"/>
    <n v="66"/>
    <n v="675"/>
    <x v="0"/>
  </r>
  <r>
    <n v="435"/>
    <x v="4"/>
    <x v="68"/>
    <x v="3"/>
    <n v="2021"/>
    <x v="3"/>
    <x v="15"/>
    <n v="568"/>
    <n v="-50"/>
    <x v="417"/>
    <x v="1"/>
    <n v="84"/>
    <n v="434"/>
    <x v="0"/>
  </r>
  <r>
    <n v="436"/>
    <x v="4"/>
    <x v="69"/>
    <x v="3"/>
    <n v="2021"/>
    <x v="3"/>
    <x v="357"/>
    <n v="321"/>
    <n v="5"/>
    <x v="418"/>
    <x v="0"/>
    <n v="45"/>
    <n v="281"/>
    <x v="0"/>
  </r>
  <r>
    <n v="437"/>
    <x v="4"/>
    <x v="70"/>
    <x v="3"/>
    <n v="2021"/>
    <x v="3"/>
    <x v="358"/>
    <n v="733"/>
    <n v="83"/>
    <x v="419"/>
    <x v="0"/>
    <n v="6"/>
    <n v="810"/>
    <x v="0"/>
  </r>
  <r>
    <n v="438"/>
    <x v="4"/>
    <x v="71"/>
    <x v="3"/>
    <n v="2021"/>
    <x v="3"/>
    <x v="359"/>
    <n v="572"/>
    <n v="-59"/>
    <x v="420"/>
    <x v="1"/>
    <n v="34"/>
    <n v="479"/>
    <x v="0"/>
  </r>
  <r>
    <n v="439"/>
    <x v="4"/>
    <x v="72"/>
    <x v="3"/>
    <n v="2021"/>
    <x v="3"/>
    <x v="229"/>
    <n v="517"/>
    <n v="13"/>
    <x v="421"/>
    <x v="0"/>
    <n v="28"/>
    <n v="502"/>
    <x v="0"/>
  </r>
  <r>
    <n v="440"/>
    <x v="4"/>
    <x v="73"/>
    <x v="3"/>
    <n v="2021"/>
    <x v="3"/>
    <x v="360"/>
    <n v="865"/>
    <n v="129"/>
    <x v="422"/>
    <x v="0"/>
    <n v="51"/>
    <n v="943"/>
    <x v="0"/>
  </r>
  <r>
    <n v="441"/>
    <x v="4"/>
    <x v="74"/>
    <x v="3"/>
    <n v="2021"/>
    <x v="3"/>
    <x v="361"/>
    <n v="1065"/>
    <n v="33"/>
    <x v="423"/>
    <x v="0"/>
    <n v="19"/>
    <n v="1079"/>
    <x v="0"/>
  </r>
  <r>
    <n v="442"/>
    <x v="4"/>
    <x v="75"/>
    <x v="3"/>
    <n v="2021"/>
    <x v="3"/>
    <x v="349"/>
    <n v="684"/>
    <n v="81"/>
    <x v="424"/>
    <x v="0"/>
    <n v="135"/>
    <n v="630"/>
    <x v="0"/>
  </r>
  <r>
    <n v="443"/>
    <x v="4"/>
    <x v="76"/>
    <x v="3"/>
    <n v="2021"/>
    <x v="3"/>
    <x v="362"/>
    <n v="800"/>
    <n v="-15"/>
    <x v="425"/>
    <x v="1"/>
    <n v="92"/>
    <n v="693"/>
    <x v="0"/>
  </r>
  <r>
    <n v="444"/>
    <x v="4"/>
    <x v="77"/>
    <x v="3"/>
    <n v="2021"/>
    <x v="3"/>
    <x v="363"/>
    <n v="694"/>
    <n v="74"/>
    <x v="426"/>
    <x v="0"/>
    <n v="52"/>
    <n v="716"/>
    <x v="0"/>
  </r>
  <r>
    <n v="445"/>
    <x v="4"/>
    <x v="78"/>
    <x v="3"/>
    <n v="2021"/>
    <x v="3"/>
    <x v="364"/>
    <n v="936"/>
    <n v="-68"/>
    <x v="427"/>
    <x v="1"/>
    <n v="846"/>
    <n v="22"/>
    <x v="0"/>
  </r>
  <r>
    <n v="446"/>
    <x v="4"/>
    <x v="79"/>
    <x v="3"/>
    <n v="2021"/>
    <x v="3"/>
    <x v="365"/>
    <n v="513"/>
    <n v="35"/>
    <x v="428"/>
    <x v="0"/>
    <n v="481"/>
    <n v="67"/>
    <x v="0"/>
  </r>
  <r>
    <n v="447"/>
    <x v="4"/>
    <x v="80"/>
    <x v="3"/>
    <n v="2021"/>
    <x v="3"/>
    <x v="366"/>
    <n v="502"/>
    <n v="-22"/>
    <x v="429"/>
    <x v="1"/>
    <n v="500"/>
    <n v="-20"/>
    <x v="1"/>
  </r>
  <r>
    <n v="448"/>
    <x v="4"/>
    <x v="81"/>
    <x v="3"/>
    <n v="2021"/>
    <x v="3"/>
    <x v="367"/>
    <n v="581"/>
    <n v="132"/>
    <x v="430"/>
    <x v="0"/>
    <n v="580"/>
    <n v="133"/>
    <x v="0"/>
  </r>
  <r>
    <n v="449"/>
    <x v="4"/>
    <x v="82"/>
    <x v="3"/>
    <n v="2021"/>
    <x v="3"/>
    <x v="368"/>
    <n v="430"/>
    <n v="-16"/>
    <x v="431"/>
    <x v="1"/>
    <n v="402"/>
    <n v="12"/>
    <x v="0"/>
  </r>
  <r>
    <n v="450"/>
    <x v="5"/>
    <x v="83"/>
    <x v="3"/>
    <n v="2021"/>
    <x v="3"/>
    <x v="369"/>
    <n v="957"/>
    <n v="-64"/>
    <x v="432"/>
    <x v="1"/>
    <n v="945"/>
    <n v="-52"/>
    <x v="1"/>
  </r>
  <r>
    <n v="451"/>
    <x v="5"/>
    <x v="84"/>
    <x v="3"/>
    <n v="2021"/>
    <x v="3"/>
    <x v="370"/>
    <n v="630"/>
    <n v="113"/>
    <x v="433"/>
    <x v="0"/>
    <n v="606"/>
    <n v="137"/>
    <x v="0"/>
  </r>
  <r>
    <n v="452"/>
    <x v="5"/>
    <x v="85"/>
    <x v="3"/>
    <n v="2021"/>
    <x v="3"/>
    <x v="371"/>
    <n v="439"/>
    <n v="22"/>
    <x v="434"/>
    <x v="0"/>
    <n v="432"/>
    <n v="29"/>
    <x v="0"/>
  </r>
  <r>
    <n v="453"/>
    <x v="5"/>
    <x v="86"/>
    <x v="3"/>
    <n v="2021"/>
    <x v="3"/>
    <x v="372"/>
    <n v="249"/>
    <n v="-4"/>
    <x v="435"/>
    <x v="1"/>
    <n v="234"/>
    <n v="11"/>
    <x v="0"/>
  </r>
  <r>
    <n v="454"/>
    <x v="5"/>
    <x v="87"/>
    <x v="3"/>
    <n v="2021"/>
    <x v="3"/>
    <x v="345"/>
    <n v="155"/>
    <n v="12"/>
    <x v="436"/>
    <x v="0"/>
    <n v="148"/>
    <n v="19"/>
    <x v="0"/>
  </r>
  <r>
    <n v="455"/>
    <x v="5"/>
    <x v="88"/>
    <x v="3"/>
    <n v="2021"/>
    <x v="3"/>
    <x v="373"/>
    <n v="147"/>
    <n v="11"/>
    <x v="437"/>
    <x v="0"/>
    <n v="142"/>
    <n v="16"/>
    <x v="0"/>
  </r>
  <r>
    <n v="456"/>
    <x v="5"/>
    <x v="89"/>
    <x v="3"/>
    <n v="2021"/>
    <x v="3"/>
    <x v="54"/>
    <n v="189"/>
    <n v="9"/>
    <x v="438"/>
    <x v="0"/>
    <n v="204"/>
    <n v="-6"/>
    <x v="1"/>
  </r>
  <r>
    <n v="457"/>
    <x v="5"/>
    <x v="90"/>
    <x v="3"/>
    <n v="2021"/>
    <x v="3"/>
    <x v="199"/>
    <n v="198"/>
    <n v="11"/>
    <x v="439"/>
    <x v="0"/>
    <n v="188"/>
    <n v="21"/>
    <x v="0"/>
  </r>
  <r>
    <n v="458"/>
    <x v="5"/>
    <x v="91"/>
    <x v="3"/>
    <n v="2021"/>
    <x v="3"/>
    <x v="97"/>
    <n v="105"/>
    <n v="-5"/>
    <x v="50"/>
    <x v="1"/>
    <n v="97"/>
    <n v="3"/>
    <x v="0"/>
  </r>
  <r>
    <n v="459"/>
    <x v="5"/>
    <x v="92"/>
    <x v="3"/>
    <n v="2021"/>
    <x v="3"/>
    <x v="374"/>
    <n v="295"/>
    <n v="10"/>
    <x v="440"/>
    <x v="0"/>
    <n v="282"/>
    <n v="23"/>
    <x v="0"/>
  </r>
  <r>
    <n v="460"/>
    <x v="5"/>
    <x v="93"/>
    <x v="3"/>
    <n v="2021"/>
    <x v="3"/>
    <x v="100"/>
    <n v="129"/>
    <n v="18"/>
    <x v="441"/>
    <x v="0"/>
    <n v="136"/>
    <n v="11"/>
    <x v="0"/>
  </r>
  <r>
    <n v="461"/>
    <x v="5"/>
    <x v="94"/>
    <x v="3"/>
    <n v="2021"/>
    <x v="3"/>
    <x v="375"/>
    <n v="80"/>
    <n v="15"/>
    <x v="442"/>
    <x v="0"/>
    <n v="81"/>
    <n v="14"/>
    <x v="0"/>
  </r>
  <r>
    <n v="462"/>
    <x v="5"/>
    <x v="95"/>
    <x v="3"/>
    <n v="2021"/>
    <x v="3"/>
    <x v="216"/>
    <n v="162"/>
    <n v="39"/>
    <x v="443"/>
    <x v="0"/>
    <n v="171"/>
    <n v="30"/>
    <x v="0"/>
  </r>
  <r>
    <n v="463"/>
    <x v="5"/>
    <x v="96"/>
    <x v="3"/>
    <n v="2021"/>
    <x v="3"/>
    <x v="376"/>
    <n v="235"/>
    <n v="-17"/>
    <x v="444"/>
    <x v="1"/>
    <n v="222"/>
    <n v="-4"/>
    <x v="1"/>
  </r>
  <r>
    <n v="464"/>
    <x v="5"/>
    <x v="97"/>
    <x v="3"/>
    <n v="2021"/>
    <x v="3"/>
    <x v="199"/>
    <n v="177"/>
    <n v="32"/>
    <x v="445"/>
    <x v="0"/>
    <n v="181"/>
    <n v="28"/>
    <x v="0"/>
  </r>
  <r>
    <n v="465"/>
    <x v="5"/>
    <x v="98"/>
    <x v="3"/>
    <n v="2021"/>
    <x v="3"/>
    <x v="82"/>
    <n v="125"/>
    <n v="16"/>
    <x v="446"/>
    <x v="0"/>
    <n v="132"/>
    <n v="9"/>
    <x v="0"/>
  </r>
  <r>
    <n v="466"/>
    <x v="5"/>
    <x v="99"/>
    <x v="3"/>
    <n v="2021"/>
    <x v="3"/>
    <x v="377"/>
    <n v="153"/>
    <n v="3"/>
    <x v="447"/>
    <x v="0"/>
    <n v="140"/>
    <n v="16"/>
    <x v="0"/>
  </r>
  <r>
    <n v="467"/>
    <x v="5"/>
    <x v="100"/>
    <x v="3"/>
    <n v="2021"/>
    <x v="3"/>
    <x v="214"/>
    <n v="180"/>
    <n v="-3"/>
    <x v="448"/>
    <x v="1"/>
    <n v="177"/>
    <n v="0"/>
    <x v="1"/>
  </r>
  <r>
    <n v="468"/>
    <x v="5"/>
    <x v="101"/>
    <x v="3"/>
    <n v="2021"/>
    <x v="3"/>
    <x v="299"/>
    <n v="103"/>
    <n v="9"/>
    <x v="449"/>
    <x v="0"/>
    <n v="99"/>
    <n v="13"/>
    <x v="0"/>
  </r>
  <r>
    <n v="469"/>
    <x v="5"/>
    <x v="102"/>
    <x v="3"/>
    <n v="2021"/>
    <x v="3"/>
    <x v="97"/>
    <n v="114"/>
    <n v="-14"/>
    <x v="450"/>
    <x v="1"/>
    <n v="117"/>
    <n v="-17"/>
    <x v="1"/>
  </r>
  <r>
    <n v="470"/>
    <x v="5"/>
    <x v="103"/>
    <x v="3"/>
    <n v="2021"/>
    <x v="3"/>
    <x v="98"/>
    <n v="199"/>
    <n v="14"/>
    <x v="451"/>
    <x v="0"/>
    <n v="206"/>
    <n v="7"/>
    <x v="0"/>
  </r>
  <r>
    <n v="471"/>
    <x v="5"/>
    <x v="104"/>
    <x v="3"/>
    <n v="2021"/>
    <x v="3"/>
    <x v="111"/>
    <n v="112"/>
    <n v="-8"/>
    <x v="452"/>
    <x v="1"/>
    <n v="117"/>
    <n v="-13"/>
    <x v="1"/>
  </r>
  <r>
    <n v="472"/>
    <x v="5"/>
    <x v="105"/>
    <x v="3"/>
    <n v="2021"/>
    <x v="3"/>
    <x v="205"/>
    <n v="174"/>
    <n v="-3"/>
    <x v="453"/>
    <x v="1"/>
    <n v="158"/>
    <n v="13"/>
    <x v="0"/>
  </r>
  <r>
    <n v="473"/>
    <x v="5"/>
    <x v="106"/>
    <x v="3"/>
    <n v="2021"/>
    <x v="3"/>
    <x v="378"/>
    <n v="53"/>
    <n v="2"/>
    <x v="454"/>
    <x v="0"/>
    <n v="59"/>
    <n v="-4"/>
    <x v="1"/>
  </r>
  <r>
    <n v="474"/>
    <x v="6"/>
    <x v="107"/>
    <x v="3"/>
    <n v="2021"/>
    <x v="3"/>
    <x v="33"/>
    <n v="684"/>
    <n v="-74"/>
    <x v="455"/>
    <x v="1"/>
    <n v="667"/>
    <n v="-57"/>
    <x v="1"/>
  </r>
  <r>
    <n v="475"/>
    <x v="6"/>
    <x v="108"/>
    <x v="3"/>
    <n v="2021"/>
    <x v="3"/>
    <x v="316"/>
    <n v="514"/>
    <n v="14"/>
    <x v="456"/>
    <x v="0"/>
    <n v="523"/>
    <n v="5"/>
    <x v="0"/>
  </r>
  <r>
    <n v="476"/>
    <x v="6"/>
    <x v="109"/>
    <x v="3"/>
    <n v="2021"/>
    <x v="3"/>
    <x v="54"/>
    <n v="171"/>
    <n v="27"/>
    <x v="457"/>
    <x v="0"/>
    <n v="175"/>
    <n v="23"/>
    <x v="0"/>
  </r>
  <r>
    <n v="477"/>
    <x v="6"/>
    <x v="110"/>
    <x v="3"/>
    <n v="2021"/>
    <x v="3"/>
    <x v="379"/>
    <n v="436"/>
    <n v="34"/>
    <x v="458"/>
    <x v="0"/>
    <n v="429"/>
    <n v="41"/>
    <x v="0"/>
  </r>
  <r>
    <n v="478"/>
    <x v="6"/>
    <x v="111"/>
    <x v="3"/>
    <n v="2021"/>
    <x v="3"/>
    <x v="380"/>
    <n v="254"/>
    <n v="19"/>
    <x v="459"/>
    <x v="0"/>
    <n v="252"/>
    <n v="21"/>
    <x v="0"/>
  </r>
  <r>
    <n v="479"/>
    <x v="6"/>
    <x v="112"/>
    <x v="3"/>
    <n v="2021"/>
    <x v="3"/>
    <x v="381"/>
    <n v="344"/>
    <n v="50"/>
    <x v="460"/>
    <x v="0"/>
    <n v="331"/>
    <n v="63"/>
    <x v="0"/>
  </r>
  <r>
    <n v="480"/>
    <x v="6"/>
    <x v="113"/>
    <x v="3"/>
    <n v="2021"/>
    <x v="3"/>
    <x v="382"/>
    <n v="143"/>
    <n v="21"/>
    <x v="461"/>
    <x v="0"/>
    <n v="142"/>
    <n v="22"/>
    <x v="0"/>
  </r>
  <r>
    <n v="481"/>
    <x v="6"/>
    <x v="114"/>
    <x v="3"/>
    <n v="2021"/>
    <x v="3"/>
    <x v="210"/>
    <n v="239"/>
    <n v="8"/>
    <x v="462"/>
    <x v="0"/>
    <n v="217"/>
    <n v="30"/>
    <x v="0"/>
  </r>
  <r>
    <n v="482"/>
    <x v="6"/>
    <x v="115"/>
    <x v="3"/>
    <n v="2021"/>
    <x v="3"/>
    <x v="383"/>
    <n v="183"/>
    <n v="-2"/>
    <x v="463"/>
    <x v="1"/>
    <n v="197"/>
    <n v="-16"/>
    <x v="1"/>
  </r>
  <r>
    <n v="483"/>
    <x v="6"/>
    <x v="116"/>
    <x v="3"/>
    <n v="2021"/>
    <x v="3"/>
    <x v="384"/>
    <n v="167"/>
    <n v="21"/>
    <x v="464"/>
    <x v="0"/>
    <n v="166"/>
    <n v="22"/>
    <x v="0"/>
  </r>
  <r>
    <n v="484"/>
    <x v="6"/>
    <x v="117"/>
    <x v="3"/>
    <n v="2021"/>
    <x v="3"/>
    <x v="299"/>
    <n v="104"/>
    <n v="8"/>
    <x v="465"/>
    <x v="0"/>
    <n v="97"/>
    <n v="15"/>
    <x v="0"/>
  </r>
  <r>
    <n v="485"/>
    <x v="6"/>
    <x v="118"/>
    <x v="3"/>
    <n v="2021"/>
    <x v="3"/>
    <x v="385"/>
    <n v="175"/>
    <n v="17"/>
    <x v="466"/>
    <x v="0"/>
    <n v="175"/>
    <n v="17"/>
    <x v="0"/>
  </r>
  <r>
    <n v="486"/>
    <x v="6"/>
    <x v="119"/>
    <x v="3"/>
    <n v="2021"/>
    <x v="3"/>
    <x v="386"/>
    <n v="122"/>
    <n v="-11"/>
    <x v="467"/>
    <x v="1"/>
    <n v="114"/>
    <n v="-3"/>
    <x v="1"/>
  </r>
  <r>
    <n v="487"/>
    <x v="6"/>
    <x v="120"/>
    <x v="3"/>
    <n v="2021"/>
    <x v="3"/>
    <x v="387"/>
    <n v="262"/>
    <n v="20"/>
    <x v="468"/>
    <x v="0"/>
    <n v="265"/>
    <n v="17"/>
    <x v="0"/>
  </r>
  <r>
    <n v="488"/>
    <x v="6"/>
    <x v="121"/>
    <x v="3"/>
    <n v="2021"/>
    <x v="3"/>
    <x v="388"/>
    <n v="284"/>
    <n v="49"/>
    <x v="469"/>
    <x v="0"/>
    <n v="255"/>
    <n v="78"/>
    <x v="0"/>
  </r>
  <r>
    <n v="489"/>
    <x v="0"/>
    <x v="0"/>
    <x v="4"/>
    <n v="2021"/>
    <x v="4"/>
    <x v="116"/>
    <n v="1229"/>
    <n v="132"/>
    <x v="470"/>
    <x v="0"/>
    <n v="350"/>
    <n v="1011"/>
    <x v="0"/>
  </r>
  <r>
    <n v="490"/>
    <x v="0"/>
    <x v="1"/>
    <x v="4"/>
    <n v="2021"/>
    <x v="4"/>
    <x v="389"/>
    <n v="654"/>
    <n v="123"/>
    <x v="471"/>
    <x v="0"/>
    <n v="148"/>
    <n v="629"/>
    <x v="0"/>
  </r>
  <r>
    <n v="491"/>
    <x v="0"/>
    <x v="2"/>
    <x v="4"/>
    <n v="2021"/>
    <x v="4"/>
    <x v="390"/>
    <n v="773"/>
    <n v="219"/>
    <x v="472"/>
    <x v="0"/>
    <n v="235"/>
    <n v="757"/>
    <x v="0"/>
  </r>
  <r>
    <n v="492"/>
    <x v="0"/>
    <x v="3"/>
    <x v="4"/>
    <n v="2021"/>
    <x v="4"/>
    <x v="306"/>
    <n v="101"/>
    <n v="20"/>
    <x v="473"/>
    <x v="0"/>
    <n v="143"/>
    <n v="-22"/>
    <x v="1"/>
  </r>
  <r>
    <n v="493"/>
    <x v="0"/>
    <x v="4"/>
    <x v="4"/>
    <n v="2021"/>
    <x v="4"/>
    <x v="391"/>
    <n v="1193"/>
    <n v="125"/>
    <x v="474"/>
    <x v="0"/>
    <n v="27"/>
    <n v="1291"/>
    <x v="0"/>
  </r>
  <r>
    <n v="494"/>
    <x v="0"/>
    <x v="5"/>
    <x v="4"/>
    <n v="2021"/>
    <x v="4"/>
    <x v="145"/>
    <n v="551"/>
    <n v="28"/>
    <x v="475"/>
    <x v="0"/>
    <n v="34"/>
    <n v="545"/>
    <x v="0"/>
  </r>
  <r>
    <n v="495"/>
    <x v="0"/>
    <x v="6"/>
    <x v="4"/>
    <n v="2021"/>
    <x v="4"/>
    <x v="392"/>
    <n v="1064"/>
    <n v="110"/>
    <x v="476"/>
    <x v="0"/>
    <n v="134"/>
    <n v="1040"/>
    <x v="0"/>
  </r>
  <r>
    <n v="496"/>
    <x v="0"/>
    <x v="7"/>
    <x v="4"/>
    <n v="2021"/>
    <x v="4"/>
    <x v="393"/>
    <n v="877"/>
    <n v="-14"/>
    <x v="477"/>
    <x v="1"/>
    <n v="108"/>
    <n v="755"/>
    <x v="0"/>
  </r>
  <r>
    <n v="497"/>
    <x v="0"/>
    <x v="8"/>
    <x v="4"/>
    <n v="2021"/>
    <x v="4"/>
    <x v="377"/>
    <n v="158"/>
    <n v="-2"/>
    <x v="478"/>
    <x v="1"/>
    <n v="102"/>
    <n v="54"/>
    <x v="0"/>
  </r>
  <r>
    <n v="498"/>
    <x v="0"/>
    <x v="9"/>
    <x v="4"/>
    <n v="2021"/>
    <x v="4"/>
    <x v="230"/>
    <n v="552"/>
    <n v="-26"/>
    <x v="479"/>
    <x v="1"/>
    <n v="119"/>
    <n v="407"/>
    <x v="0"/>
  </r>
  <r>
    <n v="499"/>
    <x v="0"/>
    <x v="10"/>
    <x v="4"/>
    <n v="2021"/>
    <x v="4"/>
    <x v="394"/>
    <n v="462"/>
    <n v="13"/>
    <x v="480"/>
    <x v="0"/>
    <n v="228"/>
    <n v="247"/>
    <x v="0"/>
  </r>
  <r>
    <n v="500"/>
    <x v="0"/>
    <x v="11"/>
    <x v="4"/>
    <n v="2021"/>
    <x v="4"/>
    <x v="186"/>
    <n v="508"/>
    <n v="31"/>
    <x v="481"/>
    <x v="0"/>
    <n v="267"/>
    <n v="272"/>
    <x v="0"/>
  </r>
  <r>
    <n v="501"/>
    <x v="0"/>
    <x v="12"/>
    <x v="4"/>
    <n v="2021"/>
    <x v="4"/>
    <x v="395"/>
    <n v="294"/>
    <n v="26"/>
    <x v="482"/>
    <x v="0"/>
    <n v="218"/>
    <n v="102"/>
    <x v="0"/>
  </r>
  <r>
    <n v="502"/>
    <x v="0"/>
    <x v="13"/>
    <x v="4"/>
    <n v="2021"/>
    <x v="4"/>
    <x v="265"/>
    <n v="140"/>
    <n v="8"/>
    <x v="483"/>
    <x v="0"/>
    <n v="149"/>
    <n v="-1"/>
    <x v="1"/>
  </r>
  <r>
    <n v="503"/>
    <x v="0"/>
    <x v="14"/>
    <x v="4"/>
    <n v="2021"/>
    <x v="4"/>
    <x v="396"/>
    <n v="487"/>
    <n v="116"/>
    <x v="484"/>
    <x v="0"/>
    <n v="20"/>
    <n v="583"/>
    <x v="0"/>
  </r>
  <r>
    <n v="504"/>
    <x v="0"/>
    <x v="15"/>
    <x v="4"/>
    <n v="2021"/>
    <x v="4"/>
    <x v="397"/>
    <n v="497"/>
    <n v="92"/>
    <x v="485"/>
    <x v="0"/>
    <n v="112"/>
    <n v="477"/>
    <x v="0"/>
  </r>
  <r>
    <n v="505"/>
    <x v="0"/>
    <x v="16"/>
    <x v="4"/>
    <n v="2021"/>
    <x v="4"/>
    <x v="398"/>
    <n v="149"/>
    <n v="23"/>
    <x v="486"/>
    <x v="0"/>
    <n v="131"/>
    <n v="41"/>
    <x v="0"/>
  </r>
  <r>
    <n v="506"/>
    <x v="0"/>
    <x v="17"/>
    <x v="4"/>
    <n v="2021"/>
    <x v="4"/>
    <x v="399"/>
    <n v="73"/>
    <n v="2"/>
    <x v="487"/>
    <x v="0"/>
    <n v="99"/>
    <n v="-24"/>
    <x v="1"/>
  </r>
  <r>
    <n v="507"/>
    <x v="0"/>
    <x v="18"/>
    <x v="4"/>
    <n v="2021"/>
    <x v="4"/>
    <x v="400"/>
    <n v="523"/>
    <n v="14"/>
    <x v="488"/>
    <x v="0"/>
    <n v="164"/>
    <n v="373"/>
    <x v="0"/>
  </r>
  <r>
    <n v="508"/>
    <x v="1"/>
    <x v="19"/>
    <x v="4"/>
    <n v="2021"/>
    <x v="4"/>
    <x v="401"/>
    <n v="618"/>
    <n v="100"/>
    <x v="489"/>
    <x v="0"/>
    <n v="279"/>
    <n v="439"/>
    <x v="0"/>
  </r>
  <r>
    <n v="509"/>
    <x v="1"/>
    <x v="20"/>
    <x v="4"/>
    <n v="2021"/>
    <x v="4"/>
    <x v="402"/>
    <n v="975"/>
    <n v="6"/>
    <x v="490"/>
    <x v="0"/>
    <n v="300"/>
    <n v="681"/>
    <x v="0"/>
  </r>
  <r>
    <n v="510"/>
    <x v="1"/>
    <x v="21"/>
    <x v="4"/>
    <n v="2021"/>
    <x v="4"/>
    <x v="403"/>
    <n v="702"/>
    <n v="46"/>
    <x v="491"/>
    <x v="0"/>
    <n v="141"/>
    <n v="607"/>
    <x v="0"/>
  </r>
  <r>
    <n v="511"/>
    <x v="1"/>
    <x v="22"/>
    <x v="4"/>
    <n v="2021"/>
    <x v="4"/>
    <x v="404"/>
    <n v="1120"/>
    <n v="167"/>
    <x v="492"/>
    <x v="0"/>
    <n v="182"/>
    <n v="1105"/>
    <x v="0"/>
  </r>
  <r>
    <n v="512"/>
    <x v="1"/>
    <x v="23"/>
    <x v="4"/>
    <n v="2021"/>
    <x v="4"/>
    <x v="121"/>
    <n v="918"/>
    <n v="203"/>
    <x v="493"/>
    <x v="0"/>
    <n v="92"/>
    <n v="1029"/>
    <x v="0"/>
  </r>
  <r>
    <n v="513"/>
    <x v="1"/>
    <x v="24"/>
    <x v="4"/>
    <n v="2021"/>
    <x v="4"/>
    <x v="405"/>
    <n v="20"/>
    <n v="4"/>
    <x v="494"/>
    <x v="0"/>
    <n v="125"/>
    <n v="-101"/>
    <x v="1"/>
  </r>
  <r>
    <n v="514"/>
    <x v="2"/>
    <x v="25"/>
    <x v="4"/>
    <n v="2021"/>
    <x v="4"/>
    <x v="406"/>
    <n v="1221"/>
    <n v="62"/>
    <x v="495"/>
    <x v="0"/>
    <n v="169"/>
    <n v="1114"/>
    <x v="0"/>
  </r>
  <r>
    <n v="515"/>
    <x v="2"/>
    <x v="26"/>
    <x v="4"/>
    <n v="2021"/>
    <x v="4"/>
    <x v="407"/>
    <n v="558"/>
    <n v="143"/>
    <x v="496"/>
    <x v="0"/>
    <n v="68"/>
    <n v="633"/>
    <x v="0"/>
  </r>
  <r>
    <n v="516"/>
    <x v="3"/>
    <x v="27"/>
    <x v="4"/>
    <n v="2021"/>
    <x v="4"/>
    <x v="408"/>
    <n v="901"/>
    <n v="59"/>
    <x v="497"/>
    <x v="0"/>
    <n v="40"/>
    <n v="920"/>
    <x v="0"/>
  </r>
  <r>
    <n v="517"/>
    <x v="3"/>
    <x v="28"/>
    <x v="4"/>
    <n v="2021"/>
    <x v="4"/>
    <x v="409"/>
    <n v="1487"/>
    <n v="50"/>
    <x v="498"/>
    <x v="0"/>
    <n v="194"/>
    <n v="1343"/>
    <x v="0"/>
  </r>
  <r>
    <n v="518"/>
    <x v="3"/>
    <x v="29"/>
    <x v="4"/>
    <n v="2021"/>
    <x v="4"/>
    <x v="410"/>
    <n v="1246"/>
    <n v="-38"/>
    <x v="499"/>
    <x v="1"/>
    <n v="318"/>
    <n v="890"/>
    <x v="0"/>
  </r>
  <r>
    <n v="519"/>
    <x v="3"/>
    <x v="30"/>
    <x v="4"/>
    <n v="2021"/>
    <x v="4"/>
    <x v="350"/>
    <n v="1460"/>
    <n v="143"/>
    <x v="500"/>
    <x v="0"/>
    <n v="37"/>
    <n v="1566"/>
    <x v="0"/>
  </r>
  <r>
    <n v="520"/>
    <x v="3"/>
    <x v="31"/>
    <x v="4"/>
    <n v="2021"/>
    <x v="4"/>
    <x v="411"/>
    <n v="1407"/>
    <n v="355"/>
    <x v="501"/>
    <x v="0"/>
    <n v="183"/>
    <n v="1579"/>
    <x v="0"/>
  </r>
  <r>
    <n v="521"/>
    <x v="3"/>
    <x v="32"/>
    <x v="4"/>
    <n v="2021"/>
    <x v="4"/>
    <x v="412"/>
    <n v="451"/>
    <n v="33"/>
    <x v="502"/>
    <x v="0"/>
    <n v="132"/>
    <n v="352"/>
    <x v="0"/>
  </r>
  <r>
    <n v="522"/>
    <x v="3"/>
    <x v="33"/>
    <x v="4"/>
    <n v="2021"/>
    <x v="4"/>
    <x v="314"/>
    <n v="493"/>
    <n v="72"/>
    <x v="503"/>
    <x v="0"/>
    <n v="81"/>
    <n v="484"/>
    <x v="0"/>
  </r>
  <r>
    <n v="523"/>
    <x v="3"/>
    <x v="34"/>
    <x v="4"/>
    <n v="2021"/>
    <x v="4"/>
    <x v="329"/>
    <n v="612"/>
    <n v="104"/>
    <x v="504"/>
    <x v="0"/>
    <n v="149"/>
    <n v="567"/>
    <x v="0"/>
  </r>
  <r>
    <n v="524"/>
    <x v="3"/>
    <x v="35"/>
    <x v="4"/>
    <n v="2021"/>
    <x v="4"/>
    <x v="413"/>
    <n v="845"/>
    <n v="84"/>
    <x v="505"/>
    <x v="0"/>
    <n v="44"/>
    <n v="885"/>
    <x v="0"/>
  </r>
  <r>
    <n v="525"/>
    <x v="2"/>
    <x v="36"/>
    <x v="4"/>
    <n v="2021"/>
    <x v="4"/>
    <x v="366"/>
    <n v="367"/>
    <n v="113"/>
    <x v="506"/>
    <x v="0"/>
    <n v="30"/>
    <n v="450"/>
    <x v="0"/>
  </r>
  <r>
    <n v="526"/>
    <x v="2"/>
    <x v="37"/>
    <x v="4"/>
    <n v="2021"/>
    <x v="4"/>
    <x v="341"/>
    <n v="578"/>
    <n v="61"/>
    <x v="507"/>
    <x v="0"/>
    <n v="75"/>
    <n v="564"/>
    <x v="0"/>
  </r>
  <r>
    <n v="527"/>
    <x v="2"/>
    <x v="38"/>
    <x v="4"/>
    <n v="2021"/>
    <x v="4"/>
    <x v="414"/>
    <n v="1048"/>
    <n v="-92"/>
    <x v="508"/>
    <x v="1"/>
    <n v="28"/>
    <n v="928"/>
    <x v="0"/>
  </r>
  <r>
    <n v="528"/>
    <x v="2"/>
    <x v="39"/>
    <x v="4"/>
    <n v="2021"/>
    <x v="4"/>
    <x v="415"/>
    <n v="247"/>
    <n v="31"/>
    <x v="509"/>
    <x v="0"/>
    <n v="32"/>
    <n v="246"/>
    <x v="0"/>
  </r>
  <r>
    <n v="529"/>
    <x v="3"/>
    <x v="40"/>
    <x v="4"/>
    <n v="2021"/>
    <x v="4"/>
    <x v="93"/>
    <n v="130"/>
    <n v="-4"/>
    <x v="510"/>
    <x v="1"/>
    <n v="35"/>
    <n v="91"/>
    <x v="0"/>
  </r>
  <r>
    <n v="530"/>
    <x v="3"/>
    <x v="41"/>
    <x v="4"/>
    <n v="2021"/>
    <x v="4"/>
    <x v="416"/>
    <n v="1655"/>
    <n v="515"/>
    <x v="511"/>
    <x v="0"/>
    <n v="185"/>
    <n v="1985"/>
    <x v="0"/>
  </r>
  <r>
    <n v="531"/>
    <x v="3"/>
    <x v="42"/>
    <x v="4"/>
    <n v="2021"/>
    <x v="4"/>
    <x v="417"/>
    <n v="864"/>
    <n v="203"/>
    <x v="512"/>
    <x v="0"/>
    <n v="112"/>
    <n v="955"/>
    <x v="0"/>
  </r>
  <r>
    <n v="532"/>
    <x v="3"/>
    <x v="43"/>
    <x v="4"/>
    <n v="2021"/>
    <x v="4"/>
    <x v="54"/>
    <n v="188"/>
    <n v="10"/>
    <x v="513"/>
    <x v="0"/>
    <n v="148"/>
    <n v="50"/>
    <x v="0"/>
  </r>
  <r>
    <n v="533"/>
    <x v="3"/>
    <x v="44"/>
    <x v="4"/>
    <n v="2021"/>
    <x v="4"/>
    <x v="418"/>
    <n v="1278"/>
    <n v="-85"/>
    <x v="514"/>
    <x v="1"/>
    <n v="131"/>
    <n v="1062"/>
    <x v="0"/>
  </r>
  <r>
    <n v="534"/>
    <x v="3"/>
    <x v="45"/>
    <x v="4"/>
    <n v="2021"/>
    <x v="4"/>
    <x v="419"/>
    <n v="834"/>
    <n v="-2"/>
    <x v="515"/>
    <x v="1"/>
    <n v="88"/>
    <n v="744"/>
    <x v="0"/>
  </r>
  <r>
    <n v="535"/>
    <x v="3"/>
    <x v="46"/>
    <x v="4"/>
    <n v="2021"/>
    <x v="4"/>
    <x v="20"/>
    <n v="537"/>
    <n v="91"/>
    <x v="516"/>
    <x v="0"/>
    <n v="122"/>
    <n v="506"/>
    <x v="0"/>
  </r>
  <r>
    <n v="536"/>
    <x v="3"/>
    <x v="47"/>
    <x v="4"/>
    <n v="2021"/>
    <x v="4"/>
    <x v="328"/>
    <n v="506"/>
    <n v="60"/>
    <x v="517"/>
    <x v="0"/>
    <n v="105"/>
    <n v="461"/>
    <x v="0"/>
  </r>
  <r>
    <n v="537"/>
    <x v="3"/>
    <x v="48"/>
    <x v="4"/>
    <n v="2021"/>
    <x v="4"/>
    <x v="420"/>
    <n v="471"/>
    <n v="40"/>
    <x v="518"/>
    <x v="0"/>
    <n v="121"/>
    <n v="390"/>
    <x v="0"/>
  </r>
  <r>
    <n v="538"/>
    <x v="3"/>
    <x v="49"/>
    <x v="4"/>
    <n v="2021"/>
    <x v="4"/>
    <x v="407"/>
    <n v="660"/>
    <n v="41"/>
    <x v="519"/>
    <x v="0"/>
    <n v="117"/>
    <n v="584"/>
    <x v="0"/>
  </r>
  <r>
    <n v="539"/>
    <x v="3"/>
    <x v="50"/>
    <x v="4"/>
    <n v="2021"/>
    <x v="4"/>
    <x v="421"/>
    <n v="373"/>
    <n v="-22"/>
    <x v="520"/>
    <x v="1"/>
    <n v="58"/>
    <n v="293"/>
    <x v="0"/>
  </r>
  <r>
    <n v="540"/>
    <x v="3"/>
    <x v="51"/>
    <x v="4"/>
    <n v="2021"/>
    <x v="4"/>
    <x v="89"/>
    <n v="89"/>
    <n v="-6"/>
    <x v="521"/>
    <x v="1"/>
    <n v="63"/>
    <n v="20"/>
    <x v="0"/>
  </r>
  <r>
    <n v="541"/>
    <x v="4"/>
    <x v="52"/>
    <x v="4"/>
    <n v="2021"/>
    <x v="4"/>
    <x v="244"/>
    <n v="649"/>
    <n v="9"/>
    <x v="522"/>
    <x v="0"/>
    <n v="40"/>
    <n v="618"/>
    <x v="0"/>
  </r>
  <r>
    <n v="542"/>
    <x v="4"/>
    <x v="53"/>
    <x v="4"/>
    <n v="2021"/>
    <x v="4"/>
    <x v="82"/>
    <n v="122"/>
    <n v="19"/>
    <x v="523"/>
    <x v="0"/>
    <n v="68"/>
    <n v="73"/>
    <x v="0"/>
  </r>
  <r>
    <n v="543"/>
    <x v="4"/>
    <x v="54"/>
    <x v="4"/>
    <n v="2021"/>
    <x v="4"/>
    <x v="100"/>
    <n v="138"/>
    <n v="9"/>
    <x v="524"/>
    <x v="0"/>
    <n v="97"/>
    <n v="50"/>
    <x v="0"/>
  </r>
  <r>
    <n v="544"/>
    <x v="4"/>
    <x v="55"/>
    <x v="4"/>
    <n v="2021"/>
    <x v="4"/>
    <x v="422"/>
    <n v="473"/>
    <n v="17"/>
    <x v="525"/>
    <x v="0"/>
    <n v="67"/>
    <n v="423"/>
    <x v="0"/>
  </r>
  <r>
    <n v="545"/>
    <x v="4"/>
    <x v="56"/>
    <x v="4"/>
    <n v="2021"/>
    <x v="4"/>
    <x v="423"/>
    <n v="630"/>
    <n v="115"/>
    <x v="526"/>
    <x v="0"/>
    <n v="64"/>
    <n v="681"/>
    <x v="0"/>
  </r>
  <r>
    <n v="546"/>
    <x v="4"/>
    <x v="57"/>
    <x v="4"/>
    <n v="2021"/>
    <x v="4"/>
    <x v="199"/>
    <n v="198"/>
    <n v="11"/>
    <x v="439"/>
    <x v="0"/>
    <n v="153"/>
    <n v="56"/>
    <x v="0"/>
  </r>
  <r>
    <n v="547"/>
    <x v="4"/>
    <x v="58"/>
    <x v="4"/>
    <n v="2021"/>
    <x v="4"/>
    <x v="424"/>
    <n v="942"/>
    <n v="-9"/>
    <x v="527"/>
    <x v="1"/>
    <n v="96"/>
    <n v="837"/>
    <x v="0"/>
  </r>
  <r>
    <n v="548"/>
    <x v="4"/>
    <x v="59"/>
    <x v="4"/>
    <n v="2021"/>
    <x v="4"/>
    <x v="425"/>
    <n v="680"/>
    <n v="54"/>
    <x v="528"/>
    <x v="0"/>
    <n v="139"/>
    <n v="595"/>
    <x v="0"/>
  </r>
  <r>
    <n v="549"/>
    <x v="4"/>
    <x v="60"/>
    <x v="4"/>
    <n v="2021"/>
    <x v="4"/>
    <x v="426"/>
    <n v="1392"/>
    <n v="86"/>
    <x v="529"/>
    <x v="0"/>
    <n v="78"/>
    <n v="1400"/>
    <x v="0"/>
  </r>
  <r>
    <n v="550"/>
    <x v="4"/>
    <x v="61"/>
    <x v="4"/>
    <n v="2021"/>
    <x v="4"/>
    <x v="427"/>
    <n v="1388"/>
    <n v="61"/>
    <x v="530"/>
    <x v="0"/>
    <n v="141"/>
    <n v="1308"/>
    <x v="0"/>
  </r>
  <r>
    <n v="551"/>
    <x v="4"/>
    <x v="62"/>
    <x v="4"/>
    <n v="2021"/>
    <x v="4"/>
    <x v="262"/>
    <n v="471"/>
    <n v="73"/>
    <x v="531"/>
    <x v="0"/>
    <n v="81"/>
    <n v="463"/>
    <x v="0"/>
  </r>
  <r>
    <n v="552"/>
    <x v="4"/>
    <x v="63"/>
    <x v="4"/>
    <n v="2021"/>
    <x v="4"/>
    <x v="428"/>
    <n v="476"/>
    <n v="71"/>
    <x v="532"/>
    <x v="0"/>
    <n v="69"/>
    <n v="478"/>
    <x v="0"/>
  </r>
  <r>
    <n v="553"/>
    <x v="4"/>
    <x v="64"/>
    <x v="4"/>
    <n v="2021"/>
    <x v="4"/>
    <x v="175"/>
    <n v="510"/>
    <n v="21"/>
    <x v="533"/>
    <x v="0"/>
    <n v="113"/>
    <n v="418"/>
    <x v="0"/>
  </r>
  <r>
    <n v="554"/>
    <x v="4"/>
    <x v="65"/>
    <x v="4"/>
    <n v="2021"/>
    <x v="4"/>
    <x v="429"/>
    <n v="1002"/>
    <n v="157"/>
    <x v="534"/>
    <x v="0"/>
    <n v="83"/>
    <n v="1076"/>
    <x v="0"/>
  </r>
  <r>
    <n v="555"/>
    <x v="4"/>
    <x v="66"/>
    <x v="4"/>
    <n v="2021"/>
    <x v="4"/>
    <x v="167"/>
    <n v="944"/>
    <n v="151"/>
    <x v="535"/>
    <x v="0"/>
    <n v="163"/>
    <n v="932"/>
    <x v="0"/>
  </r>
  <r>
    <n v="556"/>
    <x v="4"/>
    <x v="67"/>
    <x v="4"/>
    <n v="2021"/>
    <x v="4"/>
    <x v="430"/>
    <n v="643"/>
    <n v="68"/>
    <x v="536"/>
    <x v="0"/>
    <n v="65"/>
    <n v="646"/>
    <x v="0"/>
  </r>
  <r>
    <n v="557"/>
    <x v="4"/>
    <x v="68"/>
    <x v="4"/>
    <n v="2021"/>
    <x v="4"/>
    <x v="187"/>
    <n v="562"/>
    <n v="-58"/>
    <x v="537"/>
    <x v="1"/>
    <n v="84"/>
    <n v="420"/>
    <x v="0"/>
  </r>
  <r>
    <n v="558"/>
    <x v="4"/>
    <x v="69"/>
    <x v="4"/>
    <n v="2021"/>
    <x v="4"/>
    <x v="431"/>
    <n v="289"/>
    <n v="24"/>
    <x v="538"/>
    <x v="0"/>
    <n v="51"/>
    <n v="262"/>
    <x v="0"/>
  </r>
  <r>
    <n v="559"/>
    <x v="4"/>
    <x v="70"/>
    <x v="4"/>
    <n v="2021"/>
    <x v="4"/>
    <x v="432"/>
    <n v="696"/>
    <n v="93"/>
    <x v="539"/>
    <x v="0"/>
    <n v="8"/>
    <n v="781"/>
    <x v="0"/>
  </r>
  <r>
    <n v="560"/>
    <x v="4"/>
    <x v="71"/>
    <x v="4"/>
    <n v="2021"/>
    <x v="4"/>
    <x v="275"/>
    <n v="555"/>
    <n v="33"/>
    <x v="540"/>
    <x v="0"/>
    <n v="36"/>
    <n v="552"/>
    <x v="0"/>
  </r>
  <r>
    <n v="561"/>
    <x v="4"/>
    <x v="72"/>
    <x v="4"/>
    <n v="2021"/>
    <x v="4"/>
    <x v="228"/>
    <n v="501"/>
    <n v="9"/>
    <x v="541"/>
    <x v="0"/>
    <n v="28"/>
    <n v="482"/>
    <x v="0"/>
  </r>
  <r>
    <n v="562"/>
    <x v="4"/>
    <x v="73"/>
    <x v="4"/>
    <n v="2021"/>
    <x v="4"/>
    <x v="433"/>
    <n v="795"/>
    <n v="260"/>
    <x v="542"/>
    <x v="0"/>
    <n v="56"/>
    <n v="999"/>
    <x v="0"/>
  </r>
  <r>
    <n v="563"/>
    <x v="4"/>
    <x v="74"/>
    <x v="4"/>
    <n v="2021"/>
    <x v="4"/>
    <x v="434"/>
    <n v="1001"/>
    <n v="126"/>
    <x v="543"/>
    <x v="0"/>
    <n v="17"/>
    <n v="1110"/>
    <x v="0"/>
  </r>
  <r>
    <n v="564"/>
    <x v="4"/>
    <x v="75"/>
    <x v="4"/>
    <n v="2021"/>
    <x v="4"/>
    <x v="435"/>
    <n v="615"/>
    <n v="57"/>
    <x v="544"/>
    <x v="0"/>
    <n v="137"/>
    <n v="535"/>
    <x v="0"/>
  </r>
  <r>
    <n v="565"/>
    <x v="4"/>
    <x v="76"/>
    <x v="4"/>
    <n v="2021"/>
    <x v="4"/>
    <x v="436"/>
    <n v="768"/>
    <n v="-35"/>
    <x v="545"/>
    <x v="1"/>
    <n v="93"/>
    <n v="640"/>
    <x v="0"/>
  </r>
  <r>
    <n v="566"/>
    <x v="4"/>
    <x v="77"/>
    <x v="4"/>
    <n v="2021"/>
    <x v="4"/>
    <x v="363"/>
    <n v="624"/>
    <n v="144"/>
    <x v="546"/>
    <x v="0"/>
    <n v="51"/>
    <n v="717"/>
    <x v="0"/>
  </r>
  <r>
    <n v="567"/>
    <x v="4"/>
    <x v="78"/>
    <x v="4"/>
    <n v="2021"/>
    <x v="4"/>
    <x v="437"/>
    <n v="936"/>
    <n v="89"/>
    <x v="547"/>
    <x v="0"/>
    <n v="852"/>
    <n v="173"/>
    <x v="0"/>
  </r>
  <r>
    <n v="568"/>
    <x v="4"/>
    <x v="79"/>
    <x v="4"/>
    <n v="2021"/>
    <x v="4"/>
    <x v="438"/>
    <n v="487"/>
    <n v="59"/>
    <x v="548"/>
    <x v="0"/>
    <n v="487"/>
    <n v="59"/>
    <x v="0"/>
  </r>
  <r>
    <n v="569"/>
    <x v="4"/>
    <x v="80"/>
    <x v="4"/>
    <n v="2021"/>
    <x v="4"/>
    <x v="439"/>
    <n v="482"/>
    <n v="89"/>
    <x v="549"/>
    <x v="0"/>
    <n v="506"/>
    <n v="65"/>
    <x v="0"/>
  </r>
  <r>
    <n v="570"/>
    <x v="4"/>
    <x v="81"/>
    <x v="4"/>
    <n v="2021"/>
    <x v="4"/>
    <x v="440"/>
    <n v="581"/>
    <n v="89"/>
    <x v="550"/>
    <x v="0"/>
    <n v="579"/>
    <n v="91"/>
    <x v="0"/>
  </r>
  <r>
    <n v="571"/>
    <x v="4"/>
    <x v="82"/>
    <x v="4"/>
    <n v="2021"/>
    <x v="4"/>
    <x v="331"/>
    <n v="387"/>
    <n v="71"/>
    <x v="551"/>
    <x v="0"/>
    <n v="400"/>
    <n v="58"/>
    <x v="0"/>
  </r>
  <r>
    <n v="572"/>
    <x v="5"/>
    <x v="83"/>
    <x v="4"/>
    <n v="2021"/>
    <x v="4"/>
    <x v="133"/>
    <n v="938"/>
    <n v="122"/>
    <x v="552"/>
    <x v="0"/>
    <n v="948"/>
    <n v="112"/>
    <x v="0"/>
  </r>
  <r>
    <n v="573"/>
    <x v="5"/>
    <x v="84"/>
    <x v="4"/>
    <n v="2021"/>
    <x v="4"/>
    <x v="73"/>
    <n v="592"/>
    <n v="107"/>
    <x v="553"/>
    <x v="0"/>
    <n v="610"/>
    <n v="89"/>
    <x v="0"/>
  </r>
  <r>
    <n v="574"/>
    <x v="5"/>
    <x v="85"/>
    <x v="4"/>
    <n v="2021"/>
    <x v="4"/>
    <x v="441"/>
    <n v="408"/>
    <n v="7"/>
    <x v="554"/>
    <x v="0"/>
    <n v="434"/>
    <n v="-19"/>
    <x v="1"/>
  </r>
  <r>
    <n v="575"/>
    <x v="5"/>
    <x v="86"/>
    <x v="4"/>
    <n v="2021"/>
    <x v="4"/>
    <x v="442"/>
    <n v="236"/>
    <n v="17"/>
    <x v="555"/>
    <x v="0"/>
    <n v="240"/>
    <n v="13"/>
    <x v="0"/>
  </r>
  <r>
    <n v="576"/>
    <x v="5"/>
    <x v="87"/>
    <x v="4"/>
    <n v="2021"/>
    <x v="4"/>
    <x v="443"/>
    <n v="152"/>
    <n v="-1"/>
    <x v="556"/>
    <x v="1"/>
    <n v="154"/>
    <n v="-3"/>
    <x v="1"/>
  </r>
  <r>
    <n v="577"/>
    <x v="5"/>
    <x v="88"/>
    <x v="4"/>
    <n v="2021"/>
    <x v="4"/>
    <x v="444"/>
    <n v="150"/>
    <n v="0"/>
    <x v="3"/>
    <x v="0"/>
    <n v="142"/>
    <n v="8"/>
    <x v="0"/>
  </r>
  <r>
    <n v="578"/>
    <x v="5"/>
    <x v="89"/>
    <x v="4"/>
    <n v="2021"/>
    <x v="4"/>
    <x v="98"/>
    <n v="172"/>
    <n v="41"/>
    <x v="557"/>
    <x v="0"/>
    <n v="206"/>
    <n v="7"/>
    <x v="0"/>
  </r>
  <r>
    <n v="579"/>
    <x v="5"/>
    <x v="90"/>
    <x v="4"/>
    <n v="2021"/>
    <x v="4"/>
    <x v="216"/>
    <n v="180"/>
    <n v="21"/>
    <x v="558"/>
    <x v="0"/>
    <n v="189"/>
    <n v="12"/>
    <x v="0"/>
  </r>
  <r>
    <n v="580"/>
    <x v="5"/>
    <x v="91"/>
    <x v="4"/>
    <n v="2021"/>
    <x v="4"/>
    <x v="445"/>
    <n v="98"/>
    <n v="-1"/>
    <x v="559"/>
    <x v="1"/>
    <n v="103"/>
    <n v="-6"/>
    <x v="1"/>
  </r>
  <r>
    <n v="581"/>
    <x v="5"/>
    <x v="92"/>
    <x v="4"/>
    <n v="2021"/>
    <x v="4"/>
    <x v="446"/>
    <n v="266"/>
    <n v="36"/>
    <x v="560"/>
    <x v="0"/>
    <n v="285"/>
    <n v="17"/>
    <x v="0"/>
  </r>
  <r>
    <n v="582"/>
    <x v="5"/>
    <x v="93"/>
    <x v="4"/>
    <n v="2021"/>
    <x v="4"/>
    <x v="346"/>
    <n v="118"/>
    <n v="39"/>
    <x v="561"/>
    <x v="0"/>
    <n v="141"/>
    <n v="16"/>
    <x v="0"/>
  </r>
  <r>
    <n v="583"/>
    <x v="5"/>
    <x v="94"/>
    <x v="4"/>
    <n v="2021"/>
    <x v="4"/>
    <x v="375"/>
    <n v="78"/>
    <n v="17"/>
    <x v="562"/>
    <x v="0"/>
    <n v="88"/>
    <n v="7"/>
    <x v="0"/>
  </r>
  <r>
    <n v="584"/>
    <x v="5"/>
    <x v="95"/>
    <x v="4"/>
    <n v="2021"/>
    <x v="4"/>
    <x v="235"/>
    <n v="148"/>
    <n v="47"/>
    <x v="563"/>
    <x v="0"/>
    <n v="173"/>
    <n v="22"/>
    <x v="0"/>
  </r>
  <r>
    <n v="585"/>
    <x v="5"/>
    <x v="96"/>
    <x v="4"/>
    <n v="2021"/>
    <x v="4"/>
    <x v="447"/>
    <n v="228"/>
    <n v="7"/>
    <x v="564"/>
    <x v="0"/>
    <n v="225"/>
    <n v="10"/>
    <x v="0"/>
  </r>
  <r>
    <n v="586"/>
    <x v="5"/>
    <x v="97"/>
    <x v="4"/>
    <n v="2021"/>
    <x v="4"/>
    <x v="376"/>
    <n v="166"/>
    <n v="52"/>
    <x v="565"/>
    <x v="0"/>
    <n v="185"/>
    <n v="33"/>
    <x v="0"/>
  </r>
  <r>
    <n v="587"/>
    <x v="5"/>
    <x v="98"/>
    <x v="4"/>
    <n v="2021"/>
    <x v="4"/>
    <x v="448"/>
    <n v="125"/>
    <n v="8"/>
    <x v="566"/>
    <x v="0"/>
    <n v="131"/>
    <n v="2"/>
    <x v="0"/>
  </r>
  <r>
    <n v="588"/>
    <x v="5"/>
    <x v="99"/>
    <x v="4"/>
    <n v="2021"/>
    <x v="4"/>
    <x v="449"/>
    <n v="143"/>
    <n v="30"/>
    <x v="567"/>
    <x v="0"/>
    <n v="144"/>
    <n v="29"/>
    <x v="0"/>
  </r>
  <r>
    <n v="589"/>
    <x v="5"/>
    <x v="100"/>
    <x v="4"/>
    <n v="2021"/>
    <x v="4"/>
    <x v="450"/>
    <n v="165"/>
    <n v="41"/>
    <x v="568"/>
    <x v="0"/>
    <n v="183"/>
    <n v="23"/>
    <x v="0"/>
  </r>
  <r>
    <n v="590"/>
    <x v="5"/>
    <x v="101"/>
    <x v="4"/>
    <n v="2021"/>
    <x v="4"/>
    <x v="264"/>
    <n v="99"/>
    <n v="-6"/>
    <x v="569"/>
    <x v="1"/>
    <n v="99"/>
    <n v="-6"/>
    <x v="1"/>
  </r>
  <r>
    <n v="591"/>
    <x v="5"/>
    <x v="102"/>
    <x v="4"/>
    <n v="2021"/>
    <x v="4"/>
    <x v="299"/>
    <n v="112"/>
    <n v="0"/>
    <x v="3"/>
    <x v="0"/>
    <n v="118"/>
    <n v="-6"/>
    <x v="1"/>
  </r>
  <r>
    <n v="592"/>
    <x v="5"/>
    <x v="103"/>
    <x v="4"/>
    <n v="2021"/>
    <x v="4"/>
    <x v="218"/>
    <n v="193"/>
    <n v="50"/>
    <x v="570"/>
    <x v="0"/>
    <n v="206"/>
    <n v="37"/>
    <x v="0"/>
  </r>
  <r>
    <n v="593"/>
    <x v="5"/>
    <x v="104"/>
    <x v="4"/>
    <n v="2021"/>
    <x v="4"/>
    <x v="386"/>
    <n v="101"/>
    <n v="10"/>
    <x v="14"/>
    <x v="0"/>
    <n v="119"/>
    <n v="-8"/>
    <x v="1"/>
  </r>
  <r>
    <n v="594"/>
    <x v="5"/>
    <x v="105"/>
    <x v="4"/>
    <n v="2021"/>
    <x v="4"/>
    <x v="317"/>
    <n v="174"/>
    <n v="0"/>
    <x v="3"/>
    <x v="0"/>
    <n v="165"/>
    <n v="9"/>
    <x v="0"/>
  </r>
  <r>
    <n v="595"/>
    <x v="5"/>
    <x v="106"/>
    <x v="4"/>
    <n v="2021"/>
    <x v="4"/>
    <x v="451"/>
    <n v="53"/>
    <n v="7"/>
    <x v="571"/>
    <x v="0"/>
    <n v="57"/>
    <n v="3"/>
    <x v="0"/>
  </r>
  <r>
    <n v="596"/>
    <x v="6"/>
    <x v="107"/>
    <x v="4"/>
    <n v="2021"/>
    <x v="4"/>
    <x v="452"/>
    <n v="629"/>
    <n v="96"/>
    <x v="572"/>
    <x v="0"/>
    <n v="667"/>
    <n v="58"/>
    <x v="0"/>
  </r>
  <r>
    <n v="597"/>
    <x v="6"/>
    <x v="108"/>
    <x v="4"/>
    <n v="2021"/>
    <x v="4"/>
    <x v="453"/>
    <n v="519"/>
    <n v="43"/>
    <x v="573"/>
    <x v="0"/>
    <n v="522"/>
    <n v="40"/>
    <x v="0"/>
  </r>
  <r>
    <n v="598"/>
    <x v="6"/>
    <x v="109"/>
    <x v="4"/>
    <n v="2021"/>
    <x v="4"/>
    <x v="454"/>
    <n v="166"/>
    <n v="20"/>
    <x v="574"/>
    <x v="0"/>
    <n v="181"/>
    <n v="5"/>
    <x v="0"/>
  </r>
  <r>
    <n v="599"/>
    <x v="6"/>
    <x v="110"/>
    <x v="4"/>
    <n v="2021"/>
    <x v="4"/>
    <x v="46"/>
    <n v="397"/>
    <n v="74"/>
    <x v="575"/>
    <x v="0"/>
    <n v="435"/>
    <n v="36"/>
    <x v="0"/>
  </r>
  <r>
    <n v="600"/>
    <x v="6"/>
    <x v="111"/>
    <x v="4"/>
    <n v="2021"/>
    <x v="4"/>
    <x v="455"/>
    <n v="252"/>
    <n v="32"/>
    <x v="576"/>
    <x v="0"/>
    <n v="255"/>
    <n v="29"/>
    <x v="0"/>
  </r>
  <r>
    <n v="601"/>
    <x v="6"/>
    <x v="112"/>
    <x v="4"/>
    <n v="2021"/>
    <x v="4"/>
    <x v="456"/>
    <n v="348"/>
    <n v="-6"/>
    <x v="453"/>
    <x v="1"/>
    <n v="337"/>
    <n v="5"/>
    <x v="0"/>
  </r>
  <r>
    <n v="602"/>
    <x v="6"/>
    <x v="113"/>
    <x v="4"/>
    <n v="2021"/>
    <x v="4"/>
    <x v="258"/>
    <n v="133"/>
    <n v="11"/>
    <x v="577"/>
    <x v="0"/>
    <n v="141"/>
    <n v="3"/>
    <x v="0"/>
  </r>
  <r>
    <n v="603"/>
    <x v="6"/>
    <x v="114"/>
    <x v="4"/>
    <n v="2021"/>
    <x v="4"/>
    <x v="457"/>
    <n v="239"/>
    <n v="24"/>
    <x v="578"/>
    <x v="0"/>
    <n v="221"/>
    <n v="42"/>
    <x v="0"/>
  </r>
  <r>
    <n v="604"/>
    <x v="6"/>
    <x v="115"/>
    <x v="4"/>
    <n v="2021"/>
    <x v="4"/>
    <x v="202"/>
    <n v="170"/>
    <n v="29"/>
    <x v="579"/>
    <x v="0"/>
    <n v="200"/>
    <n v="-1"/>
    <x v="1"/>
  </r>
  <r>
    <n v="605"/>
    <x v="6"/>
    <x v="116"/>
    <x v="4"/>
    <n v="2021"/>
    <x v="4"/>
    <x v="92"/>
    <n v="170"/>
    <n v="14"/>
    <x v="580"/>
    <x v="0"/>
    <n v="168"/>
    <n v="16"/>
    <x v="0"/>
  </r>
  <r>
    <n v="606"/>
    <x v="6"/>
    <x v="117"/>
    <x v="4"/>
    <n v="2021"/>
    <x v="4"/>
    <x v="458"/>
    <n v="101"/>
    <n v="19"/>
    <x v="581"/>
    <x v="0"/>
    <n v="100"/>
    <n v="20"/>
    <x v="0"/>
  </r>
  <r>
    <n v="607"/>
    <x v="6"/>
    <x v="118"/>
    <x v="4"/>
    <n v="2021"/>
    <x v="4"/>
    <x v="454"/>
    <n v="163"/>
    <n v="23"/>
    <x v="582"/>
    <x v="0"/>
    <n v="176"/>
    <n v="10"/>
    <x v="0"/>
  </r>
  <r>
    <n v="608"/>
    <x v="6"/>
    <x v="119"/>
    <x v="4"/>
    <n v="2021"/>
    <x v="4"/>
    <x v="217"/>
    <n v="113"/>
    <n v="3"/>
    <x v="583"/>
    <x v="0"/>
    <n v="118"/>
    <n v="-2"/>
    <x v="1"/>
  </r>
  <r>
    <n v="609"/>
    <x v="6"/>
    <x v="120"/>
    <x v="4"/>
    <n v="2021"/>
    <x v="4"/>
    <x v="459"/>
    <n v="235"/>
    <n v="57"/>
    <x v="584"/>
    <x v="0"/>
    <n v="269"/>
    <n v="23"/>
    <x v="0"/>
  </r>
  <r>
    <n v="610"/>
    <x v="6"/>
    <x v="121"/>
    <x v="4"/>
    <n v="2021"/>
    <x v="4"/>
    <x v="460"/>
    <n v="279"/>
    <n v="6"/>
    <x v="585"/>
    <x v="0"/>
    <n v="260"/>
    <n v="25"/>
    <x v="0"/>
  </r>
  <r>
    <n v="611"/>
    <x v="0"/>
    <x v="0"/>
    <x v="5"/>
    <n v="2021"/>
    <x v="5"/>
    <x v="461"/>
    <n v="1229"/>
    <n v="48"/>
    <x v="586"/>
    <x v="0"/>
    <n v="349"/>
    <n v="928"/>
    <x v="0"/>
  </r>
  <r>
    <n v="612"/>
    <x v="0"/>
    <x v="1"/>
    <x v="5"/>
    <n v="2021"/>
    <x v="5"/>
    <x v="462"/>
    <n v="667"/>
    <n v="-3"/>
    <x v="587"/>
    <x v="1"/>
    <n v="152"/>
    <n v="512"/>
    <x v="0"/>
  </r>
  <r>
    <n v="613"/>
    <x v="0"/>
    <x v="2"/>
    <x v="5"/>
    <n v="2021"/>
    <x v="5"/>
    <x v="463"/>
    <n v="781"/>
    <n v="88"/>
    <x v="588"/>
    <x v="0"/>
    <n v="241"/>
    <n v="628"/>
    <x v="0"/>
  </r>
  <r>
    <n v="614"/>
    <x v="0"/>
    <x v="3"/>
    <x v="5"/>
    <n v="2021"/>
    <x v="5"/>
    <x v="464"/>
    <n v="103"/>
    <n v="10"/>
    <x v="589"/>
    <x v="0"/>
    <n v="148"/>
    <n v="-35"/>
    <x v="1"/>
  </r>
  <r>
    <n v="615"/>
    <x v="0"/>
    <x v="4"/>
    <x v="5"/>
    <n v="2021"/>
    <x v="5"/>
    <x v="465"/>
    <n v="1217"/>
    <n v="-80"/>
    <x v="590"/>
    <x v="1"/>
    <n v="30"/>
    <n v="1107"/>
    <x v="0"/>
  </r>
  <r>
    <n v="616"/>
    <x v="0"/>
    <x v="5"/>
    <x v="5"/>
    <n v="2021"/>
    <x v="5"/>
    <x v="466"/>
    <n v="562"/>
    <n v="11"/>
    <x v="591"/>
    <x v="0"/>
    <n v="36"/>
    <n v="537"/>
    <x v="0"/>
  </r>
  <r>
    <n v="617"/>
    <x v="0"/>
    <x v="6"/>
    <x v="5"/>
    <n v="2021"/>
    <x v="5"/>
    <x v="467"/>
    <n v="1086"/>
    <n v="-76"/>
    <x v="592"/>
    <x v="1"/>
    <n v="140"/>
    <n v="870"/>
    <x v="0"/>
  </r>
  <r>
    <n v="618"/>
    <x v="0"/>
    <x v="7"/>
    <x v="5"/>
    <n v="2021"/>
    <x v="5"/>
    <x v="468"/>
    <n v="895"/>
    <n v="-25"/>
    <x v="593"/>
    <x v="1"/>
    <n v="110"/>
    <n v="760"/>
    <x v="0"/>
  </r>
  <r>
    <n v="619"/>
    <x v="0"/>
    <x v="8"/>
    <x v="5"/>
    <n v="2021"/>
    <x v="5"/>
    <x v="123"/>
    <n v="160"/>
    <n v="-20"/>
    <x v="594"/>
    <x v="1"/>
    <n v="104"/>
    <n v="36"/>
    <x v="0"/>
  </r>
  <r>
    <n v="620"/>
    <x v="0"/>
    <x v="9"/>
    <x v="5"/>
    <n v="2021"/>
    <x v="5"/>
    <x v="469"/>
    <n v="563"/>
    <n v="-21"/>
    <x v="595"/>
    <x v="1"/>
    <n v="117"/>
    <n v="425"/>
    <x v="0"/>
  </r>
  <r>
    <n v="621"/>
    <x v="0"/>
    <x v="10"/>
    <x v="5"/>
    <n v="2021"/>
    <x v="5"/>
    <x v="470"/>
    <n v="467"/>
    <n v="5"/>
    <x v="596"/>
    <x v="0"/>
    <n v="231"/>
    <n v="241"/>
    <x v="0"/>
  </r>
  <r>
    <n v="622"/>
    <x v="0"/>
    <x v="11"/>
    <x v="5"/>
    <n v="2021"/>
    <x v="5"/>
    <x v="428"/>
    <n v="518"/>
    <n v="29"/>
    <x v="597"/>
    <x v="0"/>
    <n v="267"/>
    <n v="280"/>
    <x v="0"/>
  </r>
  <r>
    <n v="623"/>
    <x v="0"/>
    <x v="12"/>
    <x v="5"/>
    <n v="2021"/>
    <x v="5"/>
    <x v="471"/>
    <n v="294"/>
    <n v="78"/>
    <x v="598"/>
    <x v="0"/>
    <n v="219"/>
    <n v="153"/>
    <x v="0"/>
  </r>
  <r>
    <n v="624"/>
    <x v="0"/>
    <x v="13"/>
    <x v="5"/>
    <n v="2021"/>
    <x v="5"/>
    <x v="377"/>
    <n v="142"/>
    <n v="14"/>
    <x v="599"/>
    <x v="0"/>
    <n v="151"/>
    <n v="5"/>
    <x v="0"/>
  </r>
  <r>
    <n v="625"/>
    <x v="0"/>
    <x v="14"/>
    <x v="5"/>
    <n v="2021"/>
    <x v="5"/>
    <x v="453"/>
    <n v="497"/>
    <n v="65"/>
    <x v="600"/>
    <x v="0"/>
    <n v="26"/>
    <n v="536"/>
    <x v="0"/>
  </r>
  <r>
    <n v="626"/>
    <x v="0"/>
    <x v="15"/>
    <x v="5"/>
    <n v="2021"/>
    <x v="5"/>
    <x v="262"/>
    <n v="507"/>
    <n v="37"/>
    <x v="601"/>
    <x v="0"/>
    <n v="118"/>
    <n v="426"/>
    <x v="0"/>
  </r>
  <r>
    <n v="627"/>
    <x v="0"/>
    <x v="16"/>
    <x v="5"/>
    <n v="2021"/>
    <x v="5"/>
    <x v="90"/>
    <n v="150"/>
    <n v="20"/>
    <x v="602"/>
    <x v="0"/>
    <n v="133"/>
    <n v="37"/>
    <x v="0"/>
  </r>
  <r>
    <n v="628"/>
    <x v="0"/>
    <x v="17"/>
    <x v="5"/>
    <n v="2021"/>
    <x v="5"/>
    <x v="399"/>
    <n v="74"/>
    <n v="1"/>
    <x v="603"/>
    <x v="0"/>
    <n v="104"/>
    <n v="-29"/>
    <x v="1"/>
  </r>
  <r>
    <n v="629"/>
    <x v="0"/>
    <x v="18"/>
    <x v="5"/>
    <n v="2021"/>
    <x v="5"/>
    <x v="145"/>
    <n v="528"/>
    <n v="51"/>
    <x v="604"/>
    <x v="0"/>
    <n v="170"/>
    <n v="409"/>
    <x v="0"/>
  </r>
  <r>
    <n v="630"/>
    <x v="1"/>
    <x v="19"/>
    <x v="5"/>
    <n v="2021"/>
    <x v="5"/>
    <x v="117"/>
    <n v="631"/>
    <n v="55"/>
    <x v="605"/>
    <x v="0"/>
    <n v="283"/>
    <n v="403"/>
    <x v="0"/>
  </r>
  <r>
    <n v="631"/>
    <x v="1"/>
    <x v="20"/>
    <x v="5"/>
    <n v="2021"/>
    <x v="5"/>
    <x v="174"/>
    <n v="984"/>
    <n v="-15"/>
    <x v="606"/>
    <x v="1"/>
    <n v="299"/>
    <n v="670"/>
    <x v="0"/>
  </r>
  <r>
    <n v="632"/>
    <x v="1"/>
    <x v="21"/>
    <x v="5"/>
    <n v="2021"/>
    <x v="5"/>
    <x v="472"/>
    <n v="702"/>
    <n v="52"/>
    <x v="607"/>
    <x v="0"/>
    <n v="141"/>
    <n v="613"/>
    <x v="0"/>
  </r>
  <r>
    <n v="633"/>
    <x v="1"/>
    <x v="22"/>
    <x v="5"/>
    <n v="2021"/>
    <x v="5"/>
    <x v="473"/>
    <n v="1120"/>
    <n v="113"/>
    <x v="608"/>
    <x v="0"/>
    <n v="181"/>
    <n v="1052"/>
    <x v="0"/>
  </r>
  <r>
    <n v="634"/>
    <x v="1"/>
    <x v="23"/>
    <x v="5"/>
    <n v="2021"/>
    <x v="5"/>
    <x v="474"/>
    <n v="918"/>
    <n v="195"/>
    <x v="609"/>
    <x v="0"/>
    <n v="97"/>
    <n v="1016"/>
    <x v="0"/>
  </r>
  <r>
    <n v="635"/>
    <x v="1"/>
    <x v="24"/>
    <x v="5"/>
    <n v="2021"/>
    <x v="5"/>
    <x v="405"/>
    <n v="20"/>
    <n v="4"/>
    <x v="494"/>
    <x v="0"/>
    <n v="130"/>
    <n v="-106"/>
    <x v="1"/>
  </r>
  <r>
    <n v="636"/>
    <x v="2"/>
    <x v="25"/>
    <x v="5"/>
    <n v="2021"/>
    <x v="5"/>
    <x v="21"/>
    <n v="1246"/>
    <n v="-97"/>
    <x v="610"/>
    <x v="1"/>
    <n v="168"/>
    <n v="981"/>
    <x v="0"/>
  </r>
  <r>
    <n v="637"/>
    <x v="2"/>
    <x v="26"/>
    <x v="5"/>
    <n v="2021"/>
    <x v="5"/>
    <x v="475"/>
    <n v="564"/>
    <n v="163"/>
    <x v="611"/>
    <x v="0"/>
    <n v="72"/>
    <n v="655"/>
    <x v="0"/>
  </r>
  <r>
    <n v="638"/>
    <x v="3"/>
    <x v="27"/>
    <x v="5"/>
    <n v="2021"/>
    <x v="5"/>
    <x v="476"/>
    <n v="919"/>
    <n v="-40"/>
    <x v="612"/>
    <x v="1"/>
    <n v="43"/>
    <n v="836"/>
    <x v="0"/>
  </r>
  <r>
    <n v="639"/>
    <x v="3"/>
    <x v="28"/>
    <x v="5"/>
    <n v="2021"/>
    <x v="5"/>
    <x v="477"/>
    <n v="1502"/>
    <n v="-38"/>
    <x v="613"/>
    <x v="1"/>
    <n v="192"/>
    <n v="1272"/>
    <x v="0"/>
  </r>
  <r>
    <n v="640"/>
    <x v="3"/>
    <x v="29"/>
    <x v="5"/>
    <n v="2021"/>
    <x v="5"/>
    <x v="116"/>
    <n v="1246"/>
    <n v="115"/>
    <x v="614"/>
    <x v="0"/>
    <n v="322"/>
    <n v="1039"/>
    <x v="0"/>
  </r>
  <r>
    <n v="641"/>
    <x v="3"/>
    <x v="30"/>
    <x v="5"/>
    <n v="2021"/>
    <x v="5"/>
    <x v="478"/>
    <n v="1460"/>
    <n v="-53"/>
    <x v="615"/>
    <x v="1"/>
    <n v="38"/>
    <n v="1369"/>
    <x v="0"/>
  </r>
  <r>
    <n v="642"/>
    <x v="3"/>
    <x v="31"/>
    <x v="5"/>
    <n v="2021"/>
    <x v="5"/>
    <x v="479"/>
    <n v="1407"/>
    <n v="368"/>
    <x v="616"/>
    <x v="0"/>
    <n v="183"/>
    <n v="1592"/>
    <x v="0"/>
  </r>
  <r>
    <n v="643"/>
    <x v="3"/>
    <x v="32"/>
    <x v="5"/>
    <n v="2021"/>
    <x v="5"/>
    <x v="480"/>
    <n v="455"/>
    <n v="36"/>
    <x v="617"/>
    <x v="0"/>
    <n v="130"/>
    <n v="361"/>
    <x v="0"/>
  </r>
  <r>
    <n v="644"/>
    <x v="3"/>
    <x v="33"/>
    <x v="5"/>
    <n v="2021"/>
    <x v="5"/>
    <x v="481"/>
    <n v="493"/>
    <n v="60"/>
    <x v="618"/>
    <x v="0"/>
    <n v="81"/>
    <n v="472"/>
    <x v="0"/>
  </r>
  <r>
    <n v="645"/>
    <x v="3"/>
    <x v="34"/>
    <x v="5"/>
    <n v="2021"/>
    <x v="5"/>
    <x v="20"/>
    <n v="624"/>
    <n v="4"/>
    <x v="619"/>
    <x v="0"/>
    <n v="154"/>
    <n v="474"/>
    <x v="0"/>
  </r>
  <r>
    <n v="646"/>
    <x v="3"/>
    <x v="35"/>
    <x v="5"/>
    <n v="2021"/>
    <x v="5"/>
    <x v="189"/>
    <n v="853"/>
    <n v="84"/>
    <x v="620"/>
    <x v="0"/>
    <n v="47"/>
    <n v="890"/>
    <x v="0"/>
  </r>
  <r>
    <n v="647"/>
    <x v="2"/>
    <x v="36"/>
    <x v="5"/>
    <n v="2021"/>
    <x v="5"/>
    <x v="75"/>
    <n v="367"/>
    <n v="107"/>
    <x v="621"/>
    <x v="0"/>
    <n v="33"/>
    <n v="441"/>
    <x v="0"/>
  </r>
  <r>
    <n v="648"/>
    <x v="2"/>
    <x v="37"/>
    <x v="5"/>
    <n v="2021"/>
    <x v="5"/>
    <x v="1"/>
    <n v="584"/>
    <n v="93"/>
    <x v="622"/>
    <x v="0"/>
    <n v="76"/>
    <n v="601"/>
    <x v="0"/>
  </r>
  <r>
    <n v="649"/>
    <x v="2"/>
    <x v="38"/>
    <x v="5"/>
    <n v="2021"/>
    <x v="5"/>
    <x v="482"/>
    <n v="1048"/>
    <n v="54"/>
    <x v="623"/>
    <x v="0"/>
    <n v="30"/>
    <n v="1072"/>
    <x v="0"/>
  </r>
  <r>
    <n v="650"/>
    <x v="2"/>
    <x v="39"/>
    <x v="5"/>
    <n v="2021"/>
    <x v="5"/>
    <x v="483"/>
    <n v="252"/>
    <n v="19"/>
    <x v="624"/>
    <x v="0"/>
    <n v="34"/>
    <n v="237"/>
    <x v="0"/>
  </r>
  <r>
    <n v="651"/>
    <x v="3"/>
    <x v="40"/>
    <x v="5"/>
    <n v="2021"/>
    <x v="5"/>
    <x v="100"/>
    <n v="131"/>
    <n v="16"/>
    <x v="625"/>
    <x v="0"/>
    <n v="35"/>
    <n v="112"/>
    <x v="0"/>
  </r>
  <r>
    <n v="652"/>
    <x v="3"/>
    <x v="41"/>
    <x v="5"/>
    <n v="2021"/>
    <x v="5"/>
    <x v="484"/>
    <n v="1688"/>
    <n v="403"/>
    <x v="626"/>
    <x v="0"/>
    <n v="185"/>
    <n v="1906"/>
    <x v="0"/>
  </r>
  <r>
    <n v="653"/>
    <x v="3"/>
    <x v="42"/>
    <x v="5"/>
    <n v="2021"/>
    <x v="5"/>
    <x v="485"/>
    <n v="882"/>
    <n v="165"/>
    <x v="627"/>
    <x v="0"/>
    <n v="119"/>
    <n v="928"/>
    <x v="0"/>
  </r>
  <r>
    <n v="654"/>
    <x v="3"/>
    <x v="43"/>
    <x v="5"/>
    <n v="2021"/>
    <x v="5"/>
    <x v="376"/>
    <n v="191"/>
    <n v="27"/>
    <x v="628"/>
    <x v="0"/>
    <n v="149"/>
    <n v="69"/>
    <x v="0"/>
  </r>
  <r>
    <n v="655"/>
    <x v="3"/>
    <x v="44"/>
    <x v="5"/>
    <n v="2021"/>
    <x v="5"/>
    <x v="486"/>
    <n v="1303"/>
    <n v="-47"/>
    <x v="629"/>
    <x v="1"/>
    <n v="134"/>
    <n v="1122"/>
    <x v="0"/>
  </r>
  <r>
    <n v="656"/>
    <x v="3"/>
    <x v="45"/>
    <x v="5"/>
    <n v="2021"/>
    <x v="5"/>
    <x v="487"/>
    <n v="851"/>
    <n v="69"/>
    <x v="630"/>
    <x v="0"/>
    <n v="95"/>
    <n v="825"/>
    <x v="0"/>
  </r>
  <r>
    <n v="657"/>
    <x v="3"/>
    <x v="46"/>
    <x v="5"/>
    <n v="2021"/>
    <x v="5"/>
    <x v="488"/>
    <n v="542"/>
    <n v="14"/>
    <x v="631"/>
    <x v="0"/>
    <n v="122"/>
    <n v="434"/>
    <x v="0"/>
  </r>
  <r>
    <n v="658"/>
    <x v="3"/>
    <x v="47"/>
    <x v="5"/>
    <n v="2021"/>
    <x v="5"/>
    <x v="489"/>
    <n v="516"/>
    <n v="80"/>
    <x v="632"/>
    <x v="0"/>
    <n v="110"/>
    <n v="486"/>
    <x v="0"/>
  </r>
  <r>
    <n v="659"/>
    <x v="3"/>
    <x v="48"/>
    <x v="5"/>
    <n v="2021"/>
    <x v="5"/>
    <x v="490"/>
    <n v="476"/>
    <n v="17"/>
    <x v="633"/>
    <x v="0"/>
    <n v="127"/>
    <n v="366"/>
    <x v="0"/>
  </r>
  <r>
    <n v="660"/>
    <x v="3"/>
    <x v="49"/>
    <x v="5"/>
    <n v="2021"/>
    <x v="5"/>
    <x v="255"/>
    <n v="660"/>
    <n v="-14"/>
    <x v="634"/>
    <x v="1"/>
    <n v="117"/>
    <n v="529"/>
    <x v="0"/>
  </r>
  <r>
    <n v="661"/>
    <x v="3"/>
    <x v="50"/>
    <x v="5"/>
    <n v="2021"/>
    <x v="5"/>
    <x v="491"/>
    <n v="377"/>
    <n v="1"/>
    <x v="635"/>
    <x v="0"/>
    <n v="56"/>
    <n v="322"/>
    <x v="0"/>
  </r>
  <r>
    <n v="662"/>
    <x v="3"/>
    <x v="51"/>
    <x v="5"/>
    <n v="2021"/>
    <x v="5"/>
    <x v="86"/>
    <n v="89"/>
    <n v="1"/>
    <x v="636"/>
    <x v="0"/>
    <n v="65"/>
    <n v="25"/>
    <x v="0"/>
  </r>
  <r>
    <n v="663"/>
    <x v="4"/>
    <x v="52"/>
    <x v="5"/>
    <n v="2021"/>
    <x v="5"/>
    <x v="492"/>
    <n v="655"/>
    <n v="26"/>
    <x v="637"/>
    <x v="0"/>
    <n v="43"/>
    <n v="638"/>
    <x v="0"/>
  </r>
  <r>
    <n v="664"/>
    <x v="4"/>
    <x v="53"/>
    <x v="5"/>
    <n v="2021"/>
    <x v="5"/>
    <x v="107"/>
    <n v="125"/>
    <n v="12"/>
    <x v="638"/>
    <x v="0"/>
    <n v="68"/>
    <n v="69"/>
    <x v="0"/>
  </r>
  <r>
    <n v="665"/>
    <x v="4"/>
    <x v="54"/>
    <x v="5"/>
    <n v="2021"/>
    <x v="5"/>
    <x v="443"/>
    <n v="141"/>
    <n v="10"/>
    <x v="639"/>
    <x v="0"/>
    <n v="102"/>
    <n v="49"/>
    <x v="0"/>
  </r>
  <r>
    <n v="666"/>
    <x v="4"/>
    <x v="55"/>
    <x v="5"/>
    <n v="2021"/>
    <x v="5"/>
    <x v="52"/>
    <n v="482"/>
    <n v="-19"/>
    <x v="640"/>
    <x v="1"/>
    <n v="67"/>
    <n v="396"/>
    <x v="0"/>
  </r>
  <r>
    <n v="667"/>
    <x v="4"/>
    <x v="56"/>
    <x v="5"/>
    <n v="2021"/>
    <x v="5"/>
    <x v="493"/>
    <n v="643"/>
    <n v="41"/>
    <x v="641"/>
    <x v="0"/>
    <n v="67"/>
    <n v="617"/>
    <x v="0"/>
  </r>
  <r>
    <n v="668"/>
    <x v="4"/>
    <x v="57"/>
    <x v="5"/>
    <n v="2021"/>
    <x v="5"/>
    <x v="494"/>
    <n v="198"/>
    <n v="12"/>
    <x v="642"/>
    <x v="0"/>
    <n v="152"/>
    <n v="58"/>
    <x v="0"/>
  </r>
  <r>
    <n v="669"/>
    <x v="4"/>
    <x v="58"/>
    <x v="5"/>
    <n v="2021"/>
    <x v="5"/>
    <x v="495"/>
    <n v="951"/>
    <n v="145"/>
    <x v="643"/>
    <x v="0"/>
    <n v="103"/>
    <n v="993"/>
    <x v="0"/>
  </r>
  <r>
    <n v="670"/>
    <x v="4"/>
    <x v="59"/>
    <x v="5"/>
    <n v="2021"/>
    <x v="5"/>
    <x v="496"/>
    <n v="687"/>
    <n v="84"/>
    <x v="644"/>
    <x v="0"/>
    <n v="143"/>
    <n v="628"/>
    <x v="0"/>
  </r>
  <r>
    <n v="671"/>
    <x v="4"/>
    <x v="60"/>
    <x v="5"/>
    <n v="2021"/>
    <x v="5"/>
    <x v="497"/>
    <n v="1419"/>
    <n v="218"/>
    <x v="645"/>
    <x v="0"/>
    <n v="81"/>
    <n v="1556"/>
    <x v="0"/>
  </r>
  <r>
    <n v="672"/>
    <x v="4"/>
    <x v="61"/>
    <x v="5"/>
    <n v="2021"/>
    <x v="5"/>
    <x v="498"/>
    <n v="1415"/>
    <n v="223"/>
    <x v="646"/>
    <x v="0"/>
    <n v="144"/>
    <n v="1494"/>
    <x v="0"/>
  </r>
  <r>
    <n v="673"/>
    <x v="4"/>
    <x v="62"/>
    <x v="5"/>
    <n v="2021"/>
    <x v="5"/>
    <x v="25"/>
    <n v="476"/>
    <n v="147"/>
    <x v="647"/>
    <x v="0"/>
    <n v="86"/>
    <n v="537"/>
    <x v="0"/>
  </r>
  <r>
    <n v="674"/>
    <x v="4"/>
    <x v="63"/>
    <x v="5"/>
    <n v="2021"/>
    <x v="5"/>
    <x v="250"/>
    <n v="485"/>
    <n v="2"/>
    <x v="648"/>
    <x v="0"/>
    <n v="70"/>
    <n v="417"/>
    <x v="0"/>
  </r>
  <r>
    <n v="675"/>
    <x v="4"/>
    <x v="64"/>
    <x v="5"/>
    <n v="2021"/>
    <x v="5"/>
    <x v="499"/>
    <n v="510"/>
    <n v="57"/>
    <x v="649"/>
    <x v="0"/>
    <n v="116"/>
    <n v="451"/>
    <x v="0"/>
  </r>
  <r>
    <n v="676"/>
    <x v="4"/>
    <x v="65"/>
    <x v="5"/>
    <n v="2021"/>
    <x v="5"/>
    <x v="181"/>
    <n v="1012"/>
    <n v="188"/>
    <x v="650"/>
    <x v="0"/>
    <n v="83"/>
    <n v="1117"/>
    <x v="0"/>
  </r>
  <r>
    <n v="677"/>
    <x v="4"/>
    <x v="66"/>
    <x v="5"/>
    <n v="2021"/>
    <x v="5"/>
    <x v="500"/>
    <n v="962"/>
    <n v="4"/>
    <x v="651"/>
    <x v="0"/>
    <n v="168"/>
    <n v="798"/>
    <x v="0"/>
  </r>
  <r>
    <n v="678"/>
    <x v="4"/>
    <x v="67"/>
    <x v="5"/>
    <n v="2021"/>
    <x v="5"/>
    <x v="501"/>
    <n v="643"/>
    <n v="-13"/>
    <x v="652"/>
    <x v="1"/>
    <n v="72"/>
    <n v="558"/>
    <x v="0"/>
  </r>
  <r>
    <n v="679"/>
    <x v="4"/>
    <x v="68"/>
    <x v="5"/>
    <n v="2021"/>
    <x v="5"/>
    <x v="502"/>
    <n v="573"/>
    <n v="-75"/>
    <x v="653"/>
    <x v="1"/>
    <n v="85"/>
    <n v="413"/>
    <x v="0"/>
  </r>
  <r>
    <n v="680"/>
    <x v="4"/>
    <x v="69"/>
    <x v="5"/>
    <n v="2021"/>
    <x v="5"/>
    <x v="503"/>
    <n v="289"/>
    <n v="47"/>
    <x v="654"/>
    <x v="0"/>
    <n v="52"/>
    <n v="284"/>
    <x v="0"/>
  </r>
  <r>
    <n v="681"/>
    <x v="4"/>
    <x v="70"/>
    <x v="5"/>
    <n v="2021"/>
    <x v="5"/>
    <x v="504"/>
    <n v="703"/>
    <n v="50"/>
    <x v="655"/>
    <x v="0"/>
    <n v="15"/>
    <n v="738"/>
    <x v="0"/>
  </r>
  <r>
    <n v="682"/>
    <x v="4"/>
    <x v="71"/>
    <x v="5"/>
    <n v="2021"/>
    <x v="5"/>
    <x v="505"/>
    <n v="566"/>
    <n v="-46"/>
    <x v="656"/>
    <x v="1"/>
    <n v="42"/>
    <n v="478"/>
    <x v="0"/>
  </r>
  <r>
    <n v="683"/>
    <x v="4"/>
    <x v="72"/>
    <x v="5"/>
    <n v="2021"/>
    <x v="5"/>
    <x v="488"/>
    <n v="506"/>
    <n v="50"/>
    <x v="657"/>
    <x v="0"/>
    <n v="27"/>
    <n v="529"/>
    <x v="0"/>
  </r>
  <r>
    <n v="684"/>
    <x v="4"/>
    <x v="73"/>
    <x v="5"/>
    <n v="2021"/>
    <x v="5"/>
    <x v="506"/>
    <n v="811"/>
    <n v="210"/>
    <x v="658"/>
    <x v="0"/>
    <n v="59"/>
    <n v="962"/>
    <x v="0"/>
  </r>
  <r>
    <n v="685"/>
    <x v="4"/>
    <x v="74"/>
    <x v="5"/>
    <n v="2021"/>
    <x v="5"/>
    <x v="247"/>
    <n v="1021"/>
    <n v="124"/>
    <x v="659"/>
    <x v="0"/>
    <n v="16"/>
    <n v="1129"/>
    <x v="0"/>
  </r>
  <r>
    <n v="686"/>
    <x v="4"/>
    <x v="75"/>
    <x v="5"/>
    <n v="2021"/>
    <x v="5"/>
    <x v="507"/>
    <n v="628"/>
    <n v="109"/>
    <x v="660"/>
    <x v="0"/>
    <n v="143"/>
    <n v="594"/>
    <x v="0"/>
  </r>
  <r>
    <n v="687"/>
    <x v="4"/>
    <x v="76"/>
    <x v="5"/>
    <n v="2021"/>
    <x v="5"/>
    <x v="508"/>
    <n v="783"/>
    <n v="7"/>
    <x v="661"/>
    <x v="0"/>
    <n v="97"/>
    <n v="693"/>
    <x v="0"/>
  </r>
  <r>
    <n v="688"/>
    <x v="4"/>
    <x v="77"/>
    <x v="5"/>
    <n v="2021"/>
    <x v="5"/>
    <x v="132"/>
    <n v="637"/>
    <n v="55"/>
    <x v="662"/>
    <x v="0"/>
    <n v="54"/>
    <n v="638"/>
    <x v="0"/>
  </r>
  <r>
    <n v="689"/>
    <x v="4"/>
    <x v="78"/>
    <x v="5"/>
    <n v="2021"/>
    <x v="5"/>
    <x v="509"/>
    <n v="945"/>
    <n v="-99"/>
    <x v="663"/>
    <x v="1"/>
    <n v="852"/>
    <n v="-6"/>
    <x v="1"/>
  </r>
  <r>
    <n v="690"/>
    <x v="4"/>
    <x v="79"/>
    <x v="5"/>
    <n v="2021"/>
    <x v="5"/>
    <x v="126"/>
    <n v="497"/>
    <n v="62"/>
    <x v="664"/>
    <x v="0"/>
    <n v="492"/>
    <n v="67"/>
    <x v="0"/>
  </r>
  <r>
    <n v="691"/>
    <x v="4"/>
    <x v="80"/>
    <x v="5"/>
    <n v="2021"/>
    <x v="5"/>
    <x v="510"/>
    <n v="487"/>
    <n v="91"/>
    <x v="665"/>
    <x v="0"/>
    <n v="506"/>
    <n v="72"/>
    <x v="0"/>
  </r>
  <r>
    <n v="692"/>
    <x v="4"/>
    <x v="81"/>
    <x v="5"/>
    <n v="2021"/>
    <x v="5"/>
    <x v="511"/>
    <n v="587"/>
    <n v="74"/>
    <x v="666"/>
    <x v="0"/>
    <n v="580"/>
    <n v="81"/>
    <x v="0"/>
  </r>
  <r>
    <n v="693"/>
    <x v="4"/>
    <x v="82"/>
    <x v="5"/>
    <n v="2021"/>
    <x v="5"/>
    <x v="512"/>
    <n v="391"/>
    <n v="65"/>
    <x v="667"/>
    <x v="0"/>
    <n v="403"/>
    <n v="53"/>
    <x v="0"/>
  </r>
  <r>
    <n v="694"/>
    <x v="5"/>
    <x v="83"/>
    <x v="5"/>
    <n v="2021"/>
    <x v="5"/>
    <x v="513"/>
    <n v="948"/>
    <n v="-24"/>
    <x v="668"/>
    <x v="1"/>
    <n v="952"/>
    <n v="-28"/>
    <x v="1"/>
  </r>
  <r>
    <n v="695"/>
    <x v="5"/>
    <x v="84"/>
    <x v="5"/>
    <n v="2021"/>
    <x v="5"/>
    <x v="514"/>
    <n v="598"/>
    <n v="87"/>
    <x v="669"/>
    <x v="0"/>
    <n v="613"/>
    <n v="72"/>
    <x v="0"/>
  </r>
  <r>
    <n v="696"/>
    <x v="5"/>
    <x v="85"/>
    <x v="5"/>
    <n v="2021"/>
    <x v="5"/>
    <x v="394"/>
    <n v="416"/>
    <n v="59"/>
    <x v="670"/>
    <x v="0"/>
    <n v="440"/>
    <n v="35"/>
    <x v="0"/>
  </r>
  <r>
    <n v="697"/>
    <x v="5"/>
    <x v="86"/>
    <x v="5"/>
    <n v="2021"/>
    <x v="5"/>
    <x v="218"/>
    <n v="241"/>
    <n v="2"/>
    <x v="671"/>
    <x v="0"/>
    <n v="244"/>
    <n v="-1"/>
    <x v="1"/>
  </r>
  <r>
    <n v="698"/>
    <x v="5"/>
    <x v="87"/>
    <x v="5"/>
    <n v="2021"/>
    <x v="5"/>
    <x v="13"/>
    <n v="152"/>
    <n v="-13"/>
    <x v="672"/>
    <x v="1"/>
    <n v="158"/>
    <n v="-19"/>
    <x v="1"/>
  </r>
  <r>
    <n v="699"/>
    <x v="5"/>
    <x v="88"/>
    <x v="5"/>
    <n v="2021"/>
    <x v="5"/>
    <x v="373"/>
    <n v="152"/>
    <n v="6"/>
    <x v="368"/>
    <x v="0"/>
    <n v="143"/>
    <n v="15"/>
    <x v="0"/>
  </r>
  <r>
    <n v="700"/>
    <x v="5"/>
    <x v="89"/>
    <x v="5"/>
    <n v="2021"/>
    <x v="5"/>
    <x v="293"/>
    <n v="174"/>
    <n v="40"/>
    <x v="673"/>
    <x v="0"/>
    <n v="206"/>
    <n v="8"/>
    <x v="0"/>
  </r>
  <r>
    <n v="701"/>
    <x v="5"/>
    <x v="90"/>
    <x v="5"/>
    <n v="2021"/>
    <x v="5"/>
    <x v="257"/>
    <n v="184"/>
    <n v="57"/>
    <x v="674"/>
    <x v="0"/>
    <n v="193"/>
    <n v="48"/>
    <x v="0"/>
  </r>
  <r>
    <n v="702"/>
    <x v="5"/>
    <x v="91"/>
    <x v="5"/>
    <n v="2021"/>
    <x v="5"/>
    <x v="515"/>
    <n v="100"/>
    <n v="-8"/>
    <x v="675"/>
    <x v="1"/>
    <n v="106"/>
    <n v="-14"/>
    <x v="1"/>
  </r>
  <r>
    <n v="703"/>
    <x v="5"/>
    <x v="92"/>
    <x v="5"/>
    <n v="2021"/>
    <x v="5"/>
    <x v="516"/>
    <n v="271"/>
    <n v="59"/>
    <x v="676"/>
    <x v="0"/>
    <n v="285"/>
    <n v="45"/>
    <x v="0"/>
  </r>
  <r>
    <n v="704"/>
    <x v="5"/>
    <x v="93"/>
    <x v="5"/>
    <n v="2021"/>
    <x v="5"/>
    <x v="123"/>
    <n v="120"/>
    <n v="20"/>
    <x v="677"/>
    <x v="0"/>
    <n v="145"/>
    <n v="-5"/>
    <x v="1"/>
  </r>
  <r>
    <n v="705"/>
    <x v="5"/>
    <x v="94"/>
    <x v="5"/>
    <n v="2021"/>
    <x v="5"/>
    <x v="517"/>
    <n v="79"/>
    <n v="17"/>
    <x v="678"/>
    <x v="0"/>
    <n v="94"/>
    <n v="2"/>
    <x v="0"/>
  </r>
  <r>
    <n v="706"/>
    <x v="5"/>
    <x v="95"/>
    <x v="5"/>
    <n v="2021"/>
    <x v="5"/>
    <x v="385"/>
    <n v="148"/>
    <n v="44"/>
    <x v="679"/>
    <x v="0"/>
    <n v="175"/>
    <n v="17"/>
    <x v="0"/>
  </r>
  <r>
    <n v="707"/>
    <x v="5"/>
    <x v="96"/>
    <x v="5"/>
    <n v="2021"/>
    <x v="5"/>
    <x v="518"/>
    <n v="233"/>
    <n v="-9"/>
    <x v="680"/>
    <x v="1"/>
    <n v="226"/>
    <n v="-2"/>
    <x v="1"/>
  </r>
  <r>
    <n v="708"/>
    <x v="5"/>
    <x v="97"/>
    <x v="5"/>
    <n v="2021"/>
    <x v="5"/>
    <x v="519"/>
    <n v="166"/>
    <n v="45"/>
    <x v="681"/>
    <x v="0"/>
    <n v="190"/>
    <n v="21"/>
    <x v="0"/>
  </r>
  <r>
    <n v="709"/>
    <x v="5"/>
    <x v="98"/>
    <x v="5"/>
    <n v="2021"/>
    <x v="5"/>
    <x v="215"/>
    <n v="126"/>
    <n v="-2"/>
    <x v="682"/>
    <x v="1"/>
    <n v="129"/>
    <n v="-5"/>
    <x v="1"/>
  </r>
  <r>
    <n v="710"/>
    <x v="5"/>
    <x v="99"/>
    <x v="5"/>
    <n v="2021"/>
    <x v="5"/>
    <x v="100"/>
    <n v="143"/>
    <n v="4"/>
    <x v="683"/>
    <x v="0"/>
    <n v="145"/>
    <n v="2"/>
    <x v="0"/>
  </r>
  <r>
    <n v="711"/>
    <x v="5"/>
    <x v="100"/>
    <x v="5"/>
    <n v="2021"/>
    <x v="5"/>
    <x v="520"/>
    <n v="167"/>
    <n v="11"/>
    <x v="684"/>
    <x v="0"/>
    <n v="186"/>
    <n v="-8"/>
    <x v="1"/>
  </r>
  <r>
    <n v="712"/>
    <x v="5"/>
    <x v="101"/>
    <x v="5"/>
    <n v="2021"/>
    <x v="5"/>
    <x v="445"/>
    <n v="99"/>
    <n v="-2"/>
    <x v="685"/>
    <x v="1"/>
    <n v="97"/>
    <n v="0"/>
    <x v="1"/>
  </r>
  <r>
    <n v="713"/>
    <x v="5"/>
    <x v="102"/>
    <x v="5"/>
    <n v="2021"/>
    <x v="5"/>
    <x v="521"/>
    <n v="113"/>
    <n v="-12"/>
    <x v="686"/>
    <x v="1"/>
    <n v="119"/>
    <n v="-18"/>
    <x v="1"/>
  </r>
  <r>
    <n v="714"/>
    <x v="5"/>
    <x v="103"/>
    <x v="5"/>
    <n v="2021"/>
    <x v="5"/>
    <x v="522"/>
    <n v="195"/>
    <n v="56"/>
    <x v="687"/>
    <x v="0"/>
    <n v="205"/>
    <n v="46"/>
    <x v="0"/>
  </r>
  <r>
    <n v="715"/>
    <x v="5"/>
    <x v="104"/>
    <x v="5"/>
    <n v="2021"/>
    <x v="5"/>
    <x v="217"/>
    <n v="103"/>
    <n v="13"/>
    <x v="688"/>
    <x v="0"/>
    <n v="123"/>
    <n v="-7"/>
    <x v="1"/>
  </r>
  <r>
    <n v="716"/>
    <x v="5"/>
    <x v="105"/>
    <x v="5"/>
    <n v="2021"/>
    <x v="5"/>
    <x v="523"/>
    <n v="174"/>
    <n v="-9"/>
    <x v="689"/>
    <x v="1"/>
    <n v="166"/>
    <n v="-1"/>
    <x v="1"/>
  </r>
  <r>
    <n v="717"/>
    <x v="5"/>
    <x v="106"/>
    <x v="5"/>
    <n v="2021"/>
    <x v="5"/>
    <x v="524"/>
    <n v="53"/>
    <n v="6"/>
    <x v="690"/>
    <x v="0"/>
    <n v="59"/>
    <n v="0"/>
    <x v="1"/>
  </r>
  <r>
    <n v="718"/>
    <x v="6"/>
    <x v="107"/>
    <x v="5"/>
    <n v="2021"/>
    <x v="5"/>
    <x v="47"/>
    <n v="629"/>
    <n v="-23"/>
    <x v="691"/>
    <x v="1"/>
    <n v="666"/>
    <n v="-60"/>
    <x v="1"/>
  </r>
  <r>
    <n v="719"/>
    <x v="6"/>
    <x v="108"/>
    <x v="5"/>
    <n v="2021"/>
    <x v="5"/>
    <x v="25"/>
    <n v="529"/>
    <n v="94"/>
    <x v="692"/>
    <x v="0"/>
    <n v="528"/>
    <n v="95"/>
    <x v="0"/>
  </r>
  <r>
    <n v="720"/>
    <x v="6"/>
    <x v="109"/>
    <x v="5"/>
    <n v="2021"/>
    <x v="5"/>
    <x v="301"/>
    <n v="167"/>
    <n v="36"/>
    <x v="693"/>
    <x v="0"/>
    <n v="180"/>
    <n v="23"/>
    <x v="0"/>
  </r>
  <r>
    <n v="721"/>
    <x v="6"/>
    <x v="110"/>
    <x v="5"/>
    <n v="2021"/>
    <x v="5"/>
    <x v="525"/>
    <n v="401"/>
    <n v="78"/>
    <x v="694"/>
    <x v="0"/>
    <n v="438"/>
    <n v="41"/>
    <x v="0"/>
  </r>
  <r>
    <n v="722"/>
    <x v="6"/>
    <x v="111"/>
    <x v="5"/>
    <n v="2021"/>
    <x v="5"/>
    <x v="526"/>
    <n v="252"/>
    <n v="24"/>
    <x v="695"/>
    <x v="0"/>
    <n v="261"/>
    <n v="15"/>
    <x v="0"/>
  </r>
  <r>
    <n v="723"/>
    <x v="6"/>
    <x v="112"/>
    <x v="5"/>
    <n v="2021"/>
    <x v="5"/>
    <x v="35"/>
    <n v="348"/>
    <n v="53"/>
    <x v="696"/>
    <x v="0"/>
    <n v="336"/>
    <n v="65"/>
    <x v="0"/>
  </r>
  <r>
    <n v="724"/>
    <x v="6"/>
    <x v="113"/>
    <x v="5"/>
    <n v="2021"/>
    <x v="5"/>
    <x v="88"/>
    <n v="134"/>
    <n v="2"/>
    <x v="697"/>
    <x v="0"/>
    <n v="143"/>
    <n v="-7"/>
    <x v="1"/>
  </r>
  <r>
    <n v="725"/>
    <x v="6"/>
    <x v="114"/>
    <x v="5"/>
    <n v="2021"/>
    <x v="5"/>
    <x v="380"/>
    <n v="241"/>
    <n v="32"/>
    <x v="698"/>
    <x v="0"/>
    <n v="220"/>
    <n v="53"/>
    <x v="0"/>
  </r>
  <r>
    <n v="726"/>
    <x v="6"/>
    <x v="115"/>
    <x v="5"/>
    <n v="2021"/>
    <x v="5"/>
    <x v="494"/>
    <n v="174"/>
    <n v="36"/>
    <x v="699"/>
    <x v="0"/>
    <n v="201"/>
    <n v="9"/>
    <x v="0"/>
  </r>
  <r>
    <n v="727"/>
    <x v="6"/>
    <x v="116"/>
    <x v="5"/>
    <n v="2021"/>
    <x v="5"/>
    <x v="527"/>
    <n v="172"/>
    <n v="18"/>
    <x v="700"/>
    <x v="0"/>
    <n v="174"/>
    <n v="16"/>
    <x v="0"/>
  </r>
  <r>
    <n v="728"/>
    <x v="6"/>
    <x v="117"/>
    <x v="5"/>
    <n v="2021"/>
    <x v="5"/>
    <x v="119"/>
    <n v="103"/>
    <n v="5"/>
    <x v="701"/>
    <x v="0"/>
    <n v="101"/>
    <n v="7"/>
    <x v="0"/>
  </r>
  <r>
    <n v="729"/>
    <x v="6"/>
    <x v="118"/>
    <x v="5"/>
    <n v="2021"/>
    <x v="5"/>
    <x v="85"/>
    <n v="163"/>
    <n v="39"/>
    <x v="702"/>
    <x v="0"/>
    <n v="177"/>
    <n v="25"/>
    <x v="0"/>
  </r>
  <r>
    <n v="730"/>
    <x v="6"/>
    <x v="119"/>
    <x v="5"/>
    <n v="2021"/>
    <x v="5"/>
    <x v="200"/>
    <n v="113"/>
    <n v="12"/>
    <x v="703"/>
    <x v="0"/>
    <n v="116"/>
    <n v="9"/>
    <x v="0"/>
  </r>
  <r>
    <n v="731"/>
    <x v="6"/>
    <x v="120"/>
    <x v="5"/>
    <n v="2021"/>
    <x v="5"/>
    <x v="528"/>
    <n v="240"/>
    <n v="18"/>
    <x v="704"/>
    <x v="0"/>
    <n v="275"/>
    <n v="-17"/>
    <x v="1"/>
  </r>
  <r>
    <n v="732"/>
    <x v="6"/>
    <x v="121"/>
    <x v="5"/>
    <n v="2021"/>
    <x v="5"/>
    <x v="529"/>
    <n v="279"/>
    <n v="29"/>
    <x v="705"/>
    <x v="0"/>
    <n v="262"/>
    <n v="46"/>
    <x v="0"/>
  </r>
  <r>
    <n v="733"/>
    <x v="0"/>
    <x v="0"/>
    <x v="6"/>
    <n v="2021"/>
    <x v="6"/>
    <x v="530"/>
    <n v="1254"/>
    <n v="171"/>
    <x v="706"/>
    <x v="0"/>
    <n v="349"/>
    <n v="1076"/>
    <x v="0"/>
  </r>
  <r>
    <n v="734"/>
    <x v="0"/>
    <x v="1"/>
    <x v="6"/>
    <n v="2021"/>
    <x v="6"/>
    <x v="531"/>
    <n v="673"/>
    <n v="106"/>
    <x v="707"/>
    <x v="0"/>
    <n v="154"/>
    <n v="625"/>
    <x v="0"/>
  </r>
  <r>
    <n v="735"/>
    <x v="0"/>
    <x v="2"/>
    <x v="6"/>
    <n v="2021"/>
    <x v="6"/>
    <x v="532"/>
    <n v="781"/>
    <n v="109"/>
    <x v="708"/>
    <x v="0"/>
    <n v="242"/>
    <n v="648"/>
    <x v="0"/>
  </r>
  <r>
    <n v="736"/>
    <x v="0"/>
    <x v="3"/>
    <x v="6"/>
    <n v="2021"/>
    <x v="6"/>
    <x v="306"/>
    <n v="103"/>
    <n v="18"/>
    <x v="350"/>
    <x v="0"/>
    <n v="153"/>
    <n v="-32"/>
    <x v="1"/>
  </r>
  <r>
    <n v="737"/>
    <x v="0"/>
    <x v="4"/>
    <x v="6"/>
    <n v="2021"/>
    <x v="6"/>
    <x v="533"/>
    <n v="1229"/>
    <n v="70"/>
    <x v="709"/>
    <x v="0"/>
    <n v="37"/>
    <n v="1262"/>
    <x v="0"/>
  </r>
  <r>
    <n v="738"/>
    <x v="0"/>
    <x v="5"/>
    <x v="6"/>
    <n v="2021"/>
    <x v="6"/>
    <x v="275"/>
    <n v="568"/>
    <n v="20"/>
    <x v="710"/>
    <x v="0"/>
    <n v="40"/>
    <n v="548"/>
    <x v="0"/>
  </r>
  <r>
    <n v="739"/>
    <x v="0"/>
    <x v="6"/>
    <x v="6"/>
    <n v="2021"/>
    <x v="6"/>
    <x v="534"/>
    <n v="1107"/>
    <n v="81"/>
    <x v="502"/>
    <x v="0"/>
    <n v="145"/>
    <n v="1043"/>
    <x v="0"/>
  </r>
  <r>
    <n v="740"/>
    <x v="0"/>
    <x v="7"/>
    <x v="6"/>
    <n v="2021"/>
    <x v="6"/>
    <x v="535"/>
    <n v="895"/>
    <n v="79"/>
    <x v="711"/>
    <x v="0"/>
    <n v="108"/>
    <n v="866"/>
    <x v="0"/>
  </r>
  <r>
    <n v="741"/>
    <x v="0"/>
    <x v="8"/>
    <x v="6"/>
    <n v="2021"/>
    <x v="6"/>
    <x v="377"/>
    <n v="161"/>
    <n v="-5"/>
    <x v="712"/>
    <x v="1"/>
    <n v="110"/>
    <n v="46"/>
    <x v="0"/>
  </r>
  <r>
    <n v="742"/>
    <x v="0"/>
    <x v="9"/>
    <x v="6"/>
    <n v="2021"/>
    <x v="6"/>
    <x v="536"/>
    <n v="569"/>
    <n v="-6"/>
    <x v="713"/>
    <x v="1"/>
    <n v="120"/>
    <n v="443"/>
    <x v="0"/>
  </r>
  <r>
    <n v="743"/>
    <x v="0"/>
    <x v="10"/>
    <x v="6"/>
    <n v="2021"/>
    <x v="6"/>
    <x v="103"/>
    <n v="476"/>
    <n v="53"/>
    <x v="714"/>
    <x v="0"/>
    <n v="230"/>
    <n v="299"/>
    <x v="0"/>
  </r>
  <r>
    <n v="744"/>
    <x v="0"/>
    <x v="11"/>
    <x v="6"/>
    <n v="2021"/>
    <x v="6"/>
    <x v="537"/>
    <n v="518"/>
    <n v="-11"/>
    <x v="715"/>
    <x v="1"/>
    <n v="268"/>
    <n v="239"/>
    <x v="0"/>
  </r>
  <r>
    <n v="745"/>
    <x v="0"/>
    <x v="12"/>
    <x v="6"/>
    <n v="2021"/>
    <x v="6"/>
    <x v="77"/>
    <n v="294"/>
    <n v="89"/>
    <x v="716"/>
    <x v="0"/>
    <n v="219"/>
    <n v="164"/>
    <x v="0"/>
  </r>
  <r>
    <n v="746"/>
    <x v="0"/>
    <x v="13"/>
    <x v="6"/>
    <n v="2021"/>
    <x v="6"/>
    <x v="107"/>
    <n v="145"/>
    <n v="-8"/>
    <x v="717"/>
    <x v="1"/>
    <n v="153"/>
    <n v="-16"/>
    <x v="1"/>
  </r>
  <r>
    <n v="747"/>
    <x v="0"/>
    <x v="14"/>
    <x v="6"/>
    <n v="2021"/>
    <x v="6"/>
    <x v="538"/>
    <n v="497"/>
    <n v="60"/>
    <x v="718"/>
    <x v="0"/>
    <n v="28"/>
    <n v="529"/>
    <x v="0"/>
  </r>
  <r>
    <n v="748"/>
    <x v="0"/>
    <x v="15"/>
    <x v="6"/>
    <n v="2021"/>
    <x v="6"/>
    <x v="539"/>
    <n v="517"/>
    <n v="83"/>
    <x v="719"/>
    <x v="0"/>
    <n v="120"/>
    <n v="480"/>
    <x v="0"/>
  </r>
  <r>
    <n v="749"/>
    <x v="0"/>
    <x v="16"/>
    <x v="6"/>
    <n v="2021"/>
    <x v="6"/>
    <x v="383"/>
    <n v="150"/>
    <n v="31"/>
    <x v="720"/>
    <x v="0"/>
    <n v="139"/>
    <n v="42"/>
    <x v="0"/>
  </r>
  <r>
    <n v="750"/>
    <x v="0"/>
    <x v="17"/>
    <x v="6"/>
    <n v="2021"/>
    <x v="6"/>
    <x v="236"/>
    <n v="74"/>
    <n v="13"/>
    <x v="721"/>
    <x v="0"/>
    <n v="110"/>
    <n v="-23"/>
    <x v="1"/>
  </r>
  <r>
    <n v="751"/>
    <x v="0"/>
    <x v="18"/>
    <x v="6"/>
    <n v="2021"/>
    <x v="6"/>
    <x v="102"/>
    <n v="528"/>
    <n v="90"/>
    <x v="722"/>
    <x v="0"/>
    <n v="170"/>
    <n v="448"/>
    <x v="0"/>
  </r>
  <r>
    <n v="752"/>
    <x v="1"/>
    <x v="19"/>
    <x v="6"/>
    <n v="2021"/>
    <x v="6"/>
    <x v="540"/>
    <n v="643"/>
    <n v="172"/>
    <x v="723"/>
    <x v="0"/>
    <n v="287"/>
    <n v="528"/>
    <x v="0"/>
  </r>
  <r>
    <n v="753"/>
    <x v="1"/>
    <x v="20"/>
    <x v="6"/>
    <n v="2021"/>
    <x v="6"/>
    <x v="467"/>
    <n v="994"/>
    <n v="16"/>
    <x v="724"/>
    <x v="0"/>
    <n v="297"/>
    <n v="713"/>
    <x v="0"/>
  </r>
  <r>
    <n v="754"/>
    <x v="1"/>
    <x v="21"/>
    <x v="6"/>
    <n v="2021"/>
    <x v="6"/>
    <x v="129"/>
    <n v="702"/>
    <n v="-70"/>
    <x v="725"/>
    <x v="1"/>
    <n v="146"/>
    <n v="486"/>
    <x v="0"/>
  </r>
  <r>
    <n v="755"/>
    <x v="1"/>
    <x v="22"/>
    <x v="6"/>
    <n v="2021"/>
    <x v="6"/>
    <x v="541"/>
    <n v="1142"/>
    <n v="137"/>
    <x v="726"/>
    <x v="0"/>
    <n v="185"/>
    <n v="1094"/>
    <x v="0"/>
  </r>
  <r>
    <n v="756"/>
    <x v="1"/>
    <x v="23"/>
    <x v="6"/>
    <n v="2021"/>
    <x v="6"/>
    <x v="542"/>
    <n v="937"/>
    <n v="247"/>
    <x v="727"/>
    <x v="0"/>
    <n v="103"/>
    <n v="1081"/>
    <x v="0"/>
  </r>
  <r>
    <n v="757"/>
    <x v="1"/>
    <x v="24"/>
    <x v="6"/>
    <n v="2021"/>
    <x v="6"/>
    <x v="405"/>
    <n v="21"/>
    <n v="3"/>
    <x v="728"/>
    <x v="0"/>
    <n v="133"/>
    <n v="-109"/>
    <x v="1"/>
  </r>
  <r>
    <n v="758"/>
    <x v="2"/>
    <x v="25"/>
    <x v="6"/>
    <n v="2021"/>
    <x v="6"/>
    <x v="543"/>
    <n v="1246"/>
    <n v="-120"/>
    <x v="729"/>
    <x v="1"/>
    <n v="180"/>
    <n v="946"/>
    <x v="0"/>
  </r>
  <r>
    <n v="759"/>
    <x v="2"/>
    <x v="26"/>
    <x v="6"/>
    <n v="2021"/>
    <x v="6"/>
    <x v="252"/>
    <n v="564"/>
    <n v="48"/>
    <x v="730"/>
    <x v="0"/>
    <n v="73"/>
    <n v="539"/>
    <x v="0"/>
  </r>
  <r>
    <n v="760"/>
    <x v="3"/>
    <x v="27"/>
    <x v="6"/>
    <n v="2021"/>
    <x v="6"/>
    <x v="544"/>
    <n v="937"/>
    <n v="-85"/>
    <x v="731"/>
    <x v="1"/>
    <n v="42"/>
    <n v="810"/>
    <x v="0"/>
  </r>
  <r>
    <n v="761"/>
    <x v="3"/>
    <x v="28"/>
    <x v="6"/>
    <n v="2021"/>
    <x v="6"/>
    <x v="545"/>
    <n v="1517"/>
    <n v="-174"/>
    <x v="732"/>
    <x v="1"/>
    <n v="190"/>
    <n v="1153"/>
    <x v="0"/>
  </r>
  <r>
    <n v="762"/>
    <x v="3"/>
    <x v="29"/>
    <x v="6"/>
    <n v="2021"/>
    <x v="6"/>
    <x v="546"/>
    <n v="1271"/>
    <n v="40"/>
    <x v="733"/>
    <x v="0"/>
    <n v="324"/>
    <n v="987"/>
    <x v="0"/>
  </r>
  <r>
    <n v="763"/>
    <x v="3"/>
    <x v="30"/>
    <x v="6"/>
    <n v="2021"/>
    <x v="6"/>
    <x v="547"/>
    <n v="1475"/>
    <n v="195"/>
    <x v="734"/>
    <x v="0"/>
    <n v="38"/>
    <n v="1632"/>
    <x v="0"/>
  </r>
  <r>
    <n v="764"/>
    <x v="3"/>
    <x v="31"/>
    <x v="6"/>
    <n v="2021"/>
    <x v="6"/>
    <x v="548"/>
    <n v="1421"/>
    <n v="353"/>
    <x v="735"/>
    <x v="0"/>
    <n v="189"/>
    <n v="1585"/>
    <x v="0"/>
  </r>
  <r>
    <n v="765"/>
    <x v="3"/>
    <x v="32"/>
    <x v="6"/>
    <n v="2021"/>
    <x v="6"/>
    <x v="68"/>
    <n v="464"/>
    <n v="19"/>
    <x v="736"/>
    <x v="0"/>
    <n v="136"/>
    <n v="347"/>
    <x v="0"/>
  </r>
  <r>
    <n v="766"/>
    <x v="3"/>
    <x v="33"/>
    <x v="6"/>
    <n v="2021"/>
    <x v="6"/>
    <x v="397"/>
    <n v="503"/>
    <n v="86"/>
    <x v="737"/>
    <x v="0"/>
    <n v="86"/>
    <n v="503"/>
    <x v="0"/>
  </r>
  <r>
    <n v="767"/>
    <x v="3"/>
    <x v="34"/>
    <x v="6"/>
    <n v="2021"/>
    <x v="6"/>
    <x v="549"/>
    <n v="637"/>
    <n v="60"/>
    <x v="738"/>
    <x v="0"/>
    <n v="157"/>
    <n v="540"/>
    <x v="0"/>
  </r>
  <r>
    <n v="768"/>
    <x v="3"/>
    <x v="35"/>
    <x v="6"/>
    <n v="2021"/>
    <x v="6"/>
    <x v="550"/>
    <n v="862"/>
    <n v="102"/>
    <x v="739"/>
    <x v="0"/>
    <n v="50"/>
    <n v="914"/>
    <x v="0"/>
  </r>
  <r>
    <n v="769"/>
    <x v="2"/>
    <x v="36"/>
    <x v="6"/>
    <n v="2021"/>
    <x v="6"/>
    <x v="512"/>
    <n v="371"/>
    <n v="85"/>
    <x v="740"/>
    <x v="0"/>
    <n v="38"/>
    <n v="418"/>
    <x v="0"/>
  </r>
  <r>
    <n v="770"/>
    <x v="2"/>
    <x v="37"/>
    <x v="6"/>
    <n v="2021"/>
    <x v="6"/>
    <x v="551"/>
    <n v="596"/>
    <n v="106"/>
    <x v="741"/>
    <x v="0"/>
    <n v="78"/>
    <n v="624"/>
    <x v="0"/>
  </r>
  <r>
    <n v="771"/>
    <x v="2"/>
    <x v="38"/>
    <x v="6"/>
    <n v="2021"/>
    <x v="6"/>
    <x v="552"/>
    <n v="1048"/>
    <n v="-81"/>
    <x v="742"/>
    <x v="1"/>
    <n v="32"/>
    <n v="935"/>
    <x v="0"/>
  </r>
  <r>
    <n v="772"/>
    <x v="2"/>
    <x v="39"/>
    <x v="6"/>
    <n v="2021"/>
    <x v="6"/>
    <x v="415"/>
    <n v="257"/>
    <n v="21"/>
    <x v="743"/>
    <x v="0"/>
    <n v="37"/>
    <n v="241"/>
    <x v="0"/>
  </r>
  <r>
    <n v="773"/>
    <x v="3"/>
    <x v="40"/>
    <x v="6"/>
    <n v="2021"/>
    <x v="6"/>
    <x v="258"/>
    <n v="132"/>
    <n v="12"/>
    <x v="744"/>
    <x v="0"/>
    <n v="39"/>
    <n v="105"/>
    <x v="0"/>
  </r>
  <r>
    <n v="774"/>
    <x v="3"/>
    <x v="41"/>
    <x v="6"/>
    <n v="2021"/>
    <x v="6"/>
    <x v="553"/>
    <n v="1722"/>
    <n v="205"/>
    <x v="745"/>
    <x v="0"/>
    <n v="190"/>
    <n v="1737"/>
    <x v="0"/>
  </r>
  <r>
    <n v="775"/>
    <x v="3"/>
    <x v="42"/>
    <x v="6"/>
    <n v="2021"/>
    <x v="6"/>
    <x v="554"/>
    <n v="882"/>
    <n v="148"/>
    <x v="746"/>
    <x v="0"/>
    <n v="120"/>
    <n v="910"/>
    <x v="0"/>
  </r>
  <r>
    <n v="776"/>
    <x v="3"/>
    <x v="43"/>
    <x v="6"/>
    <n v="2021"/>
    <x v="6"/>
    <x v="155"/>
    <n v="195"/>
    <n v="13"/>
    <x v="38"/>
    <x v="0"/>
    <n v="147"/>
    <n v="61"/>
    <x v="0"/>
  </r>
  <r>
    <n v="777"/>
    <x v="3"/>
    <x v="44"/>
    <x v="6"/>
    <n v="2021"/>
    <x v="6"/>
    <x v="555"/>
    <n v="1329"/>
    <n v="-39"/>
    <x v="747"/>
    <x v="1"/>
    <n v="135"/>
    <n v="1155"/>
    <x v="0"/>
  </r>
  <r>
    <n v="778"/>
    <x v="3"/>
    <x v="45"/>
    <x v="6"/>
    <n v="2021"/>
    <x v="6"/>
    <x v="34"/>
    <n v="851"/>
    <n v="-16"/>
    <x v="748"/>
    <x v="1"/>
    <n v="93"/>
    <n v="742"/>
    <x v="0"/>
  </r>
  <r>
    <n v="779"/>
    <x v="3"/>
    <x v="46"/>
    <x v="6"/>
    <n v="2021"/>
    <x v="6"/>
    <x v="556"/>
    <n v="553"/>
    <n v="62"/>
    <x v="749"/>
    <x v="0"/>
    <n v="128"/>
    <n v="487"/>
    <x v="0"/>
  </r>
  <r>
    <n v="780"/>
    <x v="3"/>
    <x v="47"/>
    <x v="6"/>
    <n v="2021"/>
    <x v="6"/>
    <x v="557"/>
    <n v="516"/>
    <n v="76"/>
    <x v="750"/>
    <x v="0"/>
    <n v="109"/>
    <n v="483"/>
    <x v="0"/>
  </r>
  <r>
    <n v="781"/>
    <x v="3"/>
    <x v="48"/>
    <x v="6"/>
    <n v="2021"/>
    <x v="6"/>
    <x v="558"/>
    <n v="486"/>
    <n v="75"/>
    <x v="751"/>
    <x v="0"/>
    <n v="128"/>
    <n v="433"/>
    <x v="0"/>
  </r>
  <r>
    <n v="782"/>
    <x v="3"/>
    <x v="49"/>
    <x v="6"/>
    <n v="2021"/>
    <x v="6"/>
    <x v="559"/>
    <n v="660"/>
    <n v="-6"/>
    <x v="752"/>
    <x v="1"/>
    <n v="122"/>
    <n v="532"/>
    <x v="0"/>
  </r>
  <r>
    <n v="783"/>
    <x v="3"/>
    <x v="50"/>
    <x v="6"/>
    <n v="2021"/>
    <x v="6"/>
    <x v="560"/>
    <n v="377"/>
    <n v="-12"/>
    <x v="753"/>
    <x v="1"/>
    <n v="60"/>
    <n v="305"/>
    <x v="0"/>
  </r>
  <r>
    <n v="784"/>
    <x v="3"/>
    <x v="51"/>
    <x v="6"/>
    <n v="2021"/>
    <x v="6"/>
    <x v="561"/>
    <n v="91"/>
    <n v="-5"/>
    <x v="754"/>
    <x v="1"/>
    <n v="68"/>
    <n v="18"/>
    <x v="0"/>
  </r>
  <r>
    <n v="785"/>
    <x v="4"/>
    <x v="52"/>
    <x v="6"/>
    <n v="2021"/>
    <x v="6"/>
    <x v="562"/>
    <n v="662"/>
    <n v="61"/>
    <x v="755"/>
    <x v="0"/>
    <n v="46"/>
    <n v="677"/>
    <x v="0"/>
  </r>
  <r>
    <n v="786"/>
    <x v="4"/>
    <x v="53"/>
    <x v="6"/>
    <n v="2021"/>
    <x v="6"/>
    <x v="193"/>
    <n v="127"/>
    <n v="34"/>
    <x v="756"/>
    <x v="0"/>
    <n v="72"/>
    <n v="89"/>
    <x v="0"/>
  </r>
  <r>
    <n v="787"/>
    <x v="4"/>
    <x v="54"/>
    <x v="6"/>
    <n v="2021"/>
    <x v="6"/>
    <x v="449"/>
    <n v="142"/>
    <n v="31"/>
    <x v="757"/>
    <x v="0"/>
    <n v="103"/>
    <n v="70"/>
    <x v="0"/>
  </r>
  <r>
    <n v="788"/>
    <x v="4"/>
    <x v="55"/>
    <x v="6"/>
    <n v="2021"/>
    <x v="6"/>
    <x v="14"/>
    <n v="492"/>
    <n v="63"/>
    <x v="758"/>
    <x v="0"/>
    <n v="69"/>
    <n v="486"/>
    <x v="0"/>
  </r>
  <r>
    <n v="789"/>
    <x v="4"/>
    <x v="56"/>
    <x v="6"/>
    <n v="2021"/>
    <x v="6"/>
    <x v="563"/>
    <n v="649"/>
    <n v="31"/>
    <x v="759"/>
    <x v="0"/>
    <n v="72"/>
    <n v="608"/>
    <x v="0"/>
  </r>
  <r>
    <n v="790"/>
    <x v="4"/>
    <x v="57"/>
    <x v="6"/>
    <n v="2021"/>
    <x v="6"/>
    <x v="194"/>
    <n v="198"/>
    <n v="14"/>
    <x v="760"/>
    <x v="0"/>
    <n v="151"/>
    <n v="61"/>
    <x v="0"/>
  </r>
  <r>
    <n v="791"/>
    <x v="4"/>
    <x v="58"/>
    <x v="6"/>
    <n v="2021"/>
    <x v="6"/>
    <x v="150"/>
    <n v="970"/>
    <n v="112"/>
    <x v="761"/>
    <x v="0"/>
    <n v="106"/>
    <n v="976"/>
    <x v="0"/>
  </r>
  <r>
    <n v="792"/>
    <x v="4"/>
    <x v="59"/>
    <x v="6"/>
    <n v="2021"/>
    <x v="6"/>
    <x v="531"/>
    <n v="701"/>
    <n v="78"/>
    <x v="762"/>
    <x v="0"/>
    <n v="146"/>
    <n v="633"/>
    <x v="0"/>
  </r>
  <r>
    <n v="793"/>
    <x v="4"/>
    <x v="60"/>
    <x v="6"/>
    <n v="2021"/>
    <x v="6"/>
    <x v="564"/>
    <n v="1448"/>
    <n v="228"/>
    <x v="763"/>
    <x v="0"/>
    <n v="87"/>
    <n v="1589"/>
    <x v="0"/>
  </r>
  <r>
    <n v="794"/>
    <x v="4"/>
    <x v="61"/>
    <x v="6"/>
    <n v="2021"/>
    <x v="6"/>
    <x v="565"/>
    <n v="1429"/>
    <n v="-19"/>
    <x v="764"/>
    <x v="1"/>
    <n v="145"/>
    <n v="1265"/>
    <x v="0"/>
  </r>
  <r>
    <n v="795"/>
    <x v="4"/>
    <x v="62"/>
    <x v="6"/>
    <n v="2021"/>
    <x v="6"/>
    <x v="36"/>
    <n v="485"/>
    <n v="109"/>
    <x v="765"/>
    <x v="0"/>
    <n v="93"/>
    <n v="501"/>
    <x v="0"/>
  </r>
  <r>
    <n v="796"/>
    <x v="4"/>
    <x v="63"/>
    <x v="6"/>
    <n v="2021"/>
    <x v="6"/>
    <x v="566"/>
    <n v="485"/>
    <n v="65"/>
    <x v="766"/>
    <x v="0"/>
    <n v="69"/>
    <n v="481"/>
    <x v="0"/>
  </r>
  <r>
    <n v="797"/>
    <x v="4"/>
    <x v="64"/>
    <x v="6"/>
    <n v="2021"/>
    <x v="6"/>
    <x v="481"/>
    <n v="515"/>
    <n v="38"/>
    <x v="767"/>
    <x v="0"/>
    <n v="119"/>
    <n v="434"/>
    <x v="0"/>
  </r>
  <r>
    <n v="798"/>
    <x v="4"/>
    <x v="65"/>
    <x v="6"/>
    <n v="2021"/>
    <x v="6"/>
    <x v="567"/>
    <n v="1012"/>
    <n v="151"/>
    <x v="768"/>
    <x v="0"/>
    <n v="90"/>
    <n v="1073"/>
    <x v="0"/>
  </r>
  <r>
    <n v="799"/>
    <x v="4"/>
    <x v="66"/>
    <x v="6"/>
    <n v="2021"/>
    <x v="6"/>
    <x v="568"/>
    <n v="982"/>
    <n v="-39"/>
    <x v="769"/>
    <x v="1"/>
    <n v="170"/>
    <n v="773"/>
    <x v="0"/>
  </r>
  <r>
    <n v="800"/>
    <x v="4"/>
    <x v="67"/>
    <x v="6"/>
    <n v="2021"/>
    <x v="6"/>
    <x v="18"/>
    <n v="643"/>
    <n v="50"/>
    <x v="770"/>
    <x v="0"/>
    <n v="77"/>
    <n v="616"/>
    <x v="0"/>
  </r>
  <r>
    <n v="801"/>
    <x v="4"/>
    <x v="68"/>
    <x v="6"/>
    <n v="2021"/>
    <x v="6"/>
    <x v="569"/>
    <n v="573"/>
    <n v="-37"/>
    <x v="771"/>
    <x v="1"/>
    <n v="88"/>
    <n v="448"/>
    <x v="0"/>
  </r>
  <r>
    <n v="802"/>
    <x v="4"/>
    <x v="69"/>
    <x v="6"/>
    <n v="2021"/>
    <x v="6"/>
    <x v="357"/>
    <n v="289"/>
    <n v="37"/>
    <x v="772"/>
    <x v="0"/>
    <n v="54"/>
    <n v="272"/>
    <x v="0"/>
  </r>
  <r>
    <n v="803"/>
    <x v="4"/>
    <x v="70"/>
    <x v="6"/>
    <n v="2021"/>
    <x v="6"/>
    <x v="364"/>
    <n v="717"/>
    <n v="151"/>
    <x v="773"/>
    <x v="0"/>
    <n v="16"/>
    <n v="852"/>
    <x v="0"/>
  </r>
  <r>
    <n v="804"/>
    <x v="4"/>
    <x v="71"/>
    <x v="6"/>
    <n v="2021"/>
    <x v="6"/>
    <x v="570"/>
    <n v="566"/>
    <n v="-57"/>
    <x v="774"/>
    <x v="1"/>
    <n v="44"/>
    <n v="465"/>
    <x v="0"/>
  </r>
  <r>
    <n v="805"/>
    <x v="4"/>
    <x v="72"/>
    <x v="6"/>
    <n v="2021"/>
    <x v="6"/>
    <x v="571"/>
    <n v="516"/>
    <n v="-19"/>
    <x v="775"/>
    <x v="1"/>
    <n v="33"/>
    <n v="464"/>
    <x v="0"/>
  </r>
  <r>
    <n v="806"/>
    <x v="4"/>
    <x v="73"/>
    <x v="6"/>
    <n v="2021"/>
    <x v="6"/>
    <x v="572"/>
    <n v="819"/>
    <n v="223"/>
    <x v="776"/>
    <x v="0"/>
    <n v="63"/>
    <n v="979"/>
    <x v="0"/>
  </r>
  <r>
    <n v="807"/>
    <x v="4"/>
    <x v="74"/>
    <x v="6"/>
    <n v="2021"/>
    <x v="6"/>
    <x v="361"/>
    <n v="1041"/>
    <n v="57"/>
    <x v="777"/>
    <x v="0"/>
    <n v="16"/>
    <n v="1082"/>
    <x v="0"/>
  </r>
  <r>
    <n v="808"/>
    <x v="4"/>
    <x v="75"/>
    <x v="6"/>
    <n v="2021"/>
    <x v="6"/>
    <x v="117"/>
    <n v="628"/>
    <n v="58"/>
    <x v="778"/>
    <x v="0"/>
    <n v="145"/>
    <n v="541"/>
    <x v="0"/>
  </r>
  <r>
    <n v="809"/>
    <x v="4"/>
    <x v="76"/>
    <x v="6"/>
    <n v="2021"/>
    <x v="6"/>
    <x v="573"/>
    <n v="791"/>
    <n v="-59"/>
    <x v="779"/>
    <x v="1"/>
    <n v="97"/>
    <n v="635"/>
    <x v="0"/>
  </r>
  <r>
    <n v="810"/>
    <x v="4"/>
    <x v="77"/>
    <x v="6"/>
    <n v="2021"/>
    <x v="6"/>
    <x v="574"/>
    <n v="637"/>
    <n v="202"/>
    <x v="780"/>
    <x v="0"/>
    <n v="57"/>
    <n v="782"/>
    <x v="0"/>
  </r>
  <r>
    <n v="811"/>
    <x v="4"/>
    <x v="78"/>
    <x v="6"/>
    <n v="2021"/>
    <x v="6"/>
    <x v="575"/>
    <n v="964"/>
    <n v="53"/>
    <x v="781"/>
    <x v="0"/>
    <n v="851"/>
    <n v="166"/>
    <x v="0"/>
  </r>
  <r>
    <n v="812"/>
    <x v="4"/>
    <x v="79"/>
    <x v="6"/>
    <n v="2021"/>
    <x v="6"/>
    <x v="230"/>
    <n v="507"/>
    <n v="19"/>
    <x v="782"/>
    <x v="0"/>
    <n v="498"/>
    <n v="28"/>
    <x v="0"/>
  </r>
  <r>
    <n v="813"/>
    <x v="4"/>
    <x v="80"/>
    <x v="6"/>
    <n v="2021"/>
    <x v="6"/>
    <x v="576"/>
    <n v="492"/>
    <n v="-4"/>
    <x v="783"/>
    <x v="1"/>
    <n v="513"/>
    <n v="-25"/>
    <x v="1"/>
  </r>
  <r>
    <n v="814"/>
    <x v="4"/>
    <x v="81"/>
    <x v="6"/>
    <n v="2021"/>
    <x v="6"/>
    <x v="63"/>
    <n v="593"/>
    <n v="42"/>
    <x v="784"/>
    <x v="0"/>
    <n v="584"/>
    <n v="51"/>
    <x v="0"/>
  </r>
  <r>
    <n v="815"/>
    <x v="4"/>
    <x v="82"/>
    <x v="6"/>
    <n v="2021"/>
    <x v="6"/>
    <x v="292"/>
    <n v="391"/>
    <n v="40"/>
    <x v="785"/>
    <x v="0"/>
    <n v="407"/>
    <n v="24"/>
    <x v="0"/>
  </r>
  <r>
    <n v="816"/>
    <x v="5"/>
    <x v="83"/>
    <x v="6"/>
    <n v="2021"/>
    <x v="6"/>
    <x v="355"/>
    <n v="948"/>
    <n v="-9"/>
    <x v="786"/>
    <x v="1"/>
    <n v="954"/>
    <n v="-15"/>
    <x v="1"/>
  </r>
  <r>
    <n v="817"/>
    <x v="5"/>
    <x v="84"/>
    <x v="6"/>
    <n v="2021"/>
    <x v="6"/>
    <x v="577"/>
    <n v="610"/>
    <n v="129"/>
    <x v="787"/>
    <x v="0"/>
    <n v="617"/>
    <n v="122"/>
    <x v="0"/>
  </r>
  <r>
    <n v="818"/>
    <x v="5"/>
    <x v="85"/>
    <x v="6"/>
    <n v="2021"/>
    <x v="6"/>
    <x v="578"/>
    <n v="416"/>
    <n v="9"/>
    <x v="788"/>
    <x v="0"/>
    <n v="440"/>
    <n v="-15"/>
    <x v="1"/>
  </r>
  <r>
    <n v="819"/>
    <x v="5"/>
    <x v="86"/>
    <x v="6"/>
    <n v="2021"/>
    <x v="6"/>
    <x v="579"/>
    <n v="241"/>
    <n v="-13"/>
    <x v="789"/>
    <x v="1"/>
    <n v="249"/>
    <n v="-21"/>
    <x v="1"/>
  </r>
  <r>
    <n v="820"/>
    <x v="5"/>
    <x v="87"/>
    <x v="6"/>
    <n v="2021"/>
    <x v="6"/>
    <x v="128"/>
    <n v="155"/>
    <n v="11"/>
    <x v="790"/>
    <x v="0"/>
    <n v="163"/>
    <n v="3"/>
    <x v="0"/>
  </r>
  <r>
    <n v="821"/>
    <x v="5"/>
    <x v="88"/>
    <x v="6"/>
    <n v="2021"/>
    <x v="6"/>
    <x v="580"/>
    <n v="152"/>
    <n v="-10"/>
    <x v="791"/>
    <x v="1"/>
    <n v="148"/>
    <n v="-6"/>
    <x v="1"/>
  </r>
  <r>
    <n v="822"/>
    <x v="5"/>
    <x v="89"/>
    <x v="6"/>
    <n v="2021"/>
    <x v="6"/>
    <x v="98"/>
    <n v="177"/>
    <n v="36"/>
    <x v="792"/>
    <x v="0"/>
    <n v="205"/>
    <n v="8"/>
    <x v="0"/>
  </r>
  <r>
    <n v="823"/>
    <x v="5"/>
    <x v="90"/>
    <x v="6"/>
    <n v="2021"/>
    <x v="6"/>
    <x v="581"/>
    <n v="184"/>
    <n v="47"/>
    <x v="793"/>
    <x v="0"/>
    <n v="195"/>
    <n v="36"/>
    <x v="0"/>
  </r>
  <r>
    <n v="824"/>
    <x v="5"/>
    <x v="91"/>
    <x v="6"/>
    <n v="2021"/>
    <x v="6"/>
    <x v="113"/>
    <n v="102"/>
    <n v="5"/>
    <x v="794"/>
    <x v="0"/>
    <n v="111"/>
    <n v="-4"/>
    <x v="1"/>
  </r>
  <r>
    <n v="825"/>
    <x v="5"/>
    <x v="92"/>
    <x v="6"/>
    <n v="2021"/>
    <x v="6"/>
    <x v="529"/>
    <n v="271"/>
    <n v="37"/>
    <x v="795"/>
    <x v="0"/>
    <n v="291"/>
    <n v="17"/>
    <x v="0"/>
  </r>
  <r>
    <n v="826"/>
    <x v="5"/>
    <x v="93"/>
    <x v="6"/>
    <n v="2021"/>
    <x v="6"/>
    <x v="13"/>
    <n v="122"/>
    <n v="17"/>
    <x v="796"/>
    <x v="0"/>
    <n v="149"/>
    <n v="-10"/>
    <x v="1"/>
  </r>
  <r>
    <n v="827"/>
    <x v="5"/>
    <x v="94"/>
    <x v="6"/>
    <n v="2021"/>
    <x v="6"/>
    <x v="515"/>
    <n v="79"/>
    <n v="13"/>
    <x v="797"/>
    <x v="0"/>
    <n v="95"/>
    <n v="-3"/>
    <x v="1"/>
  </r>
  <r>
    <n v="828"/>
    <x v="5"/>
    <x v="95"/>
    <x v="6"/>
    <n v="2021"/>
    <x v="6"/>
    <x v="109"/>
    <n v="148"/>
    <n v="28"/>
    <x v="798"/>
    <x v="0"/>
    <n v="175"/>
    <n v="1"/>
    <x v="0"/>
  </r>
  <r>
    <n v="829"/>
    <x v="5"/>
    <x v="96"/>
    <x v="6"/>
    <n v="2021"/>
    <x v="6"/>
    <x v="518"/>
    <n v="235"/>
    <n v="-11"/>
    <x v="799"/>
    <x v="1"/>
    <n v="224"/>
    <n v="0"/>
    <x v="1"/>
  </r>
  <r>
    <n v="830"/>
    <x v="5"/>
    <x v="97"/>
    <x v="6"/>
    <n v="2021"/>
    <x v="6"/>
    <x v="582"/>
    <n v="168"/>
    <n v="39"/>
    <x v="800"/>
    <x v="0"/>
    <n v="196"/>
    <n v="11"/>
    <x v="0"/>
  </r>
  <r>
    <n v="831"/>
    <x v="5"/>
    <x v="98"/>
    <x v="6"/>
    <n v="2021"/>
    <x v="6"/>
    <x v="212"/>
    <n v="127"/>
    <n v="22"/>
    <x v="330"/>
    <x v="0"/>
    <n v="129"/>
    <n v="20"/>
    <x v="0"/>
  </r>
  <r>
    <n v="832"/>
    <x v="5"/>
    <x v="99"/>
    <x v="6"/>
    <n v="2021"/>
    <x v="6"/>
    <x v="8"/>
    <n v="145"/>
    <n v="-2"/>
    <x v="801"/>
    <x v="1"/>
    <n v="147"/>
    <n v="-4"/>
    <x v="1"/>
  </r>
  <r>
    <n v="833"/>
    <x v="5"/>
    <x v="100"/>
    <x v="6"/>
    <n v="2021"/>
    <x v="6"/>
    <x v="583"/>
    <n v="170"/>
    <n v="34"/>
    <x v="494"/>
    <x v="0"/>
    <n v="189"/>
    <n v="15"/>
    <x v="0"/>
  </r>
  <r>
    <n v="834"/>
    <x v="5"/>
    <x v="101"/>
    <x v="6"/>
    <n v="2021"/>
    <x v="6"/>
    <x v="203"/>
    <n v="101"/>
    <n v="9"/>
    <x v="802"/>
    <x v="0"/>
    <n v="103"/>
    <n v="7"/>
    <x v="0"/>
  </r>
  <r>
    <n v="835"/>
    <x v="5"/>
    <x v="102"/>
    <x v="6"/>
    <n v="2021"/>
    <x v="6"/>
    <x v="386"/>
    <n v="114"/>
    <n v="-3"/>
    <x v="304"/>
    <x v="1"/>
    <n v="125"/>
    <n v="-14"/>
    <x v="1"/>
  </r>
  <r>
    <n v="836"/>
    <x v="5"/>
    <x v="103"/>
    <x v="6"/>
    <n v="2021"/>
    <x v="6"/>
    <x v="584"/>
    <n v="197"/>
    <n v="30"/>
    <x v="803"/>
    <x v="0"/>
    <n v="210"/>
    <n v="17"/>
    <x v="0"/>
  </r>
  <r>
    <n v="837"/>
    <x v="5"/>
    <x v="104"/>
    <x v="6"/>
    <n v="2021"/>
    <x v="6"/>
    <x v="306"/>
    <n v="104"/>
    <n v="17"/>
    <x v="804"/>
    <x v="0"/>
    <n v="125"/>
    <n v="-4"/>
    <x v="1"/>
  </r>
  <r>
    <n v="838"/>
    <x v="5"/>
    <x v="105"/>
    <x v="6"/>
    <n v="2021"/>
    <x v="6"/>
    <x v="201"/>
    <n v="174"/>
    <n v="-11"/>
    <x v="805"/>
    <x v="1"/>
    <n v="165"/>
    <n v="-2"/>
    <x v="1"/>
  </r>
  <r>
    <n v="839"/>
    <x v="5"/>
    <x v="106"/>
    <x v="6"/>
    <n v="2021"/>
    <x v="6"/>
    <x v="585"/>
    <n v="53"/>
    <n v="3"/>
    <x v="112"/>
    <x v="0"/>
    <n v="58"/>
    <n v="-2"/>
    <x v="1"/>
  </r>
  <r>
    <n v="840"/>
    <x v="6"/>
    <x v="107"/>
    <x v="6"/>
    <n v="2021"/>
    <x v="6"/>
    <x v="586"/>
    <n v="642"/>
    <n v="53"/>
    <x v="806"/>
    <x v="0"/>
    <n v="668"/>
    <n v="27"/>
    <x v="0"/>
  </r>
  <r>
    <n v="841"/>
    <x v="6"/>
    <x v="108"/>
    <x v="6"/>
    <n v="2021"/>
    <x v="6"/>
    <x v="365"/>
    <n v="534"/>
    <n v="14"/>
    <x v="807"/>
    <x v="0"/>
    <n v="530"/>
    <n v="18"/>
    <x v="0"/>
  </r>
  <r>
    <n v="842"/>
    <x v="6"/>
    <x v="109"/>
    <x v="6"/>
    <n v="2021"/>
    <x v="6"/>
    <x v="587"/>
    <n v="167"/>
    <n v="29"/>
    <x v="808"/>
    <x v="0"/>
    <n v="180"/>
    <n v="16"/>
    <x v="0"/>
  </r>
  <r>
    <n v="843"/>
    <x v="6"/>
    <x v="110"/>
    <x v="6"/>
    <n v="2021"/>
    <x v="6"/>
    <x v="588"/>
    <n v="401"/>
    <n v="23"/>
    <x v="809"/>
    <x v="0"/>
    <n v="437"/>
    <n v="-13"/>
    <x v="1"/>
  </r>
  <r>
    <n v="844"/>
    <x v="6"/>
    <x v="111"/>
    <x v="6"/>
    <n v="2021"/>
    <x v="6"/>
    <x v="589"/>
    <n v="252"/>
    <n v="35"/>
    <x v="810"/>
    <x v="0"/>
    <n v="261"/>
    <n v="26"/>
    <x v="0"/>
  </r>
  <r>
    <n v="845"/>
    <x v="6"/>
    <x v="112"/>
    <x v="6"/>
    <n v="2021"/>
    <x v="6"/>
    <x v="590"/>
    <n v="348"/>
    <n v="6"/>
    <x v="811"/>
    <x v="0"/>
    <n v="342"/>
    <n v="12"/>
    <x v="0"/>
  </r>
  <r>
    <n v="846"/>
    <x v="6"/>
    <x v="113"/>
    <x v="6"/>
    <n v="2021"/>
    <x v="6"/>
    <x v="201"/>
    <n v="134"/>
    <n v="29"/>
    <x v="812"/>
    <x v="0"/>
    <n v="145"/>
    <n v="18"/>
    <x v="0"/>
  </r>
  <r>
    <n v="847"/>
    <x v="6"/>
    <x v="114"/>
    <x v="6"/>
    <n v="2021"/>
    <x v="6"/>
    <x v="522"/>
    <n v="243"/>
    <n v="8"/>
    <x v="813"/>
    <x v="0"/>
    <n v="222"/>
    <n v="29"/>
    <x v="0"/>
  </r>
  <r>
    <n v="848"/>
    <x v="6"/>
    <x v="115"/>
    <x v="6"/>
    <n v="2021"/>
    <x v="6"/>
    <x v="591"/>
    <n v="177"/>
    <n v="28"/>
    <x v="814"/>
    <x v="0"/>
    <n v="207"/>
    <n v="-2"/>
    <x v="1"/>
  </r>
  <r>
    <n v="849"/>
    <x v="6"/>
    <x v="116"/>
    <x v="6"/>
    <n v="2021"/>
    <x v="6"/>
    <x v="54"/>
    <n v="172"/>
    <n v="26"/>
    <x v="815"/>
    <x v="0"/>
    <n v="172"/>
    <n v="26"/>
    <x v="0"/>
  </r>
  <r>
    <n v="850"/>
    <x v="6"/>
    <x v="117"/>
    <x v="6"/>
    <n v="2021"/>
    <x v="6"/>
    <x v="386"/>
    <n v="104"/>
    <n v="7"/>
    <x v="816"/>
    <x v="0"/>
    <n v="105"/>
    <n v="6"/>
    <x v="0"/>
  </r>
  <r>
    <n v="851"/>
    <x v="6"/>
    <x v="118"/>
    <x v="6"/>
    <n v="2021"/>
    <x v="6"/>
    <x v="494"/>
    <n v="166"/>
    <n v="44"/>
    <x v="817"/>
    <x v="0"/>
    <n v="182"/>
    <n v="28"/>
    <x v="0"/>
  </r>
  <r>
    <n v="852"/>
    <x v="6"/>
    <x v="119"/>
    <x v="6"/>
    <n v="2021"/>
    <x v="6"/>
    <x v="200"/>
    <n v="116"/>
    <n v="9"/>
    <x v="818"/>
    <x v="0"/>
    <n v="118"/>
    <n v="7"/>
    <x v="0"/>
  </r>
  <r>
    <n v="853"/>
    <x v="6"/>
    <x v="120"/>
    <x v="6"/>
    <n v="2021"/>
    <x v="6"/>
    <x v="592"/>
    <n v="245"/>
    <n v="44"/>
    <x v="819"/>
    <x v="0"/>
    <n v="278"/>
    <n v="11"/>
    <x v="0"/>
  </r>
  <r>
    <n v="854"/>
    <x v="6"/>
    <x v="121"/>
    <x v="6"/>
    <n v="2021"/>
    <x v="6"/>
    <x v="593"/>
    <n v="284"/>
    <n v="47"/>
    <x v="820"/>
    <x v="0"/>
    <n v="266"/>
    <n v="65"/>
    <x v="0"/>
  </r>
  <r>
    <n v="855"/>
    <x v="0"/>
    <x v="0"/>
    <x v="7"/>
    <n v="2021"/>
    <x v="7"/>
    <x v="594"/>
    <n v="1266"/>
    <n v="78"/>
    <x v="821"/>
    <x v="0"/>
    <n v="349"/>
    <n v="995"/>
    <x v="0"/>
  </r>
  <r>
    <n v="856"/>
    <x v="0"/>
    <x v="1"/>
    <x v="7"/>
    <n v="2021"/>
    <x v="7"/>
    <x v="362"/>
    <n v="694"/>
    <n v="91"/>
    <x v="822"/>
    <x v="0"/>
    <n v="157"/>
    <n v="628"/>
    <x v="0"/>
  </r>
  <r>
    <n v="857"/>
    <x v="0"/>
    <x v="2"/>
    <x v="7"/>
    <n v="2021"/>
    <x v="7"/>
    <x v="544"/>
    <n v="789"/>
    <n v="63"/>
    <x v="823"/>
    <x v="0"/>
    <n v="248"/>
    <n v="604"/>
    <x v="0"/>
  </r>
  <r>
    <n v="858"/>
    <x v="0"/>
    <x v="3"/>
    <x v="7"/>
    <n v="2021"/>
    <x v="7"/>
    <x v="306"/>
    <n v="105"/>
    <n v="16"/>
    <x v="824"/>
    <x v="0"/>
    <n v="157"/>
    <n v="-36"/>
    <x v="1"/>
  </r>
  <r>
    <n v="859"/>
    <x v="0"/>
    <x v="4"/>
    <x v="7"/>
    <n v="2021"/>
    <x v="7"/>
    <x v="595"/>
    <n v="1254"/>
    <n v="28"/>
    <x v="825"/>
    <x v="0"/>
    <n v="38"/>
    <n v="1244"/>
    <x v="0"/>
  </r>
  <r>
    <n v="860"/>
    <x v="0"/>
    <x v="5"/>
    <x v="7"/>
    <n v="2021"/>
    <x v="7"/>
    <x v="557"/>
    <n v="579"/>
    <n v="13"/>
    <x v="826"/>
    <x v="0"/>
    <n v="44"/>
    <n v="548"/>
    <x v="0"/>
  </r>
  <r>
    <n v="861"/>
    <x v="0"/>
    <x v="6"/>
    <x v="7"/>
    <n v="2021"/>
    <x v="7"/>
    <x v="596"/>
    <n v="1118"/>
    <n v="-111"/>
    <x v="827"/>
    <x v="1"/>
    <n v="146"/>
    <n v="861"/>
    <x v="0"/>
  </r>
  <r>
    <n v="862"/>
    <x v="0"/>
    <x v="7"/>
    <x v="7"/>
    <n v="2021"/>
    <x v="7"/>
    <x v="597"/>
    <n v="913"/>
    <n v="-48"/>
    <x v="828"/>
    <x v="1"/>
    <n v="113"/>
    <n v="752"/>
    <x v="0"/>
  </r>
  <r>
    <n v="863"/>
    <x v="0"/>
    <x v="8"/>
    <x v="7"/>
    <n v="2021"/>
    <x v="7"/>
    <x v="258"/>
    <n v="166"/>
    <n v="-22"/>
    <x v="829"/>
    <x v="1"/>
    <n v="108"/>
    <n v="36"/>
    <x v="0"/>
  </r>
  <r>
    <n v="864"/>
    <x v="0"/>
    <x v="9"/>
    <x v="7"/>
    <n v="2021"/>
    <x v="7"/>
    <x v="178"/>
    <n v="580"/>
    <n v="-45"/>
    <x v="830"/>
    <x v="1"/>
    <n v="120"/>
    <n v="415"/>
    <x v="0"/>
  </r>
  <r>
    <n v="865"/>
    <x v="0"/>
    <x v="10"/>
    <x v="7"/>
    <n v="2021"/>
    <x v="7"/>
    <x v="571"/>
    <n v="481"/>
    <n v="16"/>
    <x v="831"/>
    <x v="0"/>
    <n v="235"/>
    <n v="262"/>
    <x v="0"/>
  </r>
  <r>
    <n v="866"/>
    <x v="0"/>
    <x v="11"/>
    <x v="7"/>
    <n v="2021"/>
    <x v="7"/>
    <x v="598"/>
    <n v="524"/>
    <n v="61"/>
    <x v="832"/>
    <x v="0"/>
    <n v="271"/>
    <n v="314"/>
    <x v="0"/>
  </r>
  <r>
    <n v="867"/>
    <x v="0"/>
    <x v="12"/>
    <x v="7"/>
    <n v="2021"/>
    <x v="7"/>
    <x v="599"/>
    <n v="303"/>
    <n v="38"/>
    <x v="833"/>
    <x v="0"/>
    <n v="226"/>
    <n v="115"/>
    <x v="0"/>
  </r>
  <r>
    <n v="868"/>
    <x v="0"/>
    <x v="13"/>
    <x v="7"/>
    <n v="2021"/>
    <x v="7"/>
    <x v="346"/>
    <n v="149"/>
    <n v="8"/>
    <x v="834"/>
    <x v="0"/>
    <n v="157"/>
    <n v="0"/>
    <x v="1"/>
  </r>
  <r>
    <n v="869"/>
    <x v="0"/>
    <x v="14"/>
    <x v="7"/>
    <n v="2021"/>
    <x v="7"/>
    <x v="600"/>
    <n v="502"/>
    <n v="131"/>
    <x v="835"/>
    <x v="0"/>
    <n v="33"/>
    <n v="600"/>
    <x v="0"/>
  </r>
  <r>
    <n v="870"/>
    <x v="0"/>
    <x v="15"/>
    <x v="7"/>
    <n v="2021"/>
    <x v="7"/>
    <x v="601"/>
    <n v="522"/>
    <n v="-3"/>
    <x v="836"/>
    <x v="1"/>
    <n v="124"/>
    <n v="395"/>
    <x v="0"/>
  </r>
  <r>
    <n v="871"/>
    <x v="0"/>
    <x v="16"/>
    <x v="7"/>
    <n v="2021"/>
    <x v="7"/>
    <x v="110"/>
    <n v="152"/>
    <n v="16"/>
    <x v="23"/>
    <x v="0"/>
    <n v="141"/>
    <n v="27"/>
    <x v="0"/>
  </r>
  <r>
    <n v="872"/>
    <x v="0"/>
    <x v="17"/>
    <x v="7"/>
    <n v="2021"/>
    <x v="7"/>
    <x v="602"/>
    <n v="76"/>
    <n v="0"/>
    <x v="3"/>
    <x v="0"/>
    <n v="115"/>
    <n v="-39"/>
    <x v="1"/>
  </r>
  <r>
    <n v="873"/>
    <x v="0"/>
    <x v="18"/>
    <x v="7"/>
    <n v="2021"/>
    <x v="7"/>
    <x v="103"/>
    <n v="533"/>
    <n v="-4"/>
    <x v="837"/>
    <x v="1"/>
    <n v="169"/>
    <n v="360"/>
    <x v="0"/>
  </r>
  <r>
    <n v="874"/>
    <x v="1"/>
    <x v="19"/>
    <x v="7"/>
    <n v="2021"/>
    <x v="7"/>
    <x v="603"/>
    <n v="650"/>
    <n v="126"/>
    <x v="838"/>
    <x v="0"/>
    <n v="292"/>
    <n v="484"/>
    <x v="0"/>
  </r>
  <r>
    <n v="875"/>
    <x v="1"/>
    <x v="20"/>
    <x v="7"/>
    <n v="2021"/>
    <x v="7"/>
    <x v="283"/>
    <n v="1004"/>
    <n v="-15"/>
    <x v="839"/>
    <x v="1"/>
    <n v="298"/>
    <n v="691"/>
    <x v="0"/>
  </r>
  <r>
    <n v="876"/>
    <x v="1"/>
    <x v="21"/>
    <x v="7"/>
    <n v="2021"/>
    <x v="7"/>
    <x v="270"/>
    <n v="709"/>
    <n v="-19"/>
    <x v="840"/>
    <x v="1"/>
    <n v="145"/>
    <n v="545"/>
    <x v="0"/>
  </r>
  <r>
    <n v="877"/>
    <x v="1"/>
    <x v="22"/>
    <x v="7"/>
    <n v="2021"/>
    <x v="7"/>
    <x v="604"/>
    <n v="1165"/>
    <n v="66"/>
    <x v="841"/>
    <x v="0"/>
    <n v="191"/>
    <n v="1040"/>
    <x v="0"/>
  </r>
  <r>
    <n v="878"/>
    <x v="1"/>
    <x v="23"/>
    <x v="7"/>
    <n v="2021"/>
    <x v="7"/>
    <x v="605"/>
    <n v="956"/>
    <n v="113"/>
    <x v="842"/>
    <x v="0"/>
    <n v="110"/>
    <n v="959"/>
    <x v="0"/>
  </r>
  <r>
    <n v="879"/>
    <x v="1"/>
    <x v="24"/>
    <x v="7"/>
    <n v="2021"/>
    <x v="7"/>
    <x v="136"/>
    <n v="21"/>
    <n v="2"/>
    <x v="695"/>
    <x v="0"/>
    <n v="135"/>
    <n v="-112"/>
    <x v="1"/>
  </r>
  <r>
    <n v="880"/>
    <x v="2"/>
    <x v="25"/>
    <x v="7"/>
    <n v="2021"/>
    <x v="7"/>
    <x v="4"/>
    <n v="1271"/>
    <n v="-155"/>
    <x v="843"/>
    <x v="1"/>
    <n v="181"/>
    <n v="935"/>
    <x v="0"/>
  </r>
  <r>
    <n v="881"/>
    <x v="2"/>
    <x v="26"/>
    <x v="7"/>
    <n v="2021"/>
    <x v="7"/>
    <x v="606"/>
    <n v="570"/>
    <n v="124"/>
    <x v="844"/>
    <x v="0"/>
    <n v="78"/>
    <n v="616"/>
    <x v="0"/>
  </r>
  <r>
    <n v="882"/>
    <x v="3"/>
    <x v="27"/>
    <x v="7"/>
    <n v="2021"/>
    <x v="7"/>
    <x v="607"/>
    <n v="965"/>
    <n v="-18"/>
    <x v="845"/>
    <x v="1"/>
    <n v="48"/>
    <n v="899"/>
    <x v="0"/>
  </r>
  <r>
    <n v="883"/>
    <x v="3"/>
    <x v="28"/>
    <x v="7"/>
    <n v="2021"/>
    <x v="7"/>
    <x v="608"/>
    <n v="1562"/>
    <n v="-15"/>
    <x v="846"/>
    <x v="1"/>
    <n v="190"/>
    <n v="1357"/>
    <x v="0"/>
  </r>
  <r>
    <n v="884"/>
    <x v="3"/>
    <x v="29"/>
    <x v="7"/>
    <n v="2021"/>
    <x v="7"/>
    <x v="609"/>
    <n v="1296"/>
    <n v="20"/>
    <x v="847"/>
    <x v="0"/>
    <n v="326"/>
    <n v="990"/>
    <x v="0"/>
  </r>
  <r>
    <n v="885"/>
    <x v="3"/>
    <x v="30"/>
    <x v="7"/>
    <n v="2021"/>
    <x v="7"/>
    <x v="610"/>
    <n v="1504"/>
    <n v="-81"/>
    <x v="848"/>
    <x v="1"/>
    <n v="39"/>
    <n v="1384"/>
    <x v="0"/>
  </r>
  <r>
    <n v="886"/>
    <x v="3"/>
    <x v="31"/>
    <x v="7"/>
    <n v="2021"/>
    <x v="7"/>
    <x v="611"/>
    <n v="1449"/>
    <n v="82"/>
    <x v="849"/>
    <x v="0"/>
    <n v="192"/>
    <n v="1339"/>
    <x v="0"/>
  </r>
  <r>
    <n v="887"/>
    <x v="3"/>
    <x v="32"/>
    <x v="7"/>
    <n v="2021"/>
    <x v="7"/>
    <x v="612"/>
    <n v="469"/>
    <n v="13"/>
    <x v="850"/>
    <x v="0"/>
    <n v="142"/>
    <n v="340"/>
    <x v="0"/>
  </r>
  <r>
    <n v="888"/>
    <x v="3"/>
    <x v="33"/>
    <x v="7"/>
    <n v="2021"/>
    <x v="7"/>
    <x v="261"/>
    <n v="508"/>
    <n v="52"/>
    <x v="851"/>
    <x v="0"/>
    <n v="87"/>
    <n v="473"/>
    <x v="0"/>
  </r>
  <r>
    <n v="889"/>
    <x v="3"/>
    <x v="34"/>
    <x v="7"/>
    <n v="2021"/>
    <x v="7"/>
    <x v="613"/>
    <n v="643"/>
    <n v="10"/>
    <x v="852"/>
    <x v="0"/>
    <n v="163"/>
    <n v="490"/>
    <x v="0"/>
  </r>
  <r>
    <n v="890"/>
    <x v="3"/>
    <x v="35"/>
    <x v="7"/>
    <n v="2021"/>
    <x v="7"/>
    <x v="614"/>
    <n v="888"/>
    <n v="48"/>
    <x v="853"/>
    <x v="0"/>
    <n v="50"/>
    <n v="886"/>
    <x v="0"/>
  </r>
  <r>
    <n v="891"/>
    <x v="2"/>
    <x v="36"/>
    <x v="7"/>
    <n v="2021"/>
    <x v="7"/>
    <x v="615"/>
    <n v="382"/>
    <n v="39"/>
    <x v="854"/>
    <x v="0"/>
    <n v="41"/>
    <n v="380"/>
    <x v="0"/>
  </r>
  <r>
    <n v="892"/>
    <x v="2"/>
    <x v="37"/>
    <x v="7"/>
    <n v="2021"/>
    <x v="7"/>
    <x v="616"/>
    <n v="602"/>
    <n v="25"/>
    <x v="855"/>
    <x v="0"/>
    <n v="82"/>
    <n v="545"/>
    <x v="0"/>
  </r>
  <r>
    <n v="893"/>
    <x v="2"/>
    <x v="38"/>
    <x v="7"/>
    <n v="2021"/>
    <x v="7"/>
    <x v="256"/>
    <n v="1058"/>
    <n v="-35"/>
    <x v="856"/>
    <x v="1"/>
    <n v="34"/>
    <n v="989"/>
    <x v="0"/>
  </r>
  <r>
    <n v="894"/>
    <x v="2"/>
    <x v="39"/>
    <x v="7"/>
    <n v="2021"/>
    <x v="7"/>
    <x v="460"/>
    <n v="260"/>
    <n v="25"/>
    <x v="223"/>
    <x v="0"/>
    <n v="36"/>
    <n v="249"/>
    <x v="0"/>
  </r>
  <r>
    <n v="895"/>
    <x v="3"/>
    <x v="40"/>
    <x v="7"/>
    <n v="2021"/>
    <x v="7"/>
    <x v="212"/>
    <n v="136"/>
    <n v="13"/>
    <x v="857"/>
    <x v="0"/>
    <n v="39"/>
    <n v="110"/>
    <x v="0"/>
  </r>
  <r>
    <n v="896"/>
    <x v="3"/>
    <x v="41"/>
    <x v="7"/>
    <n v="2021"/>
    <x v="7"/>
    <x v="617"/>
    <n v="1757"/>
    <n v="251"/>
    <x v="728"/>
    <x v="0"/>
    <n v="189"/>
    <n v="1819"/>
    <x v="0"/>
  </r>
  <r>
    <n v="897"/>
    <x v="3"/>
    <x v="42"/>
    <x v="7"/>
    <n v="2021"/>
    <x v="7"/>
    <x v="618"/>
    <n v="908"/>
    <n v="158"/>
    <x v="858"/>
    <x v="0"/>
    <n v="123"/>
    <n v="943"/>
    <x v="0"/>
  </r>
  <r>
    <n v="898"/>
    <x v="3"/>
    <x v="43"/>
    <x v="7"/>
    <n v="2021"/>
    <x v="7"/>
    <x v="296"/>
    <n v="199"/>
    <n v="39"/>
    <x v="859"/>
    <x v="0"/>
    <n v="149"/>
    <n v="89"/>
    <x v="0"/>
  </r>
  <r>
    <n v="899"/>
    <x v="3"/>
    <x v="44"/>
    <x v="7"/>
    <n v="2021"/>
    <x v="7"/>
    <x v="619"/>
    <n v="1356"/>
    <n v="-104"/>
    <x v="860"/>
    <x v="1"/>
    <n v="133"/>
    <n v="1119"/>
    <x v="0"/>
  </r>
  <r>
    <n v="900"/>
    <x v="3"/>
    <x v="45"/>
    <x v="7"/>
    <n v="2021"/>
    <x v="7"/>
    <x v="620"/>
    <n v="876"/>
    <n v="-49"/>
    <x v="861"/>
    <x v="1"/>
    <n v="96"/>
    <n v="731"/>
    <x v="0"/>
  </r>
  <r>
    <n v="901"/>
    <x v="3"/>
    <x v="46"/>
    <x v="7"/>
    <n v="2021"/>
    <x v="7"/>
    <x v="598"/>
    <n v="570"/>
    <n v="15"/>
    <x v="862"/>
    <x v="0"/>
    <n v="127"/>
    <n v="458"/>
    <x v="0"/>
  </r>
  <r>
    <n v="902"/>
    <x v="3"/>
    <x v="47"/>
    <x v="7"/>
    <n v="2021"/>
    <x v="7"/>
    <x v="149"/>
    <n v="521"/>
    <n v="77"/>
    <x v="863"/>
    <x v="0"/>
    <n v="107"/>
    <n v="491"/>
    <x v="0"/>
  </r>
  <r>
    <n v="903"/>
    <x v="3"/>
    <x v="48"/>
    <x v="7"/>
    <n v="2021"/>
    <x v="7"/>
    <x v="316"/>
    <n v="491"/>
    <n v="37"/>
    <x v="864"/>
    <x v="0"/>
    <n v="127"/>
    <n v="401"/>
    <x v="0"/>
  </r>
  <r>
    <n v="904"/>
    <x v="3"/>
    <x v="49"/>
    <x v="7"/>
    <n v="2021"/>
    <x v="7"/>
    <x v="621"/>
    <n v="673"/>
    <n v="-68"/>
    <x v="865"/>
    <x v="1"/>
    <n v="121"/>
    <n v="484"/>
    <x v="0"/>
  </r>
  <r>
    <n v="905"/>
    <x v="3"/>
    <x v="50"/>
    <x v="7"/>
    <n v="2021"/>
    <x v="7"/>
    <x v="622"/>
    <n v="380"/>
    <n v="-20"/>
    <x v="88"/>
    <x v="1"/>
    <n v="64"/>
    <n v="296"/>
    <x v="0"/>
  </r>
  <r>
    <n v="906"/>
    <x v="3"/>
    <x v="51"/>
    <x v="7"/>
    <n v="2021"/>
    <x v="7"/>
    <x v="623"/>
    <n v="94"/>
    <n v="-5"/>
    <x v="866"/>
    <x v="1"/>
    <n v="67"/>
    <n v="22"/>
    <x v="0"/>
  </r>
  <r>
    <n v="907"/>
    <x v="4"/>
    <x v="52"/>
    <x v="7"/>
    <n v="2021"/>
    <x v="7"/>
    <x v="624"/>
    <n v="682"/>
    <n v="16"/>
    <x v="867"/>
    <x v="0"/>
    <n v="52"/>
    <n v="646"/>
    <x v="0"/>
  </r>
  <r>
    <n v="908"/>
    <x v="4"/>
    <x v="53"/>
    <x v="7"/>
    <n v="2021"/>
    <x v="7"/>
    <x v="625"/>
    <n v="131"/>
    <n v="29"/>
    <x v="868"/>
    <x v="0"/>
    <n v="77"/>
    <n v="83"/>
    <x v="0"/>
  </r>
  <r>
    <n v="909"/>
    <x v="4"/>
    <x v="54"/>
    <x v="7"/>
    <n v="2021"/>
    <x v="7"/>
    <x v="212"/>
    <n v="145"/>
    <n v="4"/>
    <x v="869"/>
    <x v="0"/>
    <n v="107"/>
    <n v="42"/>
    <x v="0"/>
  </r>
  <r>
    <n v="910"/>
    <x v="4"/>
    <x v="55"/>
    <x v="7"/>
    <n v="2021"/>
    <x v="7"/>
    <x v="331"/>
    <n v="502"/>
    <n v="-44"/>
    <x v="870"/>
    <x v="1"/>
    <n v="73"/>
    <n v="385"/>
    <x v="0"/>
  </r>
  <r>
    <n v="911"/>
    <x v="4"/>
    <x v="56"/>
    <x v="7"/>
    <n v="2021"/>
    <x v="7"/>
    <x v="626"/>
    <n v="669"/>
    <n v="55"/>
    <x v="871"/>
    <x v="0"/>
    <n v="78"/>
    <n v="646"/>
    <x v="0"/>
  </r>
  <r>
    <n v="912"/>
    <x v="4"/>
    <x v="57"/>
    <x v="7"/>
    <n v="2021"/>
    <x v="7"/>
    <x v="216"/>
    <n v="204"/>
    <n v="-3"/>
    <x v="872"/>
    <x v="1"/>
    <n v="157"/>
    <n v="44"/>
    <x v="0"/>
  </r>
  <r>
    <n v="913"/>
    <x v="4"/>
    <x v="58"/>
    <x v="7"/>
    <n v="2021"/>
    <x v="7"/>
    <x v="627"/>
    <n v="1000"/>
    <n v="93"/>
    <x v="873"/>
    <x v="0"/>
    <n v="105"/>
    <n v="988"/>
    <x v="0"/>
  </r>
  <r>
    <n v="914"/>
    <x v="4"/>
    <x v="59"/>
    <x v="7"/>
    <n v="2021"/>
    <x v="7"/>
    <x v="603"/>
    <n v="708"/>
    <n v="68"/>
    <x v="874"/>
    <x v="0"/>
    <n v="151"/>
    <n v="625"/>
    <x v="0"/>
  </r>
  <r>
    <n v="915"/>
    <x v="4"/>
    <x v="60"/>
    <x v="7"/>
    <n v="2021"/>
    <x v="7"/>
    <x v="628"/>
    <n v="1462"/>
    <n v="-18"/>
    <x v="875"/>
    <x v="1"/>
    <n v="94"/>
    <n v="1350"/>
    <x v="0"/>
  </r>
  <r>
    <n v="916"/>
    <x v="4"/>
    <x v="61"/>
    <x v="7"/>
    <n v="2021"/>
    <x v="7"/>
    <x v="629"/>
    <n v="1444"/>
    <n v="146"/>
    <x v="876"/>
    <x v="0"/>
    <n v="148"/>
    <n v="1442"/>
    <x v="0"/>
  </r>
  <r>
    <n v="917"/>
    <x v="4"/>
    <x v="62"/>
    <x v="7"/>
    <n v="2021"/>
    <x v="7"/>
    <x v="126"/>
    <n v="500"/>
    <n v="59"/>
    <x v="877"/>
    <x v="0"/>
    <n v="91"/>
    <n v="468"/>
    <x v="0"/>
  </r>
  <r>
    <n v="918"/>
    <x v="4"/>
    <x v="63"/>
    <x v="7"/>
    <n v="2021"/>
    <x v="7"/>
    <x v="470"/>
    <n v="500"/>
    <n v="-28"/>
    <x v="878"/>
    <x v="1"/>
    <n v="69"/>
    <n v="403"/>
    <x v="0"/>
  </r>
  <r>
    <n v="919"/>
    <x v="4"/>
    <x v="64"/>
    <x v="7"/>
    <n v="2021"/>
    <x v="7"/>
    <x v="489"/>
    <n v="520"/>
    <n v="76"/>
    <x v="879"/>
    <x v="0"/>
    <n v="122"/>
    <n v="474"/>
    <x v="0"/>
  </r>
  <r>
    <n v="920"/>
    <x v="4"/>
    <x v="65"/>
    <x v="7"/>
    <n v="2021"/>
    <x v="7"/>
    <x v="630"/>
    <n v="1043"/>
    <n v="171"/>
    <x v="880"/>
    <x v="0"/>
    <n v="90"/>
    <n v="1124"/>
    <x v="0"/>
  </r>
  <r>
    <n v="921"/>
    <x v="4"/>
    <x v="66"/>
    <x v="7"/>
    <n v="2021"/>
    <x v="7"/>
    <x v="631"/>
    <n v="1001"/>
    <n v="142"/>
    <x v="881"/>
    <x v="0"/>
    <n v="171"/>
    <n v="972"/>
    <x v="0"/>
  </r>
  <r>
    <n v="922"/>
    <x v="4"/>
    <x v="67"/>
    <x v="7"/>
    <n v="2021"/>
    <x v="7"/>
    <x v="367"/>
    <n v="656"/>
    <n v="57"/>
    <x v="882"/>
    <x v="0"/>
    <n v="81"/>
    <n v="632"/>
    <x v="0"/>
  </r>
  <r>
    <n v="923"/>
    <x v="4"/>
    <x v="68"/>
    <x v="7"/>
    <n v="2021"/>
    <x v="7"/>
    <x v="537"/>
    <n v="579"/>
    <n v="-72"/>
    <x v="883"/>
    <x v="1"/>
    <n v="87"/>
    <n v="420"/>
    <x v="0"/>
  </r>
  <r>
    <n v="924"/>
    <x v="4"/>
    <x v="69"/>
    <x v="7"/>
    <n v="2021"/>
    <x v="7"/>
    <x v="529"/>
    <n v="297"/>
    <n v="11"/>
    <x v="331"/>
    <x v="0"/>
    <n v="56"/>
    <n v="252"/>
    <x v="0"/>
  </r>
  <r>
    <n v="925"/>
    <x v="4"/>
    <x v="70"/>
    <x v="7"/>
    <n v="2021"/>
    <x v="7"/>
    <x v="632"/>
    <n v="731"/>
    <n v="122"/>
    <x v="884"/>
    <x v="0"/>
    <n v="14"/>
    <n v="839"/>
    <x v="0"/>
  </r>
  <r>
    <n v="926"/>
    <x v="4"/>
    <x v="71"/>
    <x v="7"/>
    <n v="2021"/>
    <x v="7"/>
    <x v="397"/>
    <n v="578"/>
    <n v="11"/>
    <x v="885"/>
    <x v="0"/>
    <n v="43"/>
    <n v="546"/>
    <x v="0"/>
  </r>
  <r>
    <n v="927"/>
    <x v="4"/>
    <x v="72"/>
    <x v="7"/>
    <n v="2021"/>
    <x v="7"/>
    <x v="359"/>
    <n v="527"/>
    <n v="-14"/>
    <x v="886"/>
    <x v="1"/>
    <n v="33"/>
    <n v="480"/>
    <x v="0"/>
  </r>
  <r>
    <n v="928"/>
    <x v="4"/>
    <x v="73"/>
    <x v="7"/>
    <n v="2021"/>
    <x v="7"/>
    <x v="535"/>
    <n v="844"/>
    <n v="130"/>
    <x v="887"/>
    <x v="0"/>
    <n v="66"/>
    <n v="908"/>
    <x v="0"/>
  </r>
  <r>
    <n v="929"/>
    <x v="4"/>
    <x v="74"/>
    <x v="7"/>
    <n v="2021"/>
    <x v="7"/>
    <x v="630"/>
    <n v="1072"/>
    <n v="142"/>
    <x v="888"/>
    <x v="0"/>
    <n v="17"/>
    <n v="1197"/>
    <x v="0"/>
  </r>
  <r>
    <n v="930"/>
    <x v="4"/>
    <x v="75"/>
    <x v="7"/>
    <n v="2021"/>
    <x v="7"/>
    <x v="267"/>
    <n v="634"/>
    <n v="132"/>
    <x v="889"/>
    <x v="0"/>
    <n v="143"/>
    <n v="623"/>
    <x v="0"/>
  </r>
  <r>
    <n v="931"/>
    <x v="4"/>
    <x v="76"/>
    <x v="7"/>
    <n v="2021"/>
    <x v="7"/>
    <x v="419"/>
    <n v="807"/>
    <n v="25"/>
    <x v="890"/>
    <x v="0"/>
    <n v="96"/>
    <n v="736"/>
    <x v="0"/>
  </r>
  <r>
    <n v="932"/>
    <x v="4"/>
    <x v="77"/>
    <x v="7"/>
    <n v="2021"/>
    <x v="7"/>
    <x v="633"/>
    <n v="656"/>
    <n v="145"/>
    <x v="891"/>
    <x v="0"/>
    <n v="58"/>
    <n v="743"/>
    <x v="0"/>
  </r>
  <r>
    <n v="933"/>
    <x v="4"/>
    <x v="78"/>
    <x v="7"/>
    <n v="2021"/>
    <x v="7"/>
    <x v="118"/>
    <n v="984"/>
    <n v="-122"/>
    <x v="892"/>
    <x v="1"/>
    <n v="852"/>
    <n v="10"/>
    <x v="0"/>
  </r>
  <r>
    <n v="934"/>
    <x v="4"/>
    <x v="79"/>
    <x v="7"/>
    <n v="2021"/>
    <x v="7"/>
    <x v="9"/>
    <n v="517"/>
    <n v="-21"/>
    <x v="893"/>
    <x v="1"/>
    <n v="500"/>
    <n v="-4"/>
    <x v="1"/>
  </r>
  <r>
    <n v="935"/>
    <x v="4"/>
    <x v="80"/>
    <x v="7"/>
    <n v="2021"/>
    <x v="7"/>
    <x v="634"/>
    <n v="502"/>
    <n v="74"/>
    <x v="894"/>
    <x v="0"/>
    <n v="518"/>
    <n v="58"/>
    <x v="0"/>
  </r>
  <r>
    <n v="936"/>
    <x v="4"/>
    <x v="81"/>
    <x v="7"/>
    <n v="2021"/>
    <x v="7"/>
    <x v="1"/>
    <n v="599"/>
    <n v="78"/>
    <x v="895"/>
    <x v="0"/>
    <n v="586"/>
    <n v="91"/>
    <x v="0"/>
  </r>
  <r>
    <n v="937"/>
    <x v="4"/>
    <x v="82"/>
    <x v="7"/>
    <n v="2021"/>
    <x v="7"/>
    <x v="635"/>
    <n v="399"/>
    <n v="-17"/>
    <x v="896"/>
    <x v="1"/>
    <n v="408"/>
    <n v="-26"/>
    <x v="1"/>
  </r>
  <r>
    <n v="938"/>
    <x v="5"/>
    <x v="83"/>
    <x v="7"/>
    <n v="2021"/>
    <x v="7"/>
    <x v="636"/>
    <n v="957"/>
    <n v="84"/>
    <x v="897"/>
    <x v="0"/>
    <n v="952"/>
    <n v="89"/>
    <x v="0"/>
  </r>
  <r>
    <n v="939"/>
    <x v="5"/>
    <x v="84"/>
    <x v="7"/>
    <n v="2021"/>
    <x v="7"/>
    <x v="637"/>
    <n v="628"/>
    <n v="51"/>
    <x v="898"/>
    <x v="0"/>
    <n v="619"/>
    <n v="60"/>
    <x v="0"/>
  </r>
  <r>
    <n v="940"/>
    <x v="5"/>
    <x v="85"/>
    <x v="7"/>
    <n v="2021"/>
    <x v="7"/>
    <x v="638"/>
    <n v="429"/>
    <n v="-18"/>
    <x v="899"/>
    <x v="1"/>
    <n v="439"/>
    <n v="-28"/>
    <x v="1"/>
  </r>
  <r>
    <n v="941"/>
    <x v="5"/>
    <x v="86"/>
    <x v="7"/>
    <n v="2021"/>
    <x v="7"/>
    <x v="38"/>
    <n v="243"/>
    <n v="-3"/>
    <x v="900"/>
    <x v="1"/>
    <n v="253"/>
    <n v="-13"/>
    <x v="1"/>
  </r>
  <r>
    <n v="942"/>
    <x v="5"/>
    <x v="87"/>
    <x v="7"/>
    <n v="2021"/>
    <x v="7"/>
    <x v="625"/>
    <n v="157"/>
    <n v="3"/>
    <x v="901"/>
    <x v="0"/>
    <n v="164"/>
    <n v="-4"/>
    <x v="1"/>
  </r>
  <r>
    <n v="943"/>
    <x v="5"/>
    <x v="88"/>
    <x v="7"/>
    <n v="2021"/>
    <x v="7"/>
    <x v="94"/>
    <n v="153"/>
    <n v="-8"/>
    <x v="902"/>
    <x v="1"/>
    <n v="149"/>
    <n v="-4"/>
    <x v="1"/>
  </r>
  <r>
    <n v="944"/>
    <x v="5"/>
    <x v="89"/>
    <x v="7"/>
    <n v="2021"/>
    <x v="7"/>
    <x v="385"/>
    <n v="181"/>
    <n v="11"/>
    <x v="903"/>
    <x v="0"/>
    <n v="209"/>
    <n v="-17"/>
    <x v="1"/>
  </r>
  <r>
    <n v="945"/>
    <x v="5"/>
    <x v="90"/>
    <x v="7"/>
    <n v="2021"/>
    <x v="7"/>
    <x v="519"/>
    <n v="187"/>
    <n v="24"/>
    <x v="904"/>
    <x v="0"/>
    <n v="201"/>
    <n v="10"/>
    <x v="0"/>
  </r>
  <r>
    <n v="946"/>
    <x v="5"/>
    <x v="91"/>
    <x v="7"/>
    <n v="2021"/>
    <x v="7"/>
    <x v="223"/>
    <n v="105"/>
    <n v="1"/>
    <x v="905"/>
    <x v="0"/>
    <n v="112"/>
    <n v="-6"/>
    <x v="1"/>
  </r>
  <r>
    <n v="947"/>
    <x v="5"/>
    <x v="92"/>
    <x v="7"/>
    <n v="2021"/>
    <x v="7"/>
    <x v="639"/>
    <n v="279"/>
    <n v="83"/>
    <x v="906"/>
    <x v="0"/>
    <n v="290"/>
    <n v="72"/>
    <x v="0"/>
  </r>
  <r>
    <n v="948"/>
    <x v="5"/>
    <x v="93"/>
    <x v="7"/>
    <n v="2021"/>
    <x v="7"/>
    <x v="212"/>
    <n v="124"/>
    <n v="25"/>
    <x v="907"/>
    <x v="0"/>
    <n v="155"/>
    <n v="-6"/>
    <x v="1"/>
  </r>
  <r>
    <n v="949"/>
    <x v="5"/>
    <x v="94"/>
    <x v="7"/>
    <n v="2021"/>
    <x v="7"/>
    <x v="623"/>
    <n v="82"/>
    <n v="7"/>
    <x v="908"/>
    <x v="0"/>
    <n v="94"/>
    <n v="-5"/>
    <x v="1"/>
  </r>
  <r>
    <n v="950"/>
    <x v="5"/>
    <x v="95"/>
    <x v="7"/>
    <n v="2021"/>
    <x v="7"/>
    <x v="84"/>
    <n v="151"/>
    <n v="38"/>
    <x v="909"/>
    <x v="0"/>
    <n v="174"/>
    <n v="15"/>
    <x v="0"/>
  </r>
  <r>
    <n v="951"/>
    <x v="5"/>
    <x v="96"/>
    <x v="7"/>
    <n v="2021"/>
    <x v="7"/>
    <x v="640"/>
    <n v="237"/>
    <n v="7"/>
    <x v="910"/>
    <x v="0"/>
    <n v="227"/>
    <n v="17"/>
    <x v="0"/>
  </r>
  <r>
    <n v="952"/>
    <x v="5"/>
    <x v="97"/>
    <x v="7"/>
    <n v="2021"/>
    <x v="7"/>
    <x v="641"/>
    <n v="173"/>
    <n v="46"/>
    <x v="911"/>
    <x v="0"/>
    <n v="196"/>
    <n v="23"/>
    <x v="0"/>
  </r>
  <r>
    <n v="953"/>
    <x v="5"/>
    <x v="98"/>
    <x v="7"/>
    <n v="2021"/>
    <x v="7"/>
    <x v="444"/>
    <n v="130"/>
    <n v="20"/>
    <x v="912"/>
    <x v="0"/>
    <n v="128"/>
    <n v="22"/>
    <x v="0"/>
  </r>
  <r>
    <n v="954"/>
    <x v="5"/>
    <x v="99"/>
    <x v="7"/>
    <n v="2021"/>
    <x v="7"/>
    <x v="580"/>
    <n v="148"/>
    <n v="-6"/>
    <x v="913"/>
    <x v="1"/>
    <n v="147"/>
    <n v="-5"/>
    <x v="1"/>
  </r>
  <r>
    <n v="955"/>
    <x v="5"/>
    <x v="100"/>
    <x v="7"/>
    <n v="2021"/>
    <x v="7"/>
    <x v="155"/>
    <n v="174"/>
    <n v="34"/>
    <x v="914"/>
    <x v="0"/>
    <n v="189"/>
    <n v="19"/>
    <x v="0"/>
  </r>
  <r>
    <n v="956"/>
    <x v="5"/>
    <x v="101"/>
    <x v="7"/>
    <n v="2021"/>
    <x v="7"/>
    <x v="515"/>
    <n v="102"/>
    <n v="-10"/>
    <x v="915"/>
    <x v="1"/>
    <n v="105"/>
    <n v="-13"/>
    <x v="1"/>
  </r>
  <r>
    <n v="957"/>
    <x v="5"/>
    <x v="102"/>
    <x v="7"/>
    <n v="2021"/>
    <x v="7"/>
    <x v="642"/>
    <n v="115"/>
    <n v="3"/>
    <x v="916"/>
    <x v="0"/>
    <n v="124"/>
    <n v="-6"/>
    <x v="1"/>
  </r>
  <r>
    <n v="958"/>
    <x v="5"/>
    <x v="103"/>
    <x v="7"/>
    <n v="2021"/>
    <x v="7"/>
    <x v="194"/>
    <n v="199"/>
    <n v="13"/>
    <x v="917"/>
    <x v="0"/>
    <n v="209"/>
    <n v="3"/>
    <x v="0"/>
  </r>
  <r>
    <n v="959"/>
    <x v="5"/>
    <x v="104"/>
    <x v="7"/>
    <n v="2021"/>
    <x v="7"/>
    <x v="298"/>
    <n v="106"/>
    <n v="3"/>
    <x v="918"/>
    <x v="0"/>
    <n v="132"/>
    <n v="-23"/>
    <x v="1"/>
  </r>
  <r>
    <n v="960"/>
    <x v="5"/>
    <x v="105"/>
    <x v="7"/>
    <n v="2021"/>
    <x v="7"/>
    <x v="201"/>
    <n v="178"/>
    <n v="-15"/>
    <x v="919"/>
    <x v="1"/>
    <n v="166"/>
    <n v="-3"/>
    <x v="1"/>
  </r>
  <r>
    <n v="961"/>
    <x v="5"/>
    <x v="106"/>
    <x v="7"/>
    <n v="2021"/>
    <x v="7"/>
    <x v="643"/>
    <n v="54"/>
    <n v="7"/>
    <x v="920"/>
    <x v="0"/>
    <n v="62"/>
    <n v="-1"/>
    <x v="1"/>
  </r>
  <r>
    <n v="962"/>
    <x v="6"/>
    <x v="107"/>
    <x v="7"/>
    <n v="2021"/>
    <x v="7"/>
    <x v="207"/>
    <n v="661"/>
    <n v="-13"/>
    <x v="921"/>
    <x v="1"/>
    <n v="667"/>
    <n v="-19"/>
    <x v="1"/>
  </r>
  <r>
    <n v="963"/>
    <x v="6"/>
    <x v="108"/>
    <x v="7"/>
    <n v="2021"/>
    <x v="7"/>
    <x v="453"/>
    <n v="550"/>
    <n v="12"/>
    <x v="922"/>
    <x v="0"/>
    <n v="532"/>
    <n v="30"/>
    <x v="0"/>
  </r>
  <r>
    <n v="964"/>
    <x v="6"/>
    <x v="109"/>
    <x v="7"/>
    <n v="2021"/>
    <x v="7"/>
    <x v="520"/>
    <n v="172"/>
    <n v="6"/>
    <x v="923"/>
    <x v="0"/>
    <n v="187"/>
    <n v="-9"/>
    <x v="1"/>
  </r>
  <r>
    <n v="965"/>
    <x v="6"/>
    <x v="110"/>
    <x v="7"/>
    <n v="2021"/>
    <x v="7"/>
    <x v="644"/>
    <n v="405"/>
    <n v="76"/>
    <x v="924"/>
    <x v="0"/>
    <n v="439"/>
    <n v="42"/>
    <x v="0"/>
  </r>
  <r>
    <n v="966"/>
    <x v="6"/>
    <x v="111"/>
    <x v="7"/>
    <n v="2021"/>
    <x v="7"/>
    <x v="645"/>
    <n v="254"/>
    <n v="32"/>
    <x v="925"/>
    <x v="0"/>
    <n v="262"/>
    <n v="24"/>
    <x v="0"/>
  </r>
  <r>
    <n v="967"/>
    <x v="6"/>
    <x v="112"/>
    <x v="7"/>
    <n v="2021"/>
    <x v="7"/>
    <x v="12"/>
    <n v="351"/>
    <n v="-24"/>
    <x v="926"/>
    <x v="1"/>
    <n v="340"/>
    <n v="-13"/>
    <x v="1"/>
  </r>
  <r>
    <n v="968"/>
    <x v="6"/>
    <x v="113"/>
    <x v="7"/>
    <n v="2021"/>
    <x v="7"/>
    <x v="346"/>
    <n v="135"/>
    <n v="22"/>
    <x v="927"/>
    <x v="0"/>
    <n v="145"/>
    <n v="12"/>
    <x v="0"/>
  </r>
  <r>
    <n v="969"/>
    <x v="6"/>
    <x v="114"/>
    <x v="7"/>
    <n v="2021"/>
    <x v="7"/>
    <x v="522"/>
    <n v="248"/>
    <n v="3"/>
    <x v="928"/>
    <x v="0"/>
    <n v="222"/>
    <n v="29"/>
    <x v="0"/>
  </r>
  <r>
    <n v="970"/>
    <x v="6"/>
    <x v="115"/>
    <x v="7"/>
    <n v="2021"/>
    <x v="7"/>
    <x v="235"/>
    <n v="183"/>
    <n v="12"/>
    <x v="929"/>
    <x v="0"/>
    <n v="211"/>
    <n v="-16"/>
    <x v="1"/>
  </r>
  <r>
    <n v="971"/>
    <x v="6"/>
    <x v="116"/>
    <x v="7"/>
    <n v="2021"/>
    <x v="7"/>
    <x v="216"/>
    <n v="173"/>
    <n v="28"/>
    <x v="930"/>
    <x v="0"/>
    <n v="173"/>
    <n v="28"/>
    <x v="0"/>
  </r>
  <r>
    <n v="972"/>
    <x v="6"/>
    <x v="117"/>
    <x v="7"/>
    <n v="2021"/>
    <x v="7"/>
    <x v="111"/>
    <n v="107"/>
    <n v="-3"/>
    <x v="931"/>
    <x v="1"/>
    <n v="108"/>
    <n v="-4"/>
    <x v="1"/>
  </r>
  <r>
    <n v="973"/>
    <x v="6"/>
    <x v="118"/>
    <x v="7"/>
    <n v="2021"/>
    <x v="7"/>
    <x v="587"/>
    <n v="169"/>
    <n v="27"/>
    <x v="932"/>
    <x v="0"/>
    <n v="181"/>
    <n v="15"/>
    <x v="0"/>
  </r>
  <r>
    <n v="974"/>
    <x v="6"/>
    <x v="119"/>
    <x v="7"/>
    <n v="2021"/>
    <x v="7"/>
    <x v="642"/>
    <n v="118"/>
    <n v="0"/>
    <x v="3"/>
    <x v="0"/>
    <n v="122"/>
    <n v="-4"/>
    <x v="1"/>
  </r>
  <r>
    <n v="975"/>
    <x v="6"/>
    <x v="120"/>
    <x v="7"/>
    <n v="2021"/>
    <x v="7"/>
    <x v="646"/>
    <n v="252"/>
    <n v="15"/>
    <x v="933"/>
    <x v="0"/>
    <n v="277"/>
    <n v="-10"/>
    <x v="1"/>
  </r>
  <r>
    <n v="976"/>
    <x v="6"/>
    <x v="121"/>
    <x v="7"/>
    <n v="2021"/>
    <x v="7"/>
    <x v="647"/>
    <n v="290"/>
    <n v="-7"/>
    <x v="934"/>
    <x v="1"/>
    <n v="265"/>
    <n v="18"/>
    <x v="0"/>
  </r>
  <r>
    <n v="977"/>
    <x v="0"/>
    <x v="0"/>
    <x v="8"/>
    <n v="2021"/>
    <x v="8"/>
    <x v="648"/>
    <n v="1304"/>
    <n v="-66"/>
    <x v="935"/>
    <x v="1"/>
    <n v="353"/>
    <n v="885"/>
    <x v="0"/>
  </r>
  <r>
    <n v="978"/>
    <x v="0"/>
    <x v="1"/>
    <x v="8"/>
    <n v="2021"/>
    <x v="8"/>
    <x v="270"/>
    <n v="694"/>
    <n v="-4"/>
    <x v="936"/>
    <x v="1"/>
    <n v="163"/>
    <n v="527"/>
    <x v="0"/>
  </r>
  <r>
    <n v="979"/>
    <x v="0"/>
    <x v="2"/>
    <x v="8"/>
    <n v="2021"/>
    <x v="8"/>
    <x v="649"/>
    <n v="805"/>
    <n v="178"/>
    <x v="937"/>
    <x v="0"/>
    <n v="246"/>
    <n v="737"/>
    <x v="0"/>
  </r>
  <r>
    <n v="980"/>
    <x v="0"/>
    <x v="3"/>
    <x v="8"/>
    <n v="2021"/>
    <x v="8"/>
    <x v="650"/>
    <n v="108"/>
    <n v="-6"/>
    <x v="938"/>
    <x v="1"/>
    <n v="157"/>
    <n v="-55"/>
    <x v="1"/>
  </r>
  <r>
    <n v="981"/>
    <x v="0"/>
    <x v="4"/>
    <x v="8"/>
    <n v="2021"/>
    <x v="8"/>
    <x v="651"/>
    <n v="1292"/>
    <n v="-112"/>
    <x v="939"/>
    <x v="1"/>
    <n v="43"/>
    <n v="1137"/>
    <x v="0"/>
  </r>
  <r>
    <n v="982"/>
    <x v="0"/>
    <x v="5"/>
    <x v="8"/>
    <n v="2021"/>
    <x v="8"/>
    <x v="652"/>
    <n v="585"/>
    <n v="-61"/>
    <x v="940"/>
    <x v="1"/>
    <n v="50"/>
    <n v="474"/>
    <x v="0"/>
  </r>
  <r>
    <n v="983"/>
    <x v="0"/>
    <x v="6"/>
    <x v="8"/>
    <n v="2021"/>
    <x v="8"/>
    <x v="653"/>
    <n v="1118"/>
    <n v="47"/>
    <x v="941"/>
    <x v="0"/>
    <n v="148"/>
    <n v="1017"/>
    <x v="0"/>
  </r>
  <r>
    <n v="984"/>
    <x v="0"/>
    <x v="7"/>
    <x v="8"/>
    <n v="2021"/>
    <x v="8"/>
    <x v="654"/>
    <n v="931"/>
    <n v="30"/>
    <x v="942"/>
    <x v="0"/>
    <n v="117"/>
    <n v="844"/>
    <x v="0"/>
  </r>
  <r>
    <n v="985"/>
    <x v="0"/>
    <x v="8"/>
    <x v="8"/>
    <n v="2021"/>
    <x v="8"/>
    <x v="345"/>
    <n v="169"/>
    <n v="-2"/>
    <x v="943"/>
    <x v="1"/>
    <n v="115"/>
    <n v="52"/>
    <x v="0"/>
  </r>
  <r>
    <n v="986"/>
    <x v="0"/>
    <x v="9"/>
    <x v="8"/>
    <n v="2021"/>
    <x v="8"/>
    <x v="233"/>
    <n v="592"/>
    <n v="-34"/>
    <x v="944"/>
    <x v="1"/>
    <n v="123"/>
    <n v="435"/>
    <x v="0"/>
  </r>
  <r>
    <n v="987"/>
    <x v="0"/>
    <x v="10"/>
    <x v="8"/>
    <n v="2021"/>
    <x v="8"/>
    <x v="655"/>
    <n v="491"/>
    <n v="-26"/>
    <x v="945"/>
    <x v="1"/>
    <n v="242"/>
    <n v="223"/>
    <x v="0"/>
  </r>
  <r>
    <n v="988"/>
    <x v="0"/>
    <x v="11"/>
    <x v="8"/>
    <n v="2021"/>
    <x v="8"/>
    <x v="420"/>
    <n v="529"/>
    <n v="-18"/>
    <x v="946"/>
    <x v="1"/>
    <n v="273"/>
    <n v="238"/>
    <x v="0"/>
  </r>
  <r>
    <n v="989"/>
    <x v="0"/>
    <x v="12"/>
    <x v="8"/>
    <n v="2021"/>
    <x v="8"/>
    <x v="456"/>
    <n v="306"/>
    <n v="36"/>
    <x v="947"/>
    <x v="0"/>
    <n v="226"/>
    <n v="116"/>
    <x v="0"/>
  </r>
  <r>
    <n v="990"/>
    <x v="0"/>
    <x v="13"/>
    <x v="8"/>
    <n v="2021"/>
    <x v="8"/>
    <x v="193"/>
    <n v="149"/>
    <n v="12"/>
    <x v="948"/>
    <x v="0"/>
    <n v="158"/>
    <n v="3"/>
    <x v="0"/>
  </r>
  <r>
    <n v="991"/>
    <x v="0"/>
    <x v="14"/>
    <x v="8"/>
    <n v="2021"/>
    <x v="8"/>
    <x v="501"/>
    <n v="517"/>
    <n v="113"/>
    <x v="949"/>
    <x v="0"/>
    <n v="36"/>
    <n v="594"/>
    <x v="0"/>
  </r>
  <r>
    <n v="992"/>
    <x v="0"/>
    <x v="15"/>
    <x v="8"/>
    <n v="2021"/>
    <x v="8"/>
    <x v="570"/>
    <n v="527"/>
    <n v="-18"/>
    <x v="950"/>
    <x v="1"/>
    <n v="124"/>
    <n v="385"/>
    <x v="0"/>
  </r>
  <r>
    <n v="993"/>
    <x v="0"/>
    <x v="16"/>
    <x v="8"/>
    <n v="2021"/>
    <x v="8"/>
    <x v="656"/>
    <n v="156"/>
    <n v="26"/>
    <x v="677"/>
    <x v="0"/>
    <n v="144"/>
    <n v="38"/>
    <x v="0"/>
  </r>
  <r>
    <n v="994"/>
    <x v="0"/>
    <x v="17"/>
    <x v="8"/>
    <n v="2021"/>
    <x v="8"/>
    <x v="657"/>
    <n v="76"/>
    <n v="2"/>
    <x v="862"/>
    <x v="0"/>
    <n v="118"/>
    <n v="-40"/>
    <x v="1"/>
  </r>
  <r>
    <n v="995"/>
    <x v="0"/>
    <x v="18"/>
    <x v="8"/>
    <n v="2021"/>
    <x v="8"/>
    <x v="652"/>
    <n v="549"/>
    <n v="-25"/>
    <x v="951"/>
    <x v="1"/>
    <n v="174"/>
    <n v="350"/>
    <x v="0"/>
  </r>
  <r>
    <n v="996"/>
    <x v="1"/>
    <x v="19"/>
    <x v="8"/>
    <n v="2021"/>
    <x v="8"/>
    <x v="658"/>
    <n v="656"/>
    <n v="99"/>
    <x v="952"/>
    <x v="0"/>
    <n v="297"/>
    <n v="458"/>
    <x v="0"/>
  </r>
  <r>
    <n v="997"/>
    <x v="1"/>
    <x v="20"/>
    <x v="8"/>
    <n v="2021"/>
    <x v="8"/>
    <x v="69"/>
    <n v="1014"/>
    <n v="-73"/>
    <x v="953"/>
    <x v="1"/>
    <n v="303"/>
    <n v="638"/>
    <x v="0"/>
  </r>
  <r>
    <n v="998"/>
    <x v="1"/>
    <x v="21"/>
    <x v="8"/>
    <n v="2021"/>
    <x v="8"/>
    <x v="659"/>
    <n v="716"/>
    <n v="-64"/>
    <x v="954"/>
    <x v="1"/>
    <n v="143"/>
    <n v="509"/>
    <x v="0"/>
  </r>
  <r>
    <n v="999"/>
    <x v="1"/>
    <x v="22"/>
    <x v="8"/>
    <n v="2021"/>
    <x v="8"/>
    <x v="660"/>
    <n v="1200"/>
    <n v="-18"/>
    <x v="955"/>
    <x v="1"/>
    <n v="196"/>
    <n v="986"/>
    <x v="0"/>
  </r>
  <r>
    <n v="1000"/>
    <x v="1"/>
    <x v="23"/>
    <x v="8"/>
    <n v="2021"/>
    <x v="8"/>
    <x v="661"/>
    <n v="965"/>
    <n v="297"/>
    <x v="956"/>
    <x v="0"/>
    <n v="113"/>
    <n v="1149"/>
    <x v="0"/>
  </r>
  <r>
    <n v="1001"/>
    <x v="1"/>
    <x v="24"/>
    <x v="8"/>
    <n v="2021"/>
    <x v="8"/>
    <x v="662"/>
    <n v="21"/>
    <n v="1"/>
    <x v="438"/>
    <x v="0"/>
    <n v="136"/>
    <n v="-114"/>
    <x v="1"/>
  </r>
  <r>
    <n v="1002"/>
    <x v="2"/>
    <x v="25"/>
    <x v="8"/>
    <n v="2021"/>
    <x v="8"/>
    <x v="663"/>
    <n v="1271"/>
    <n v="-422"/>
    <x v="957"/>
    <x v="1"/>
    <n v="181"/>
    <n v="668"/>
    <x v="0"/>
  </r>
  <r>
    <n v="1003"/>
    <x v="2"/>
    <x v="26"/>
    <x v="8"/>
    <n v="2021"/>
    <x v="8"/>
    <x v="239"/>
    <n v="587"/>
    <n v="63"/>
    <x v="958"/>
    <x v="0"/>
    <n v="83"/>
    <n v="567"/>
    <x v="0"/>
  </r>
  <r>
    <n v="1004"/>
    <x v="3"/>
    <x v="27"/>
    <x v="8"/>
    <n v="2021"/>
    <x v="8"/>
    <x v="664"/>
    <n v="985"/>
    <n v="-124"/>
    <x v="959"/>
    <x v="1"/>
    <n v="55"/>
    <n v="806"/>
    <x v="0"/>
  </r>
  <r>
    <n v="1005"/>
    <x v="3"/>
    <x v="28"/>
    <x v="8"/>
    <n v="2021"/>
    <x v="8"/>
    <x v="665"/>
    <n v="1593"/>
    <n v="-116"/>
    <x v="960"/>
    <x v="1"/>
    <n v="190"/>
    <n v="1287"/>
    <x v="0"/>
  </r>
  <r>
    <n v="1006"/>
    <x v="3"/>
    <x v="29"/>
    <x v="8"/>
    <n v="2021"/>
    <x v="8"/>
    <x v="666"/>
    <n v="1296"/>
    <n v="-21"/>
    <x v="961"/>
    <x v="1"/>
    <n v="328"/>
    <n v="947"/>
    <x v="0"/>
  </r>
  <r>
    <n v="1007"/>
    <x v="3"/>
    <x v="30"/>
    <x v="8"/>
    <n v="2021"/>
    <x v="8"/>
    <x v="667"/>
    <n v="1534"/>
    <n v="-13"/>
    <x v="962"/>
    <x v="1"/>
    <n v="42"/>
    <n v="1479"/>
    <x v="0"/>
  </r>
  <r>
    <n v="1008"/>
    <x v="3"/>
    <x v="31"/>
    <x v="8"/>
    <n v="2021"/>
    <x v="8"/>
    <x v="668"/>
    <n v="1493"/>
    <n v="222"/>
    <x v="963"/>
    <x v="0"/>
    <n v="192"/>
    <n v="1523"/>
    <x v="0"/>
  </r>
  <r>
    <n v="1009"/>
    <x v="3"/>
    <x v="32"/>
    <x v="8"/>
    <n v="2021"/>
    <x v="8"/>
    <x v="669"/>
    <n v="478"/>
    <n v="-43"/>
    <x v="964"/>
    <x v="1"/>
    <n v="142"/>
    <n v="293"/>
    <x v="0"/>
  </r>
  <r>
    <n v="1010"/>
    <x v="3"/>
    <x v="33"/>
    <x v="8"/>
    <n v="2021"/>
    <x v="8"/>
    <x v="365"/>
    <n v="518"/>
    <n v="30"/>
    <x v="965"/>
    <x v="0"/>
    <n v="92"/>
    <n v="456"/>
    <x v="0"/>
  </r>
  <r>
    <n v="1011"/>
    <x v="3"/>
    <x v="34"/>
    <x v="8"/>
    <n v="2021"/>
    <x v="8"/>
    <x v="670"/>
    <n v="663"/>
    <n v="44"/>
    <x v="966"/>
    <x v="0"/>
    <n v="163"/>
    <n v="544"/>
    <x v="0"/>
  </r>
  <r>
    <n v="1012"/>
    <x v="3"/>
    <x v="35"/>
    <x v="8"/>
    <n v="2021"/>
    <x v="8"/>
    <x v="671"/>
    <n v="888"/>
    <n v="-30"/>
    <x v="8"/>
    <x v="1"/>
    <n v="54"/>
    <n v="804"/>
    <x v="0"/>
  </r>
  <r>
    <n v="1013"/>
    <x v="2"/>
    <x v="36"/>
    <x v="8"/>
    <n v="2021"/>
    <x v="8"/>
    <x v="672"/>
    <n v="393"/>
    <n v="48"/>
    <x v="625"/>
    <x v="0"/>
    <n v="47"/>
    <n v="394"/>
    <x v="0"/>
  </r>
  <r>
    <n v="1014"/>
    <x v="2"/>
    <x v="37"/>
    <x v="8"/>
    <n v="2021"/>
    <x v="8"/>
    <x v="673"/>
    <n v="620"/>
    <n v="4"/>
    <x v="967"/>
    <x v="0"/>
    <n v="84"/>
    <n v="540"/>
    <x v="0"/>
  </r>
  <r>
    <n v="1015"/>
    <x v="2"/>
    <x v="38"/>
    <x v="8"/>
    <n v="2021"/>
    <x v="8"/>
    <x v="157"/>
    <n v="1090"/>
    <n v="-119"/>
    <x v="968"/>
    <x v="1"/>
    <n v="40"/>
    <n v="931"/>
    <x v="0"/>
  </r>
  <r>
    <n v="1016"/>
    <x v="2"/>
    <x v="39"/>
    <x v="8"/>
    <n v="2021"/>
    <x v="8"/>
    <x v="457"/>
    <n v="260"/>
    <n v="3"/>
    <x v="969"/>
    <x v="0"/>
    <n v="40"/>
    <n v="223"/>
    <x v="0"/>
  </r>
  <r>
    <n v="1017"/>
    <x v="3"/>
    <x v="40"/>
    <x v="8"/>
    <n v="2021"/>
    <x v="8"/>
    <x v="212"/>
    <n v="136"/>
    <n v="13"/>
    <x v="857"/>
    <x v="0"/>
    <n v="41"/>
    <n v="108"/>
    <x v="0"/>
  </r>
  <r>
    <n v="1018"/>
    <x v="3"/>
    <x v="41"/>
    <x v="8"/>
    <n v="2021"/>
    <x v="8"/>
    <x v="674"/>
    <n v="1809"/>
    <n v="142"/>
    <x v="970"/>
    <x v="0"/>
    <n v="188"/>
    <n v="1763"/>
    <x v="0"/>
  </r>
  <r>
    <n v="1019"/>
    <x v="3"/>
    <x v="42"/>
    <x v="8"/>
    <n v="2021"/>
    <x v="8"/>
    <x v="675"/>
    <n v="917"/>
    <n v="9"/>
    <x v="971"/>
    <x v="0"/>
    <n v="124"/>
    <n v="802"/>
    <x v="0"/>
  </r>
  <r>
    <n v="1020"/>
    <x v="3"/>
    <x v="43"/>
    <x v="8"/>
    <n v="2021"/>
    <x v="8"/>
    <x v="676"/>
    <n v="205"/>
    <n v="24"/>
    <x v="409"/>
    <x v="0"/>
    <n v="155"/>
    <n v="74"/>
    <x v="0"/>
  </r>
  <r>
    <n v="1021"/>
    <x v="3"/>
    <x v="44"/>
    <x v="8"/>
    <n v="2021"/>
    <x v="8"/>
    <x v="677"/>
    <n v="1397"/>
    <n v="-287"/>
    <x v="972"/>
    <x v="1"/>
    <n v="134"/>
    <n v="976"/>
    <x v="0"/>
  </r>
  <r>
    <n v="1022"/>
    <x v="3"/>
    <x v="45"/>
    <x v="8"/>
    <n v="2021"/>
    <x v="8"/>
    <x v="678"/>
    <n v="876"/>
    <n v="20"/>
    <x v="973"/>
    <x v="0"/>
    <n v="99"/>
    <n v="797"/>
    <x v="0"/>
  </r>
  <r>
    <n v="1023"/>
    <x v="3"/>
    <x v="46"/>
    <x v="8"/>
    <n v="2021"/>
    <x v="8"/>
    <x v="397"/>
    <n v="587"/>
    <n v="2"/>
    <x v="974"/>
    <x v="0"/>
    <n v="131"/>
    <n v="458"/>
    <x v="0"/>
  </r>
  <r>
    <n v="1024"/>
    <x v="3"/>
    <x v="47"/>
    <x v="8"/>
    <n v="2021"/>
    <x v="8"/>
    <x v="420"/>
    <n v="532"/>
    <n v="-21"/>
    <x v="975"/>
    <x v="1"/>
    <n v="111"/>
    <n v="400"/>
    <x v="0"/>
  </r>
  <r>
    <n v="1025"/>
    <x v="3"/>
    <x v="48"/>
    <x v="8"/>
    <n v="2021"/>
    <x v="8"/>
    <x v="186"/>
    <n v="505"/>
    <n v="34"/>
    <x v="976"/>
    <x v="0"/>
    <n v="129"/>
    <n v="410"/>
    <x v="0"/>
  </r>
  <r>
    <n v="1026"/>
    <x v="3"/>
    <x v="49"/>
    <x v="8"/>
    <n v="2021"/>
    <x v="8"/>
    <x v="679"/>
    <n v="673"/>
    <n v="-24"/>
    <x v="977"/>
    <x v="1"/>
    <n v="125"/>
    <n v="524"/>
    <x v="0"/>
  </r>
  <r>
    <n v="1027"/>
    <x v="3"/>
    <x v="50"/>
    <x v="8"/>
    <n v="2021"/>
    <x v="8"/>
    <x v="302"/>
    <n v="384"/>
    <n v="21"/>
    <x v="978"/>
    <x v="0"/>
    <n v="64"/>
    <n v="341"/>
    <x v="0"/>
  </r>
  <r>
    <n v="1028"/>
    <x v="3"/>
    <x v="51"/>
    <x v="8"/>
    <n v="2021"/>
    <x v="8"/>
    <x v="89"/>
    <n v="96"/>
    <n v="-13"/>
    <x v="979"/>
    <x v="1"/>
    <n v="74"/>
    <n v="9"/>
    <x v="0"/>
  </r>
  <r>
    <n v="1029"/>
    <x v="4"/>
    <x v="52"/>
    <x v="8"/>
    <n v="2021"/>
    <x v="8"/>
    <x v="323"/>
    <n v="682"/>
    <n v="-4"/>
    <x v="980"/>
    <x v="1"/>
    <n v="51"/>
    <n v="627"/>
    <x v="0"/>
  </r>
  <r>
    <n v="1030"/>
    <x v="4"/>
    <x v="53"/>
    <x v="8"/>
    <n v="2021"/>
    <x v="8"/>
    <x v="346"/>
    <n v="134"/>
    <n v="23"/>
    <x v="981"/>
    <x v="0"/>
    <n v="84"/>
    <n v="73"/>
    <x v="0"/>
  </r>
  <r>
    <n v="1031"/>
    <x v="4"/>
    <x v="54"/>
    <x v="8"/>
    <n v="2021"/>
    <x v="8"/>
    <x v="335"/>
    <n v="149"/>
    <n v="3"/>
    <x v="982"/>
    <x v="0"/>
    <n v="114"/>
    <n v="38"/>
    <x v="0"/>
  </r>
  <r>
    <n v="1032"/>
    <x v="4"/>
    <x v="55"/>
    <x v="8"/>
    <n v="2021"/>
    <x v="8"/>
    <x v="680"/>
    <n v="502"/>
    <n v="31"/>
    <x v="983"/>
    <x v="0"/>
    <n v="78"/>
    <n v="455"/>
    <x v="0"/>
  </r>
  <r>
    <n v="1033"/>
    <x v="4"/>
    <x v="56"/>
    <x v="8"/>
    <n v="2021"/>
    <x v="8"/>
    <x v="681"/>
    <n v="689"/>
    <n v="83"/>
    <x v="984"/>
    <x v="0"/>
    <n v="76"/>
    <n v="696"/>
    <x v="0"/>
  </r>
  <r>
    <n v="1034"/>
    <x v="4"/>
    <x v="57"/>
    <x v="8"/>
    <n v="2021"/>
    <x v="8"/>
    <x v="587"/>
    <n v="204"/>
    <n v="-8"/>
    <x v="985"/>
    <x v="1"/>
    <n v="162"/>
    <n v="34"/>
    <x v="0"/>
  </r>
  <r>
    <n v="1035"/>
    <x v="4"/>
    <x v="58"/>
    <x v="8"/>
    <n v="2021"/>
    <x v="8"/>
    <x v="682"/>
    <n v="1000"/>
    <n v="63"/>
    <x v="986"/>
    <x v="0"/>
    <n v="108"/>
    <n v="955"/>
    <x v="0"/>
  </r>
  <r>
    <n v="1036"/>
    <x v="4"/>
    <x v="59"/>
    <x v="8"/>
    <n v="2021"/>
    <x v="8"/>
    <x v="562"/>
    <n v="722"/>
    <n v="1"/>
    <x v="987"/>
    <x v="0"/>
    <n v="154"/>
    <n v="569"/>
    <x v="0"/>
  </r>
  <r>
    <n v="1037"/>
    <x v="4"/>
    <x v="60"/>
    <x v="8"/>
    <n v="2021"/>
    <x v="8"/>
    <x v="683"/>
    <n v="1477"/>
    <n v="269"/>
    <x v="988"/>
    <x v="0"/>
    <n v="93"/>
    <n v="1653"/>
    <x v="0"/>
  </r>
  <r>
    <n v="1038"/>
    <x v="4"/>
    <x v="61"/>
    <x v="8"/>
    <n v="2021"/>
    <x v="8"/>
    <x v="684"/>
    <n v="1444"/>
    <n v="18"/>
    <x v="989"/>
    <x v="0"/>
    <n v="151"/>
    <n v="1311"/>
    <x v="0"/>
  </r>
  <r>
    <n v="1039"/>
    <x v="4"/>
    <x v="62"/>
    <x v="8"/>
    <n v="2021"/>
    <x v="8"/>
    <x v="102"/>
    <n v="505"/>
    <n v="113"/>
    <x v="990"/>
    <x v="0"/>
    <n v="93"/>
    <n v="525"/>
    <x v="0"/>
  </r>
  <r>
    <n v="1040"/>
    <x v="4"/>
    <x v="63"/>
    <x v="8"/>
    <n v="2021"/>
    <x v="8"/>
    <x v="685"/>
    <n v="515"/>
    <n v="-30"/>
    <x v="991"/>
    <x v="1"/>
    <n v="70"/>
    <n v="415"/>
    <x v="0"/>
  </r>
  <r>
    <n v="1041"/>
    <x v="4"/>
    <x v="64"/>
    <x v="8"/>
    <n v="2021"/>
    <x v="8"/>
    <x v="36"/>
    <n v="520"/>
    <n v="74"/>
    <x v="992"/>
    <x v="0"/>
    <n v="122"/>
    <n v="472"/>
    <x v="0"/>
  </r>
  <r>
    <n v="1042"/>
    <x v="4"/>
    <x v="65"/>
    <x v="8"/>
    <n v="2021"/>
    <x v="8"/>
    <x v="43"/>
    <n v="1074"/>
    <n v="49"/>
    <x v="993"/>
    <x v="0"/>
    <n v="94"/>
    <n v="1029"/>
    <x v="0"/>
  </r>
  <r>
    <n v="1043"/>
    <x v="4"/>
    <x v="66"/>
    <x v="8"/>
    <n v="2021"/>
    <x v="8"/>
    <x v="686"/>
    <n v="1031"/>
    <n v="28"/>
    <x v="994"/>
    <x v="0"/>
    <n v="172"/>
    <n v="887"/>
    <x v="0"/>
  </r>
  <r>
    <n v="1044"/>
    <x v="4"/>
    <x v="67"/>
    <x v="8"/>
    <n v="2021"/>
    <x v="8"/>
    <x v="562"/>
    <n v="662"/>
    <n v="61"/>
    <x v="755"/>
    <x v="0"/>
    <n v="81"/>
    <n v="642"/>
    <x v="0"/>
  </r>
  <r>
    <n v="1045"/>
    <x v="4"/>
    <x v="68"/>
    <x v="8"/>
    <n v="2021"/>
    <x v="8"/>
    <x v="687"/>
    <n v="579"/>
    <n v="16"/>
    <x v="995"/>
    <x v="0"/>
    <n v="92"/>
    <n v="503"/>
    <x v="0"/>
  </r>
  <r>
    <n v="1046"/>
    <x v="4"/>
    <x v="69"/>
    <x v="8"/>
    <n v="2021"/>
    <x v="8"/>
    <x v="688"/>
    <n v="303"/>
    <n v="53"/>
    <x v="996"/>
    <x v="0"/>
    <n v="60"/>
    <n v="296"/>
    <x v="0"/>
  </r>
  <r>
    <n v="1047"/>
    <x v="4"/>
    <x v="70"/>
    <x v="8"/>
    <n v="2021"/>
    <x v="8"/>
    <x v="66"/>
    <n v="731"/>
    <n v="15"/>
    <x v="997"/>
    <x v="0"/>
    <n v="14"/>
    <n v="732"/>
    <x v="0"/>
  </r>
  <r>
    <n v="1048"/>
    <x v="4"/>
    <x v="71"/>
    <x v="8"/>
    <n v="2021"/>
    <x v="8"/>
    <x v="420"/>
    <n v="595"/>
    <n v="-84"/>
    <x v="998"/>
    <x v="1"/>
    <n v="42"/>
    <n v="469"/>
    <x v="0"/>
  </r>
  <r>
    <n v="1049"/>
    <x v="4"/>
    <x v="72"/>
    <x v="8"/>
    <n v="2021"/>
    <x v="8"/>
    <x v="68"/>
    <n v="532"/>
    <n v="-49"/>
    <x v="999"/>
    <x v="1"/>
    <n v="35"/>
    <n v="448"/>
    <x v="0"/>
  </r>
  <r>
    <n v="1050"/>
    <x v="4"/>
    <x v="73"/>
    <x v="8"/>
    <n v="2021"/>
    <x v="8"/>
    <x v="689"/>
    <n v="852"/>
    <n v="110"/>
    <x v="1000"/>
    <x v="0"/>
    <n v="64"/>
    <n v="898"/>
    <x v="0"/>
  </r>
  <r>
    <n v="1051"/>
    <x v="4"/>
    <x v="74"/>
    <x v="8"/>
    <n v="2021"/>
    <x v="8"/>
    <x v="690"/>
    <n v="1105"/>
    <n v="78"/>
    <x v="1001"/>
    <x v="0"/>
    <n v="23"/>
    <n v="1160"/>
    <x v="0"/>
  </r>
  <r>
    <n v="1052"/>
    <x v="4"/>
    <x v="75"/>
    <x v="8"/>
    <n v="2021"/>
    <x v="8"/>
    <x v="691"/>
    <n v="634"/>
    <n v="70"/>
    <x v="1002"/>
    <x v="0"/>
    <n v="145"/>
    <n v="559"/>
    <x v="0"/>
  </r>
  <r>
    <n v="1053"/>
    <x v="4"/>
    <x v="76"/>
    <x v="8"/>
    <n v="2021"/>
    <x v="8"/>
    <x v="692"/>
    <n v="823"/>
    <n v="-45"/>
    <x v="1003"/>
    <x v="1"/>
    <n v="98"/>
    <n v="680"/>
    <x v="0"/>
  </r>
  <r>
    <n v="1054"/>
    <x v="4"/>
    <x v="77"/>
    <x v="8"/>
    <n v="2021"/>
    <x v="8"/>
    <x v="389"/>
    <n v="676"/>
    <n v="101"/>
    <x v="1004"/>
    <x v="0"/>
    <n v="60"/>
    <n v="717"/>
    <x v="0"/>
  </r>
  <r>
    <n v="1055"/>
    <x v="4"/>
    <x v="78"/>
    <x v="8"/>
    <n v="2021"/>
    <x v="8"/>
    <x v="693"/>
    <n v="1013"/>
    <n v="-136"/>
    <x v="1005"/>
    <x v="1"/>
    <n v="857"/>
    <n v="20"/>
    <x v="0"/>
  </r>
  <r>
    <n v="1056"/>
    <x v="4"/>
    <x v="79"/>
    <x v="8"/>
    <n v="2021"/>
    <x v="8"/>
    <x v="694"/>
    <n v="522"/>
    <n v="-46"/>
    <x v="1006"/>
    <x v="1"/>
    <n v="504"/>
    <n v="-28"/>
    <x v="1"/>
  </r>
  <r>
    <n v="1057"/>
    <x v="4"/>
    <x v="80"/>
    <x v="8"/>
    <n v="2021"/>
    <x v="8"/>
    <x v="566"/>
    <n v="502"/>
    <n v="48"/>
    <x v="1007"/>
    <x v="0"/>
    <n v="519"/>
    <n v="31"/>
    <x v="0"/>
  </r>
  <r>
    <n v="1058"/>
    <x v="4"/>
    <x v="81"/>
    <x v="8"/>
    <n v="2021"/>
    <x v="8"/>
    <x v="673"/>
    <n v="617"/>
    <n v="7"/>
    <x v="1008"/>
    <x v="0"/>
    <n v="593"/>
    <n v="31"/>
    <x v="0"/>
  </r>
  <r>
    <n v="1059"/>
    <x v="4"/>
    <x v="82"/>
    <x v="8"/>
    <n v="2021"/>
    <x v="8"/>
    <x v="695"/>
    <n v="403"/>
    <n v="-5"/>
    <x v="1009"/>
    <x v="1"/>
    <n v="414"/>
    <n v="-16"/>
    <x v="1"/>
  </r>
  <r>
    <n v="1060"/>
    <x v="5"/>
    <x v="83"/>
    <x v="8"/>
    <n v="2021"/>
    <x v="8"/>
    <x v="318"/>
    <n v="967"/>
    <n v="-56"/>
    <x v="1010"/>
    <x v="1"/>
    <n v="958"/>
    <n v="-47"/>
    <x v="1"/>
  </r>
  <r>
    <n v="1061"/>
    <x v="5"/>
    <x v="84"/>
    <x v="8"/>
    <n v="2021"/>
    <x v="8"/>
    <x v="407"/>
    <n v="647"/>
    <n v="54"/>
    <x v="1011"/>
    <x v="0"/>
    <n v="622"/>
    <n v="79"/>
    <x v="0"/>
  </r>
  <r>
    <n v="1062"/>
    <x v="5"/>
    <x v="85"/>
    <x v="8"/>
    <n v="2021"/>
    <x v="8"/>
    <x v="292"/>
    <n v="437"/>
    <n v="-6"/>
    <x v="1012"/>
    <x v="1"/>
    <n v="437"/>
    <n v="-6"/>
    <x v="1"/>
  </r>
  <r>
    <n v="1063"/>
    <x v="5"/>
    <x v="86"/>
    <x v="8"/>
    <n v="2021"/>
    <x v="8"/>
    <x v="696"/>
    <n v="248"/>
    <n v="11"/>
    <x v="1013"/>
    <x v="0"/>
    <n v="259"/>
    <n v="0"/>
    <x v="1"/>
  </r>
  <r>
    <n v="1064"/>
    <x v="5"/>
    <x v="87"/>
    <x v="8"/>
    <n v="2021"/>
    <x v="8"/>
    <x v="123"/>
    <n v="157"/>
    <n v="-17"/>
    <x v="360"/>
    <x v="1"/>
    <n v="167"/>
    <n v="-27"/>
    <x v="1"/>
  </r>
  <r>
    <n v="1065"/>
    <x v="5"/>
    <x v="88"/>
    <x v="8"/>
    <n v="2021"/>
    <x v="8"/>
    <x v="100"/>
    <n v="156"/>
    <n v="-9"/>
    <x v="1014"/>
    <x v="1"/>
    <n v="149"/>
    <n v="-2"/>
    <x v="1"/>
  </r>
  <r>
    <n v="1066"/>
    <x v="5"/>
    <x v="89"/>
    <x v="8"/>
    <n v="2021"/>
    <x v="8"/>
    <x v="583"/>
    <n v="181"/>
    <n v="23"/>
    <x v="1015"/>
    <x v="0"/>
    <n v="211"/>
    <n v="-7"/>
    <x v="1"/>
  </r>
  <r>
    <n v="1067"/>
    <x v="5"/>
    <x v="90"/>
    <x v="8"/>
    <n v="2021"/>
    <x v="8"/>
    <x v="697"/>
    <n v="187"/>
    <n v="50"/>
    <x v="1016"/>
    <x v="0"/>
    <n v="202"/>
    <n v="35"/>
    <x v="0"/>
  </r>
  <r>
    <n v="1068"/>
    <x v="5"/>
    <x v="91"/>
    <x v="8"/>
    <n v="2021"/>
    <x v="8"/>
    <x v="97"/>
    <n v="106"/>
    <n v="-6"/>
    <x v="99"/>
    <x v="1"/>
    <n v="115"/>
    <n v="-15"/>
    <x v="1"/>
  </r>
  <r>
    <n v="1069"/>
    <x v="5"/>
    <x v="92"/>
    <x v="8"/>
    <n v="2021"/>
    <x v="8"/>
    <x v="698"/>
    <n v="285"/>
    <n v="30"/>
    <x v="23"/>
    <x v="0"/>
    <n v="290"/>
    <n v="25"/>
    <x v="0"/>
  </r>
  <r>
    <n v="1070"/>
    <x v="5"/>
    <x v="93"/>
    <x v="8"/>
    <n v="2021"/>
    <x v="8"/>
    <x v="699"/>
    <n v="127"/>
    <n v="32"/>
    <x v="1017"/>
    <x v="0"/>
    <n v="155"/>
    <n v="4"/>
    <x v="0"/>
  </r>
  <r>
    <n v="1071"/>
    <x v="5"/>
    <x v="94"/>
    <x v="8"/>
    <n v="2021"/>
    <x v="8"/>
    <x v="700"/>
    <n v="82"/>
    <n v="2"/>
    <x v="95"/>
    <x v="0"/>
    <n v="93"/>
    <n v="-9"/>
    <x v="1"/>
  </r>
  <r>
    <n v="1072"/>
    <x v="5"/>
    <x v="95"/>
    <x v="8"/>
    <n v="2021"/>
    <x v="8"/>
    <x v="110"/>
    <n v="154"/>
    <n v="14"/>
    <x v="744"/>
    <x v="0"/>
    <n v="179"/>
    <n v="-11"/>
    <x v="1"/>
  </r>
  <r>
    <n v="1073"/>
    <x v="5"/>
    <x v="96"/>
    <x v="8"/>
    <n v="2021"/>
    <x v="8"/>
    <x v="108"/>
    <n v="242"/>
    <n v="-10"/>
    <x v="1018"/>
    <x v="1"/>
    <n v="231"/>
    <n v="1"/>
    <x v="0"/>
  </r>
  <r>
    <n v="1074"/>
    <x v="5"/>
    <x v="97"/>
    <x v="8"/>
    <n v="2021"/>
    <x v="8"/>
    <x v="385"/>
    <n v="176"/>
    <n v="16"/>
    <x v="744"/>
    <x v="0"/>
    <n v="197"/>
    <n v="-5"/>
    <x v="1"/>
  </r>
  <r>
    <n v="1075"/>
    <x v="5"/>
    <x v="98"/>
    <x v="8"/>
    <n v="2021"/>
    <x v="8"/>
    <x v="83"/>
    <n v="133"/>
    <n v="2"/>
    <x v="85"/>
    <x v="0"/>
    <n v="129"/>
    <n v="6"/>
    <x v="0"/>
  </r>
  <r>
    <n v="1076"/>
    <x v="5"/>
    <x v="99"/>
    <x v="8"/>
    <n v="2021"/>
    <x v="8"/>
    <x v="345"/>
    <n v="153"/>
    <n v="14"/>
    <x v="1019"/>
    <x v="0"/>
    <n v="153"/>
    <n v="14"/>
    <x v="0"/>
  </r>
  <r>
    <n v="1077"/>
    <x v="5"/>
    <x v="100"/>
    <x v="8"/>
    <n v="2021"/>
    <x v="8"/>
    <x v="84"/>
    <n v="176"/>
    <n v="13"/>
    <x v="1020"/>
    <x v="0"/>
    <n v="192"/>
    <n v="-3"/>
    <x v="1"/>
  </r>
  <r>
    <n v="1078"/>
    <x v="5"/>
    <x v="101"/>
    <x v="8"/>
    <n v="2021"/>
    <x v="8"/>
    <x v="196"/>
    <n v="104"/>
    <n v="-6"/>
    <x v="1014"/>
    <x v="1"/>
    <n v="107"/>
    <n v="-9"/>
    <x v="1"/>
  </r>
  <r>
    <n v="1079"/>
    <x v="5"/>
    <x v="102"/>
    <x v="8"/>
    <n v="2021"/>
    <x v="8"/>
    <x v="701"/>
    <n v="118"/>
    <n v="-1"/>
    <x v="962"/>
    <x v="1"/>
    <n v="124"/>
    <n v="-7"/>
    <x v="1"/>
  </r>
  <r>
    <n v="1080"/>
    <x v="5"/>
    <x v="103"/>
    <x v="8"/>
    <n v="2021"/>
    <x v="8"/>
    <x v="98"/>
    <n v="199"/>
    <n v="14"/>
    <x v="451"/>
    <x v="0"/>
    <n v="214"/>
    <n v="-1"/>
    <x v="1"/>
  </r>
  <r>
    <n v="1081"/>
    <x v="5"/>
    <x v="104"/>
    <x v="8"/>
    <n v="2021"/>
    <x v="8"/>
    <x v="200"/>
    <n v="106"/>
    <n v="19"/>
    <x v="1021"/>
    <x v="0"/>
    <n v="135"/>
    <n v="-10"/>
    <x v="1"/>
  </r>
  <r>
    <n v="1082"/>
    <x v="5"/>
    <x v="105"/>
    <x v="8"/>
    <n v="2021"/>
    <x v="8"/>
    <x v="258"/>
    <n v="178"/>
    <n v="-34"/>
    <x v="1022"/>
    <x v="1"/>
    <n v="169"/>
    <n v="-25"/>
    <x v="1"/>
  </r>
  <r>
    <n v="1083"/>
    <x v="5"/>
    <x v="106"/>
    <x v="8"/>
    <n v="2021"/>
    <x v="8"/>
    <x v="702"/>
    <n v="56"/>
    <n v="6"/>
    <x v="1023"/>
    <x v="0"/>
    <n v="67"/>
    <n v="-5"/>
    <x v="1"/>
  </r>
  <r>
    <n v="1084"/>
    <x v="6"/>
    <x v="107"/>
    <x v="8"/>
    <n v="2021"/>
    <x v="8"/>
    <x v="168"/>
    <n v="681"/>
    <n v="15"/>
    <x v="1024"/>
    <x v="0"/>
    <n v="674"/>
    <n v="22"/>
    <x v="0"/>
  </r>
  <r>
    <n v="1085"/>
    <x v="6"/>
    <x v="108"/>
    <x v="8"/>
    <n v="2021"/>
    <x v="8"/>
    <x v="230"/>
    <n v="567"/>
    <n v="-41"/>
    <x v="1025"/>
    <x v="1"/>
    <n v="531"/>
    <n v="-5"/>
    <x v="1"/>
  </r>
  <r>
    <n v="1086"/>
    <x v="6"/>
    <x v="109"/>
    <x v="8"/>
    <n v="2021"/>
    <x v="8"/>
    <x v="199"/>
    <n v="172"/>
    <n v="37"/>
    <x v="1026"/>
    <x v="0"/>
    <n v="187"/>
    <n v="22"/>
    <x v="0"/>
  </r>
  <r>
    <n v="1087"/>
    <x v="6"/>
    <x v="110"/>
    <x v="8"/>
    <n v="2021"/>
    <x v="8"/>
    <x v="441"/>
    <n v="405"/>
    <n v="10"/>
    <x v="1027"/>
    <x v="0"/>
    <n v="445"/>
    <n v="-30"/>
    <x v="1"/>
  </r>
  <r>
    <n v="1088"/>
    <x v="6"/>
    <x v="111"/>
    <x v="8"/>
    <n v="2021"/>
    <x v="8"/>
    <x v="703"/>
    <n v="254"/>
    <n v="-2"/>
    <x v="1028"/>
    <x v="1"/>
    <n v="268"/>
    <n v="-16"/>
    <x v="1"/>
  </r>
  <r>
    <n v="1089"/>
    <x v="6"/>
    <x v="112"/>
    <x v="8"/>
    <n v="2021"/>
    <x v="8"/>
    <x v="704"/>
    <n v="351"/>
    <n v="10"/>
    <x v="1029"/>
    <x v="0"/>
    <n v="342"/>
    <n v="19"/>
    <x v="0"/>
  </r>
  <r>
    <n v="1090"/>
    <x v="6"/>
    <x v="113"/>
    <x v="8"/>
    <n v="2021"/>
    <x v="8"/>
    <x v="88"/>
    <n v="135"/>
    <n v="1"/>
    <x v="1030"/>
    <x v="0"/>
    <n v="143"/>
    <n v="-7"/>
    <x v="1"/>
  </r>
  <r>
    <n v="1091"/>
    <x v="6"/>
    <x v="114"/>
    <x v="8"/>
    <n v="2021"/>
    <x v="8"/>
    <x v="198"/>
    <n v="256"/>
    <n v="-2"/>
    <x v="1031"/>
    <x v="1"/>
    <n v="222"/>
    <n v="32"/>
    <x v="0"/>
  </r>
  <r>
    <n v="1092"/>
    <x v="6"/>
    <x v="115"/>
    <x v="8"/>
    <n v="2021"/>
    <x v="8"/>
    <x v="42"/>
    <n v="183"/>
    <n v="17"/>
    <x v="1032"/>
    <x v="0"/>
    <n v="210"/>
    <n v="-10"/>
    <x v="1"/>
  </r>
  <r>
    <n v="1093"/>
    <x v="6"/>
    <x v="116"/>
    <x v="8"/>
    <n v="2021"/>
    <x v="8"/>
    <x v="384"/>
    <n v="179"/>
    <n v="9"/>
    <x v="1033"/>
    <x v="0"/>
    <n v="178"/>
    <n v="10"/>
    <x v="0"/>
  </r>
  <r>
    <n v="1094"/>
    <x v="6"/>
    <x v="117"/>
    <x v="8"/>
    <n v="2021"/>
    <x v="8"/>
    <x v="203"/>
    <n v="108"/>
    <n v="2"/>
    <x v="1034"/>
    <x v="0"/>
    <n v="110"/>
    <n v="0"/>
    <x v="1"/>
  </r>
  <r>
    <n v="1095"/>
    <x v="6"/>
    <x v="118"/>
    <x v="8"/>
    <n v="2021"/>
    <x v="8"/>
    <x v="705"/>
    <n v="171"/>
    <n v="49"/>
    <x v="1035"/>
    <x v="0"/>
    <n v="180"/>
    <n v="40"/>
    <x v="0"/>
  </r>
  <r>
    <n v="1096"/>
    <x v="6"/>
    <x v="119"/>
    <x v="8"/>
    <n v="2021"/>
    <x v="8"/>
    <x v="464"/>
    <n v="118"/>
    <n v="-5"/>
    <x v="1036"/>
    <x v="1"/>
    <n v="123"/>
    <n v="-10"/>
    <x v="1"/>
  </r>
  <r>
    <n v="1097"/>
    <x v="6"/>
    <x v="120"/>
    <x v="8"/>
    <n v="2021"/>
    <x v="8"/>
    <x v="528"/>
    <n v="255"/>
    <n v="3"/>
    <x v="1037"/>
    <x v="0"/>
    <n v="283"/>
    <n v="-25"/>
    <x v="1"/>
  </r>
  <r>
    <n v="1098"/>
    <x v="6"/>
    <x v="121"/>
    <x v="8"/>
    <n v="2021"/>
    <x v="8"/>
    <x v="706"/>
    <n v="296"/>
    <n v="3"/>
    <x v="1038"/>
    <x v="0"/>
    <n v="264"/>
    <n v="35"/>
    <x v="0"/>
  </r>
  <r>
    <n v="1099"/>
    <x v="0"/>
    <x v="0"/>
    <x v="9"/>
    <n v="2021"/>
    <x v="9"/>
    <x v="461"/>
    <n v="1317"/>
    <n v="-40"/>
    <x v="1039"/>
    <x v="1"/>
    <n v="356"/>
    <n v="921"/>
    <x v="0"/>
  </r>
  <r>
    <n v="1100"/>
    <x v="0"/>
    <x v="1"/>
    <x v="9"/>
    <n v="2021"/>
    <x v="9"/>
    <x v="577"/>
    <n v="700"/>
    <n v="39"/>
    <x v="1040"/>
    <x v="0"/>
    <n v="167"/>
    <n v="572"/>
    <x v="0"/>
  </r>
  <r>
    <n v="1101"/>
    <x v="0"/>
    <x v="2"/>
    <x v="9"/>
    <n v="2021"/>
    <x v="9"/>
    <x v="707"/>
    <n v="821"/>
    <n v="158"/>
    <x v="1041"/>
    <x v="0"/>
    <n v="249"/>
    <n v="730"/>
    <x v="0"/>
  </r>
  <r>
    <n v="1102"/>
    <x v="0"/>
    <x v="3"/>
    <x v="9"/>
    <n v="2021"/>
    <x v="9"/>
    <x v="223"/>
    <n v="110"/>
    <n v="-4"/>
    <x v="1042"/>
    <x v="1"/>
    <n v="157"/>
    <n v="-51"/>
    <x v="1"/>
  </r>
  <r>
    <n v="1103"/>
    <x v="0"/>
    <x v="4"/>
    <x v="9"/>
    <n v="2021"/>
    <x v="9"/>
    <x v="609"/>
    <n v="1330"/>
    <n v="-14"/>
    <x v="1043"/>
    <x v="1"/>
    <n v="48"/>
    <n v="1268"/>
    <x v="0"/>
  </r>
  <r>
    <n v="1104"/>
    <x v="0"/>
    <x v="5"/>
    <x v="9"/>
    <n v="2021"/>
    <x v="9"/>
    <x v="481"/>
    <n v="591"/>
    <n v="-38"/>
    <x v="1044"/>
    <x v="1"/>
    <n v="54"/>
    <n v="499"/>
    <x v="0"/>
  </r>
  <r>
    <n v="1105"/>
    <x v="0"/>
    <x v="6"/>
    <x v="9"/>
    <n v="2021"/>
    <x v="9"/>
    <x v="708"/>
    <n v="1130"/>
    <n v="-43"/>
    <x v="1045"/>
    <x v="1"/>
    <n v="153"/>
    <n v="934"/>
    <x v="0"/>
  </r>
  <r>
    <n v="1106"/>
    <x v="0"/>
    <x v="7"/>
    <x v="9"/>
    <n v="2021"/>
    <x v="9"/>
    <x v="709"/>
    <n v="931"/>
    <n v="54"/>
    <x v="1046"/>
    <x v="0"/>
    <n v="115"/>
    <n v="870"/>
    <x v="0"/>
  </r>
  <r>
    <n v="1107"/>
    <x v="0"/>
    <x v="8"/>
    <x v="9"/>
    <n v="2021"/>
    <x v="9"/>
    <x v="128"/>
    <n v="175"/>
    <n v="-9"/>
    <x v="1047"/>
    <x v="1"/>
    <n v="115"/>
    <n v="51"/>
    <x v="0"/>
  </r>
  <r>
    <n v="1108"/>
    <x v="0"/>
    <x v="9"/>
    <x v="9"/>
    <n v="2021"/>
    <x v="9"/>
    <x v="710"/>
    <n v="598"/>
    <n v="-76"/>
    <x v="1048"/>
    <x v="1"/>
    <n v="125"/>
    <n v="397"/>
    <x v="0"/>
  </r>
  <r>
    <n v="1109"/>
    <x v="0"/>
    <x v="10"/>
    <x v="9"/>
    <n v="2021"/>
    <x v="9"/>
    <x v="15"/>
    <n v="501"/>
    <n v="17"/>
    <x v="1049"/>
    <x v="0"/>
    <n v="243"/>
    <n v="275"/>
    <x v="0"/>
  </r>
  <r>
    <n v="1110"/>
    <x v="0"/>
    <x v="11"/>
    <x v="9"/>
    <n v="2021"/>
    <x v="9"/>
    <x v="710"/>
    <n v="534"/>
    <n v="-12"/>
    <x v="1050"/>
    <x v="1"/>
    <n v="274"/>
    <n v="248"/>
    <x v="0"/>
  </r>
  <r>
    <n v="1111"/>
    <x v="0"/>
    <x v="12"/>
    <x v="9"/>
    <n v="2021"/>
    <x v="9"/>
    <x v="711"/>
    <n v="315"/>
    <n v="49"/>
    <x v="1051"/>
    <x v="0"/>
    <n v="227"/>
    <n v="137"/>
    <x v="0"/>
  </r>
  <r>
    <n v="1112"/>
    <x v="0"/>
    <x v="13"/>
    <x v="9"/>
    <n v="2021"/>
    <x v="9"/>
    <x v="335"/>
    <n v="153"/>
    <n v="-1"/>
    <x v="1052"/>
    <x v="1"/>
    <n v="162"/>
    <n v="-10"/>
    <x v="1"/>
  </r>
  <r>
    <n v="1113"/>
    <x v="0"/>
    <x v="14"/>
    <x v="9"/>
    <n v="2021"/>
    <x v="9"/>
    <x v="673"/>
    <n v="517"/>
    <n v="107"/>
    <x v="1053"/>
    <x v="0"/>
    <n v="42"/>
    <n v="582"/>
    <x v="0"/>
  </r>
  <r>
    <n v="1114"/>
    <x v="0"/>
    <x v="15"/>
    <x v="9"/>
    <n v="2021"/>
    <x v="9"/>
    <x v="598"/>
    <n v="533"/>
    <n v="52"/>
    <x v="1054"/>
    <x v="0"/>
    <n v="127"/>
    <n v="458"/>
    <x v="0"/>
  </r>
  <r>
    <n v="1115"/>
    <x v="0"/>
    <x v="16"/>
    <x v="9"/>
    <n v="2021"/>
    <x v="9"/>
    <x v="712"/>
    <n v="156"/>
    <n v="24"/>
    <x v="912"/>
    <x v="0"/>
    <n v="142"/>
    <n v="38"/>
    <x v="0"/>
  </r>
  <r>
    <n v="1116"/>
    <x v="0"/>
    <x v="17"/>
    <x v="9"/>
    <n v="2021"/>
    <x v="9"/>
    <x v="17"/>
    <n v="77"/>
    <n v="-3"/>
    <x v="1055"/>
    <x v="1"/>
    <n v="119"/>
    <n v="-45"/>
    <x v="1"/>
  </r>
  <r>
    <n v="1117"/>
    <x v="0"/>
    <x v="18"/>
    <x v="9"/>
    <n v="2021"/>
    <x v="9"/>
    <x v="420"/>
    <n v="566"/>
    <n v="-55"/>
    <x v="1056"/>
    <x v="1"/>
    <n v="179"/>
    <n v="332"/>
    <x v="0"/>
  </r>
  <r>
    <n v="1118"/>
    <x v="1"/>
    <x v="19"/>
    <x v="9"/>
    <n v="2021"/>
    <x v="9"/>
    <x v="425"/>
    <n v="670"/>
    <n v="64"/>
    <x v="1057"/>
    <x v="0"/>
    <n v="296"/>
    <n v="438"/>
    <x v="0"/>
  </r>
  <r>
    <n v="1119"/>
    <x v="1"/>
    <x v="20"/>
    <x v="9"/>
    <n v="2021"/>
    <x v="9"/>
    <x v="713"/>
    <n v="1045"/>
    <n v="17"/>
    <x v="1058"/>
    <x v="0"/>
    <n v="305"/>
    <n v="757"/>
    <x v="0"/>
  </r>
  <r>
    <n v="1120"/>
    <x v="1"/>
    <x v="21"/>
    <x v="9"/>
    <n v="2021"/>
    <x v="9"/>
    <x v="168"/>
    <n v="730"/>
    <n v="-34"/>
    <x v="1059"/>
    <x v="1"/>
    <n v="143"/>
    <n v="553"/>
    <x v="0"/>
  </r>
  <r>
    <n v="1121"/>
    <x v="1"/>
    <x v="22"/>
    <x v="9"/>
    <n v="2021"/>
    <x v="9"/>
    <x v="714"/>
    <n v="1236"/>
    <n v="62"/>
    <x v="1060"/>
    <x v="0"/>
    <n v="202"/>
    <n v="1096"/>
    <x v="0"/>
  </r>
  <r>
    <n v="1122"/>
    <x v="1"/>
    <x v="23"/>
    <x v="9"/>
    <n v="2021"/>
    <x v="9"/>
    <x v="715"/>
    <n v="975"/>
    <n v="291"/>
    <x v="1061"/>
    <x v="0"/>
    <n v="120"/>
    <n v="1146"/>
    <x v="0"/>
  </r>
  <r>
    <n v="1123"/>
    <x v="1"/>
    <x v="24"/>
    <x v="9"/>
    <n v="2021"/>
    <x v="9"/>
    <x v="136"/>
    <n v="22"/>
    <n v="1"/>
    <x v="1062"/>
    <x v="0"/>
    <n v="142"/>
    <n v="-119"/>
    <x v="1"/>
  </r>
  <r>
    <n v="1124"/>
    <x v="2"/>
    <x v="25"/>
    <x v="9"/>
    <n v="2021"/>
    <x v="9"/>
    <x v="716"/>
    <n v="1271"/>
    <n v="-458"/>
    <x v="1063"/>
    <x v="1"/>
    <n v="182"/>
    <n v="631"/>
    <x v="0"/>
  </r>
  <r>
    <n v="1125"/>
    <x v="2"/>
    <x v="26"/>
    <x v="9"/>
    <n v="2021"/>
    <x v="9"/>
    <x v="102"/>
    <n v="599"/>
    <n v="19"/>
    <x v="1064"/>
    <x v="0"/>
    <n v="86"/>
    <n v="532"/>
    <x v="0"/>
  </r>
  <r>
    <n v="1126"/>
    <x v="3"/>
    <x v="27"/>
    <x v="9"/>
    <n v="2021"/>
    <x v="9"/>
    <x v="717"/>
    <n v="985"/>
    <n v="-26"/>
    <x v="1065"/>
    <x v="1"/>
    <n v="60"/>
    <n v="899"/>
    <x v="0"/>
  </r>
  <r>
    <n v="1127"/>
    <x v="3"/>
    <x v="28"/>
    <x v="9"/>
    <n v="2021"/>
    <x v="9"/>
    <x v="718"/>
    <n v="1641"/>
    <n v="-233"/>
    <x v="1066"/>
    <x v="1"/>
    <n v="194"/>
    <n v="1214"/>
    <x v="0"/>
  </r>
  <r>
    <n v="1128"/>
    <x v="3"/>
    <x v="29"/>
    <x v="9"/>
    <n v="2021"/>
    <x v="9"/>
    <x v="719"/>
    <n v="1309"/>
    <n v="-156"/>
    <x v="1067"/>
    <x v="1"/>
    <n v="333"/>
    <n v="820"/>
    <x v="0"/>
  </r>
  <r>
    <n v="1129"/>
    <x v="3"/>
    <x v="30"/>
    <x v="9"/>
    <n v="2021"/>
    <x v="9"/>
    <x v="720"/>
    <n v="1550"/>
    <n v="-75"/>
    <x v="1068"/>
    <x v="1"/>
    <n v="41"/>
    <n v="1434"/>
    <x v="0"/>
  </r>
  <r>
    <n v="1130"/>
    <x v="3"/>
    <x v="31"/>
    <x v="9"/>
    <n v="2021"/>
    <x v="9"/>
    <x v="721"/>
    <n v="1538"/>
    <n v="-16"/>
    <x v="1069"/>
    <x v="1"/>
    <n v="191"/>
    <n v="1331"/>
    <x v="0"/>
  </r>
  <r>
    <n v="1131"/>
    <x v="3"/>
    <x v="32"/>
    <x v="9"/>
    <n v="2021"/>
    <x v="9"/>
    <x v="722"/>
    <n v="493"/>
    <n v="-89"/>
    <x v="1070"/>
    <x v="1"/>
    <n v="146"/>
    <n v="258"/>
    <x v="0"/>
  </r>
  <r>
    <n v="1132"/>
    <x v="3"/>
    <x v="33"/>
    <x v="9"/>
    <n v="2021"/>
    <x v="9"/>
    <x v="125"/>
    <n v="528"/>
    <n v="-12"/>
    <x v="1071"/>
    <x v="1"/>
    <n v="93"/>
    <n v="423"/>
    <x v="0"/>
  </r>
  <r>
    <n v="1133"/>
    <x v="3"/>
    <x v="34"/>
    <x v="9"/>
    <n v="2021"/>
    <x v="9"/>
    <x v="549"/>
    <n v="669"/>
    <n v="28"/>
    <x v="1072"/>
    <x v="0"/>
    <n v="162"/>
    <n v="535"/>
    <x v="0"/>
  </r>
  <r>
    <n v="1134"/>
    <x v="3"/>
    <x v="35"/>
    <x v="9"/>
    <n v="2021"/>
    <x v="9"/>
    <x v="707"/>
    <n v="914"/>
    <n v="65"/>
    <x v="1073"/>
    <x v="0"/>
    <n v="56"/>
    <n v="923"/>
    <x v="0"/>
  </r>
  <r>
    <n v="1135"/>
    <x v="2"/>
    <x v="36"/>
    <x v="9"/>
    <n v="2021"/>
    <x v="9"/>
    <x v="331"/>
    <n v="393"/>
    <n v="65"/>
    <x v="1074"/>
    <x v="0"/>
    <n v="53"/>
    <n v="405"/>
    <x v="0"/>
  </r>
  <r>
    <n v="1136"/>
    <x v="2"/>
    <x v="37"/>
    <x v="9"/>
    <n v="2021"/>
    <x v="9"/>
    <x v="723"/>
    <n v="639"/>
    <n v="71"/>
    <x v="1075"/>
    <x v="0"/>
    <n v="88"/>
    <n v="622"/>
    <x v="0"/>
  </r>
  <r>
    <n v="1137"/>
    <x v="2"/>
    <x v="38"/>
    <x v="9"/>
    <n v="2021"/>
    <x v="9"/>
    <x v="495"/>
    <n v="1101"/>
    <n v="-5"/>
    <x v="1076"/>
    <x v="1"/>
    <n v="39"/>
    <n v="1057"/>
    <x v="0"/>
  </r>
  <r>
    <n v="1138"/>
    <x v="2"/>
    <x v="39"/>
    <x v="9"/>
    <n v="2021"/>
    <x v="9"/>
    <x v="372"/>
    <n v="267"/>
    <n v="-22"/>
    <x v="1077"/>
    <x v="1"/>
    <n v="39"/>
    <n v="206"/>
    <x v="0"/>
  </r>
  <r>
    <n v="1139"/>
    <x v="3"/>
    <x v="40"/>
    <x v="9"/>
    <n v="2021"/>
    <x v="9"/>
    <x v="100"/>
    <n v="139"/>
    <n v="8"/>
    <x v="1078"/>
    <x v="0"/>
    <n v="48"/>
    <n v="99"/>
    <x v="0"/>
  </r>
  <r>
    <n v="1140"/>
    <x v="3"/>
    <x v="41"/>
    <x v="9"/>
    <n v="2021"/>
    <x v="9"/>
    <x v="724"/>
    <n v="1828"/>
    <n v="333"/>
    <x v="1079"/>
    <x v="0"/>
    <n v="193"/>
    <n v="1968"/>
    <x v="0"/>
  </r>
  <r>
    <n v="1141"/>
    <x v="3"/>
    <x v="42"/>
    <x v="9"/>
    <n v="2021"/>
    <x v="9"/>
    <x v="6"/>
    <n v="936"/>
    <n v="57"/>
    <x v="1080"/>
    <x v="0"/>
    <n v="123"/>
    <n v="870"/>
    <x v="0"/>
  </r>
  <r>
    <n v="1142"/>
    <x v="3"/>
    <x v="43"/>
    <x v="9"/>
    <n v="2021"/>
    <x v="9"/>
    <x v="268"/>
    <n v="211"/>
    <n v="23"/>
    <x v="1081"/>
    <x v="0"/>
    <n v="157"/>
    <n v="77"/>
    <x v="0"/>
  </r>
  <r>
    <n v="1143"/>
    <x v="3"/>
    <x v="44"/>
    <x v="9"/>
    <n v="2021"/>
    <x v="9"/>
    <x v="243"/>
    <n v="1411"/>
    <n v="-133"/>
    <x v="1082"/>
    <x v="1"/>
    <n v="136"/>
    <n v="1142"/>
    <x v="0"/>
  </r>
  <r>
    <n v="1144"/>
    <x v="3"/>
    <x v="45"/>
    <x v="9"/>
    <n v="2021"/>
    <x v="9"/>
    <x v="725"/>
    <n v="903"/>
    <n v="20"/>
    <x v="1083"/>
    <x v="0"/>
    <n v="104"/>
    <n v="819"/>
    <x v="0"/>
  </r>
  <r>
    <n v="1145"/>
    <x v="3"/>
    <x v="46"/>
    <x v="9"/>
    <n v="2021"/>
    <x v="9"/>
    <x v="726"/>
    <n v="587"/>
    <n v="-17"/>
    <x v="1084"/>
    <x v="1"/>
    <n v="134"/>
    <n v="436"/>
    <x v="0"/>
  </r>
  <r>
    <n v="1146"/>
    <x v="3"/>
    <x v="47"/>
    <x v="9"/>
    <n v="2021"/>
    <x v="9"/>
    <x v="145"/>
    <n v="548"/>
    <n v="31"/>
    <x v="1085"/>
    <x v="0"/>
    <n v="118"/>
    <n v="461"/>
    <x v="0"/>
  </r>
  <r>
    <n v="1147"/>
    <x v="3"/>
    <x v="48"/>
    <x v="9"/>
    <n v="2021"/>
    <x v="9"/>
    <x v="537"/>
    <n v="520"/>
    <n v="-13"/>
    <x v="1086"/>
    <x v="1"/>
    <n v="129"/>
    <n v="378"/>
    <x v="0"/>
  </r>
  <r>
    <n v="1148"/>
    <x v="3"/>
    <x v="49"/>
    <x v="9"/>
    <n v="2021"/>
    <x v="9"/>
    <x v="329"/>
    <n v="687"/>
    <n v="29"/>
    <x v="1087"/>
    <x v="0"/>
    <n v="124"/>
    <n v="592"/>
    <x v="0"/>
  </r>
  <r>
    <n v="1149"/>
    <x v="3"/>
    <x v="50"/>
    <x v="9"/>
    <n v="2021"/>
    <x v="9"/>
    <x v="635"/>
    <n v="392"/>
    <n v="-10"/>
    <x v="1088"/>
    <x v="1"/>
    <n v="66"/>
    <n v="316"/>
    <x v="0"/>
  </r>
  <r>
    <n v="1150"/>
    <x v="3"/>
    <x v="51"/>
    <x v="9"/>
    <n v="2021"/>
    <x v="9"/>
    <x v="375"/>
    <n v="97"/>
    <n v="-2"/>
    <x v="1089"/>
    <x v="1"/>
    <n v="76"/>
    <n v="19"/>
    <x v="0"/>
  </r>
  <r>
    <n v="1151"/>
    <x v="4"/>
    <x v="52"/>
    <x v="9"/>
    <n v="2021"/>
    <x v="9"/>
    <x v="207"/>
    <n v="682"/>
    <n v="-34"/>
    <x v="1090"/>
    <x v="1"/>
    <n v="57"/>
    <n v="591"/>
    <x v="0"/>
  </r>
  <r>
    <n v="1152"/>
    <x v="4"/>
    <x v="53"/>
    <x v="9"/>
    <n v="2021"/>
    <x v="9"/>
    <x v="232"/>
    <n v="138"/>
    <n v="0"/>
    <x v="3"/>
    <x v="0"/>
    <n v="85"/>
    <n v="53"/>
    <x v="0"/>
  </r>
  <r>
    <n v="1153"/>
    <x v="4"/>
    <x v="54"/>
    <x v="9"/>
    <n v="2021"/>
    <x v="9"/>
    <x v="51"/>
    <n v="152"/>
    <n v="-6"/>
    <x v="975"/>
    <x v="1"/>
    <n v="118"/>
    <n v="28"/>
    <x v="0"/>
  </r>
  <r>
    <n v="1154"/>
    <x v="4"/>
    <x v="55"/>
    <x v="9"/>
    <n v="2021"/>
    <x v="9"/>
    <x v="727"/>
    <n v="517"/>
    <n v="-62"/>
    <x v="1091"/>
    <x v="1"/>
    <n v="77"/>
    <n v="378"/>
    <x v="0"/>
  </r>
  <r>
    <n v="1155"/>
    <x v="4"/>
    <x v="56"/>
    <x v="9"/>
    <n v="2021"/>
    <x v="9"/>
    <x v="184"/>
    <n v="696"/>
    <n v="7"/>
    <x v="1092"/>
    <x v="0"/>
    <n v="78"/>
    <n v="625"/>
    <x v="0"/>
  </r>
  <r>
    <n v="1156"/>
    <x v="4"/>
    <x v="57"/>
    <x v="9"/>
    <n v="2021"/>
    <x v="9"/>
    <x v="202"/>
    <n v="206"/>
    <n v="-7"/>
    <x v="1093"/>
    <x v="1"/>
    <n v="168"/>
    <n v="31"/>
    <x v="0"/>
  </r>
  <r>
    <n v="1157"/>
    <x v="4"/>
    <x v="58"/>
    <x v="9"/>
    <n v="2021"/>
    <x v="9"/>
    <x v="728"/>
    <n v="1020"/>
    <n v="-44"/>
    <x v="1094"/>
    <x v="1"/>
    <n v="115"/>
    <n v="861"/>
    <x v="0"/>
  </r>
  <r>
    <n v="1158"/>
    <x v="4"/>
    <x v="59"/>
    <x v="9"/>
    <n v="2021"/>
    <x v="9"/>
    <x v="729"/>
    <n v="729"/>
    <n v="27"/>
    <x v="331"/>
    <x v="0"/>
    <n v="159"/>
    <n v="597"/>
    <x v="0"/>
  </r>
  <r>
    <n v="1159"/>
    <x v="4"/>
    <x v="60"/>
    <x v="9"/>
    <n v="2021"/>
    <x v="9"/>
    <x v="730"/>
    <n v="1521"/>
    <n v="236"/>
    <x v="1095"/>
    <x v="0"/>
    <n v="98"/>
    <n v="1659"/>
    <x v="0"/>
  </r>
  <r>
    <n v="1160"/>
    <x v="4"/>
    <x v="61"/>
    <x v="9"/>
    <n v="2021"/>
    <x v="9"/>
    <x v="731"/>
    <n v="1487"/>
    <n v="-11"/>
    <x v="1096"/>
    <x v="1"/>
    <n v="158"/>
    <n v="1318"/>
    <x v="0"/>
  </r>
  <r>
    <n v="1161"/>
    <x v="4"/>
    <x v="62"/>
    <x v="9"/>
    <n v="2021"/>
    <x v="9"/>
    <x v="652"/>
    <n v="505"/>
    <n v="19"/>
    <x v="1097"/>
    <x v="0"/>
    <n v="97"/>
    <n v="427"/>
    <x v="0"/>
  </r>
  <r>
    <n v="1162"/>
    <x v="4"/>
    <x v="63"/>
    <x v="9"/>
    <n v="2021"/>
    <x v="9"/>
    <x v="732"/>
    <n v="515"/>
    <n v="-12"/>
    <x v="1098"/>
    <x v="1"/>
    <n v="69"/>
    <n v="434"/>
    <x v="0"/>
  </r>
  <r>
    <n v="1163"/>
    <x v="4"/>
    <x v="64"/>
    <x v="9"/>
    <n v="2021"/>
    <x v="9"/>
    <x v="733"/>
    <n v="520"/>
    <n v="101"/>
    <x v="1099"/>
    <x v="0"/>
    <n v="129"/>
    <n v="492"/>
    <x v="0"/>
  </r>
  <r>
    <n v="1164"/>
    <x v="4"/>
    <x v="65"/>
    <x v="9"/>
    <n v="2021"/>
    <x v="9"/>
    <x v="734"/>
    <n v="1085"/>
    <n v="127"/>
    <x v="1100"/>
    <x v="0"/>
    <n v="97"/>
    <n v="1115"/>
    <x v="0"/>
  </r>
  <r>
    <n v="1165"/>
    <x v="4"/>
    <x v="66"/>
    <x v="9"/>
    <n v="2021"/>
    <x v="9"/>
    <x v="333"/>
    <n v="1052"/>
    <n v="-7"/>
    <x v="1101"/>
    <x v="1"/>
    <n v="175"/>
    <n v="870"/>
    <x v="0"/>
  </r>
  <r>
    <n v="1166"/>
    <x v="4"/>
    <x v="67"/>
    <x v="9"/>
    <n v="2021"/>
    <x v="9"/>
    <x v="73"/>
    <n v="669"/>
    <n v="30"/>
    <x v="1102"/>
    <x v="0"/>
    <n v="84"/>
    <n v="615"/>
    <x v="0"/>
  </r>
  <r>
    <n v="1167"/>
    <x v="4"/>
    <x v="68"/>
    <x v="9"/>
    <n v="2021"/>
    <x v="9"/>
    <x v="234"/>
    <n v="579"/>
    <n v="-7"/>
    <x v="1103"/>
    <x v="1"/>
    <n v="96"/>
    <n v="476"/>
    <x v="0"/>
  </r>
  <r>
    <n v="1168"/>
    <x v="4"/>
    <x v="69"/>
    <x v="9"/>
    <n v="2021"/>
    <x v="9"/>
    <x v="735"/>
    <n v="309"/>
    <n v="41"/>
    <x v="1104"/>
    <x v="0"/>
    <n v="65"/>
    <n v="285"/>
    <x v="0"/>
  </r>
  <r>
    <n v="1169"/>
    <x v="4"/>
    <x v="70"/>
    <x v="9"/>
    <n v="2021"/>
    <x v="9"/>
    <x v="736"/>
    <n v="753"/>
    <n v="77"/>
    <x v="1105"/>
    <x v="0"/>
    <n v="15"/>
    <n v="815"/>
    <x v="0"/>
  </r>
  <r>
    <n v="1170"/>
    <x v="4"/>
    <x v="71"/>
    <x v="9"/>
    <n v="2021"/>
    <x v="9"/>
    <x v="316"/>
    <n v="607"/>
    <n v="-79"/>
    <x v="1106"/>
    <x v="1"/>
    <n v="49"/>
    <n v="479"/>
    <x v="0"/>
  </r>
  <r>
    <n v="1171"/>
    <x v="4"/>
    <x v="72"/>
    <x v="9"/>
    <n v="2021"/>
    <x v="9"/>
    <x v="68"/>
    <n v="548"/>
    <n v="-65"/>
    <x v="1107"/>
    <x v="1"/>
    <n v="41"/>
    <n v="442"/>
    <x v="0"/>
  </r>
  <r>
    <n v="1172"/>
    <x v="4"/>
    <x v="73"/>
    <x v="9"/>
    <n v="2021"/>
    <x v="9"/>
    <x v="55"/>
    <n v="878"/>
    <n v="66"/>
    <x v="1108"/>
    <x v="0"/>
    <n v="65"/>
    <n v="879"/>
    <x v="0"/>
  </r>
  <r>
    <n v="1173"/>
    <x v="4"/>
    <x v="74"/>
    <x v="9"/>
    <n v="2021"/>
    <x v="9"/>
    <x v="737"/>
    <n v="1116"/>
    <n v="-38"/>
    <x v="1109"/>
    <x v="1"/>
    <n v="23"/>
    <n v="1055"/>
    <x v="0"/>
  </r>
  <r>
    <n v="1174"/>
    <x v="4"/>
    <x v="75"/>
    <x v="9"/>
    <n v="2021"/>
    <x v="9"/>
    <x v="430"/>
    <n v="647"/>
    <n v="64"/>
    <x v="1110"/>
    <x v="0"/>
    <n v="145"/>
    <n v="566"/>
    <x v="0"/>
  </r>
  <r>
    <n v="1175"/>
    <x v="4"/>
    <x v="76"/>
    <x v="9"/>
    <n v="2021"/>
    <x v="9"/>
    <x v="738"/>
    <n v="847"/>
    <n v="3"/>
    <x v="1111"/>
    <x v="0"/>
    <n v="104"/>
    <n v="746"/>
    <x v="0"/>
  </r>
  <r>
    <n v="1176"/>
    <x v="4"/>
    <x v="77"/>
    <x v="9"/>
    <n v="2021"/>
    <x v="9"/>
    <x v="577"/>
    <n v="696"/>
    <n v="43"/>
    <x v="529"/>
    <x v="0"/>
    <n v="63"/>
    <n v="676"/>
    <x v="0"/>
  </r>
  <r>
    <n v="1177"/>
    <x v="4"/>
    <x v="78"/>
    <x v="9"/>
    <n v="2021"/>
    <x v="9"/>
    <x v="739"/>
    <n v="1033"/>
    <n v="-47"/>
    <x v="1112"/>
    <x v="1"/>
    <n v="863"/>
    <n v="123"/>
    <x v="0"/>
  </r>
  <r>
    <n v="1178"/>
    <x v="4"/>
    <x v="79"/>
    <x v="9"/>
    <n v="2021"/>
    <x v="9"/>
    <x v="394"/>
    <n v="538"/>
    <n v="-63"/>
    <x v="1113"/>
    <x v="1"/>
    <n v="508"/>
    <n v="-33"/>
    <x v="1"/>
  </r>
  <r>
    <n v="1179"/>
    <x v="4"/>
    <x v="80"/>
    <x v="9"/>
    <n v="2021"/>
    <x v="9"/>
    <x v="75"/>
    <n v="507"/>
    <n v="-33"/>
    <x v="1114"/>
    <x v="1"/>
    <n v="517"/>
    <n v="-43"/>
    <x v="1"/>
  </r>
  <r>
    <n v="1180"/>
    <x v="4"/>
    <x v="81"/>
    <x v="9"/>
    <n v="2021"/>
    <x v="9"/>
    <x v="273"/>
    <n v="617"/>
    <n v="2"/>
    <x v="1115"/>
    <x v="0"/>
    <n v="594"/>
    <n v="25"/>
    <x v="0"/>
  </r>
  <r>
    <n v="1181"/>
    <x v="4"/>
    <x v="82"/>
    <x v="9"/>
    <n v="2021"/>
    <x v="9"/>
    <x v="669"/>
    <n v="411"/>
    <n v="24"/>
    <x v="96"/>
    <x v="0"/>
    <n v="415"/>
    <n v="20"/>
    <x v="0"/>
  </r>
  <r>
    <n v="1182"/>
    <x v="5"/>
    <x v="83"/>
    <x v="9"/>
    <n v="2021"/>
    <x v="9"/>
    <x v="740"/>
    <n v="996"/>
    <n v="-75"/>
    <x v="1116"/>
    <x v="1"/>
    <n v="961"/>
    <n v="-40"/>
    <x v="1"/>
  </r>
  <r>
    <n v="1183"/>
    <x v="5"/>
    <x v="84"/>
    <x v="9"/>
    <n v="2021"/>
    <x v="9"/>
    <x v="741"/>
    <n v="647"/>
    <n v="65"/>
    <x v="1117"/>
    <x v="0"/>
    <n v="622"/>
    <n v="90"/>
    <x v="0"/>
  </r>
  <r>
    <n v="1184"/>
    <x v="5"/>
    <x v="85"/>
    <x v="9"/>
    <n v="2021"/>
    <x v="9"/>
    <x v="742"/>
    <n v="442"/>
    <n v="-36"/>
    <x v="1118"/>
    <x v="1"/>
    <n v="441"/>
    <n v="-35"/>
    <x v="1"/>
  </r>
  <r>
    <n v="1185"/>
    <x v="5"/>
    <x v="86"/>
    <x v="9"/>
    <n v="2021"/>
    <x v="9"/>
    <x v="518"/>
    <n v="248"/>
    <n v="-24"/>
    <x v="1119"/>
    <x v="1"/>
    <n v="257"/>
    <n v="-33"/>
    <x v="1"/>
  </r>
  <r>
    <n v="1186"/>
    <x v="5"/>
    <x v="87"/>
    <x v="9"/>
    <n v="2021"/>
    <x v="9"/>
    <x v="580"/>
    <n v="161"/>
    <n v="-19"/>
    <x v="1120"/>
    <x v="1"/>
    <n v="170"/>
    <n v="-28"/>
    <x v="1"/>
  </r>
  <r>
    <n v="1187"/>
    <x v="5"/>
    <x v="88"/>
    <x v="9"/>
    <n v="2021"/>
    <x v="9"/>
    <x v="123"/>
    <n v="159"/>
    <n v="-19"/>
    <x v="1121"/>
    <x v="1"/>
    <n v="155"/>
    <n v="-15"/>
    <x v="1"/>
  </r>
  <r>
    <n v="1188"/>
    <x v="5"/>
    <x v="89"/>
    <x v="9"/>
    <n v="2021"/>
    <x v="9"/>
    <x v="155"/>
    <n v="181"/>
    <n v="27"/>
    <x v="1122"/>
    <x v="0"/>
    <n v="216"/>
    <n v="-8"/>
    <x v="1"/>
  </r>
  <r>
    <n v="1189"/>
    <x v="5"/>
    <x v="90"/>
    <x v="9"/>
    <n v="2021"/>
    <x v="9"/>
    <x v="450"/>
    <n v="191"/>
    <n v="15"/>
    <x v="1123"/>
    <x v="0"/>
    <n v="204"/>
    <n v="2"/>
    <x v="0"/>
  </r>
  <r>
    <n v="1190"/>
    <x v="5"/>
    <x v="91"/>
    <x v="9"/>
    <n v="2021"/>
    <x v="9"/>
    <x v="517"/>
    <n v="108"/>
    <n v="-12"/>
    <x v="1124"/>
    <x v="1"/>
    <n v="115"/>
    <n v="-19"/>
    <x v="1"/>
  </r>
  <r>
    <n v="1191"/>
    <x v="5"/>
    <x v="92"/>
    <x v="9"/>
    <n v="2021"/>
    <x v="9"/>
    <x v="743"/>
    <n v="290"/>
    <n v="22"/>
    <x v="1125"/>
    <x v="0"/>
    <n v="291"/>
    <n v="21"/>
    <x v="0"/>
  </r>
  <r>
    <n v="1192"/>
    <x v="5"/>
    <x v="93"/>
    <x v="9"/>
    <n v="2021"/>
    <x v="9"/>
    <x v="100"/>
    <n v="131"/>
    <n v="16"/>
    <x v="625"/>
    <x v="0"/>
    <n v="157"/>
    <n v="-10"/>
    <x v="1"/>
  </r>
  <r>
    <n v="1193"/>
    <x v="5"/>
    <x v="94"/>
    <x v="9"/>
    <n v="2021"/>
    <x v="9"/>
    <x v="236"/>
    <n v="82"/>
    <n v="5"/>
    <x v="1126"/>
    <x v="0"/>
    <n v="95"/>
    <n v="-8"/>
    <x v="1"/>
  </r>
  <r>
    <n v="1194"/>
    <x v="5"/>
    <x v="95"/>
    <x v="9"/>
    <n v="2021"/>
    <x v="9"/>
    <x v="109"/>
    <n v="155"/>
    <n v="21"/>
    <x v="1127"/>
    <x v="0"/>
    <n v="183"/>
    <n v="-7"/>
    <x v="1"/>
  </r>
  <r>
    <n v="1195"/>
    <x v="5"/>
    <x v="96"/>
    <x v="9"/>
    <n v="2021"/>
    <x v="9"/>
    <x v="703"/>
    <n v="245"/>
    <n v="7"/>
    <x v="1128"/>
    <x v="0"/>
    <n v="232"/>
    <n v="20"/>
    <x v="0"/>
  </r>
  <r>
    <n v="1196"/>
    <x v="5"/>
    <x v="97"/>
    <x v="9"/>
    <n v="2021"/>
    <x v="9"/>
    <x v="81"/>
    <n v="180"/>
    <n v="37"/>
    <x v="1129"/>
    <x v="0"/>
    <n v="198"/>
    <n v="19"/>
    <x v="0"/>
  </r>
  <r>
    <n v="1197"/>
    <x v="5"/>
    <x v="98"/>
    <x v="9"/>
    <n v="2021"/>
    <x v="9"/>
    <x v="215"/>
    <n v="135"/>
    <n v="-11"/>
    <x v="1130"/>
    <x v="1"/>
    <n v="136"/>
    <n v="-12"/>
    <x v="1"/>
  </r>
  <r>
    <n v="1198"/>
    <x v="5"/>
    <x v="99"/>
    <x v="9"/>
    <n v="2021"/>
    <x v="9"/>
    <x v="443"/>
    <n v="154"/>
    <n v="-3"/>
    <x v="1131"/>
    <x v="1"/>
    <n v="159"/>
    <n v="-8"/>
    <x v="1"/>
  </r>
  <r>
    <n v="1199"/>
    <x v="5"/>
    <x v="100"/>
    <x v="9"/>
    <n v="2021"/>
    <x v="9"/>
    <x v="744"/>
    <n v="179"/>
    <n v="14"/>
    <x v="1132"/>
    <x v="0"/>
    <n v="196"/>
    <n v="-3"/>
    <x v="1"/>
  </r>
  <r>
    <n v="1200"/>
    <x v="5"/>
    <x v="101"/>
    <x v="9"/>
    <n v="2021"/>
    <x v="9"/>
    <x v="445"/>
    <n v="106"/>
    <n v="-9"/>
    <x v="1133"/>
    <x v="1"/>
    <n v="111"/>
    <n v="-14"/>
    <x v="1"/>
  </r>
  <r>
    <n v="1201"/>
    <x v="5"/>
    <x v="102"/>
    <x v="9"/>
    <n v="2021"/>
    <x v="9"/>
    <x v="298"/>
    <n v="119"/>
    <n v="-10"/>
    <x v="1134"/>
    <x v="1"/>
    <n v="129"/>
    <n v="-20"/>
    <x v="1"/>
  </r>
  <r>
    <n v="1202"/>
    <x v="5"/>
    <x v="103"/>
    <x v="9"/>
    <n v="2021"/>
    <x v="9"/>
    <x v="745"/>
    <n v="205"/>
    <n v="34"/>
    <x v="1135"/>
    <x v="0"/>
    <n v="212"/>
    <n v="27"/>
    <x v="0"/>
  </r>
  <r>
    <n v="1203"/>
    <x v="5"/>
    <x v="104"/>
    <x v="9"/>
    <n v="2021"/>
    <x v="9"/>
    <x v="113"/>
    <n v="108"/>
    <n v="-1"/>
    <x v="1136"/>
    <x v="1"/>
    <n v="133"/>
    <n v="-26"/>
    <x v="1"/>
  </r>
  <r>
    <n v="1204"/>
    <x v="5"/>
    <x v="105"/>
    <x v="9"/>
    <n v="2021"/>
    <x v="9"/>
    <x v="205"/>
    <n v="178"/>
    <n v="-7"/>
    <x v="1137"/>
    <x v="1"/>
    <n v="169"/>
    <n v="2"/>
    <x v="0"/>
  </r>
  <r>
    <n v="1205"/>
    <x v="5"/>
    <x v="106"/>
    <x v="9"/>
    <n v="2021"/>
    <x v="9"/>
    <x v="643"/>
    <n v="57"/>
    <n v="4"/>
    <x v="1138"/>
    <x v="0"/>
    <n v="69"/>
    <n v="-8"/>
    <x v="1"/>
  </r>
  <r>
    <n v="1206"/>
    <x v="6"/>
    <x v="107"/>
    <x v="9"/>
    <n v="2021"/>
    <x v="9"/>
    <x v="475"/>
    <n v="702"/>
    <n v="25"/>
    <x v="1139"/>
    <x v="0"/>
    <n v="680"/>
    <n v="47"/>
    <x v="0"/>
  </r>
  <r>
    <n v="1207"/>
    <x v="6"/>
    <x v="108"/>
    <x v="9"/>
    <n v="2021"/>
    <x v="9"/>
    <x v="175"/>
    <n v="584"/>
    <n v="-53"/>
    <x v="1140"/>
    <x v="1"/>
    <n v="529"/>
    <n v="2"/>
    <x v="0"/>
  </r>
  <r>
    <n v="1208"/>
    <x v="6"/>
    <x v="109"/>
    <x v="9"/>
    <n v="2021"/>
    <x v="9"/>
    <x v="293"/>
    <n v="177"/>
    <n v="37"/>
    <x v="1141"/>
    <x v="0"/>
    <n v="192"/>
    <n v="22"/>
    <x v="0"/>
  </r>
  <r>
    <n v="1209"/>
    <x v="6"/>
    <x v="110"/>
    <x v="9"/>
    <n v="2021"/>
    <x v="9"/>
    <x v="746"/>
    <n v="413"/>
    <n v="-10"/>
    <x v="1142"/>
    <x v="1"/>
    <n v="443"/>
    <n v="-40"/>
    <x v="1"/>
  </r>
  <r>
    <n v="1210"/>
    <x v="6"/>
    <x v="111"/>
    <x v="9"/>
    <n v="2021"/>
    <x v="9"/>
    <x v="296"/>
    <n v="257"/>
    <n v="-19"/>
    <x v="1143"/>
    <x v="1"/>
    <n v="271"/>
    <n v="-33"/>
    <x v="1"/>
  </r>
  <r>
    <n v="1211"/>
    <x v="6"/>
    <x v="112"/>
    <x v="9"/>
    <n v="2021"/>
    <x v="9"/>
    <x v="747"/>
    <n v="358"/>
    <n v="22"/>
    <x v="1144"/>
    <x v="0"/>
    <n v="348"/>
    <n v="32"/>
    <x v="0"/>
  </r>
  <r>
    <n v="1212"/>
    <x v="6"/>
    <x v="113"/>
    <x v="9"/>
    <n v="2021"/>
    <x v="9"/>
    <x v="335"/>
    <n v="135"/>
    <n v="17"/>
    <x v="1145"/>
    <x v="0"/>
    <n v="144"/>
    <n v="8"/>
    <x v="0"/>
  </r>
  <r>
    <n v="1213"/>
    <x v="6"/>
    <x v="114"/>
    <x v="9"/>
    <n v="2021"/>
    <x v="9"/>
    <x v="748"/>
    <n v="256"/>
    <n v="10"/>
    <x v="1146"/>
    <x v="0"/>
    <n v="221"/>
    <n v="45"/>
    <x v="0"/>
  </r>
  <r>
    <n v="1214"/>
    <x v="6"/>
    <x v="115"/>
    <x v="9"/>
    <n v="2021"/>
    <x v="9"/>
    <x v="85"/>
    <n v="183"/>
    <n v="19"/>
    <x v="1147"/>
    <x v="0"/>
    <n v="216"/>
    <n v="-14"/>
    <x v="1"/>
  </r>
  <r>
    <n v="1215"/>
    <x v="6"/>
    <x v="116"/>
    <x v="9"/>
    <n v="2021"/>
    <x v="9"/>
    <x v="523"/>
    <n v="180"/>
    <n v="-15"/>
    <x v="1148"/>
    <x v="1"/>
    <n v="177"/>
    <n v="-12"/>
    <x v="1"/>
  </r>
  <r>
    <n v="1216"/>
    <x v="6"/>
    <x v="117"/>
    <x v="9"/>
    <n v="2021"/>
    <x v="9"/>
    <x v="119"/>
    <n v="110"/>
    <n v="-2"/>
    <x v="1149"/>
    <x v="1"/>
    <n v="112"/>
    <n v="-4"/>
    <x v="1"/>
  </r>
  <r>
    <n v="1217"/>
    <x v="6"/>
    <x v="118"/>
    <x v="9"/>
    <n v="2021"/>
    <x v="9"/>
    <x v="197"/>
    <n v="176"/>
    <n v="18"/>
    <x v="1150"/>
    <x v="0"/>
    <n v="183"/>
    <n v="11"/>
    <x v="0"/>
  </r>
  <r>
    <n v="1218"/>
    <x v="6"/>
    <x v="119"/>
    <x v="9"/>
    <n v="2021"/>
    <x v="9"/>
    <x v="203"/>
    <n v="118"/>
    <n v="-8"/>
    <x v="1151"/>
    <x v="1"/>
    <n v="128"/>
    <n v="-18"/>
    <x v="1"/>
  </r>
  <r>
    <n v="1219"/>
    <x v="6"/>
    <x v="120"/>
    <x v="9"/>
    <n v="2021"/>
    <x v="9"/>
    <x v="749"/>
    <n v="260"/>
    <n v="8"/>
    <x v="1152"/>
    <x v="0"/>
    <n v="289"/>
    <n v="-21"/>
    <x v="1"/>
  </r>
  <r>
    <n v="1220"/>
    <x v="6"/>
    <x v="121"/>
    <x v="9"/>
    <n v="2021"/>
    <x v="9"/>
    <x v="750"/>
    <n v="305"/>
    <n v="-24"/>
    <x v="1153"/>
    <x v="1"/>
    <n v="268"/>
    <n v="13"/>
    <x v="0"/>
  </r>
  <r>
    <n v="1221"/>
    <x v="0"/>
    <x v="0"/>
    <x v="10"/>
    <n v="2021"/>
    <x v="10"/>
    <x v="751"/>
    <n v="1331"/>
    <n v="-82"/>
    <x v="1154"/>
    <x v="1"/>
    <n v="357"/>
    <n v="892"/>
    <x v="0"/>
  </r>
  <r>
    <n v="1222"/>
    <x v="0"/>
    <x v="1"/>
    <x v="10"/>
    <n v="2021"/>
    <x v="10"/>
    <x v="752"/>
    <n v="721"/>
    <n v="62"/>
    <x v="1155"/>
    <x v="0"/>
    <n v="168"/>
    <n v="615"/>
    <x v="0"/>
  </r>
  <r>
    <n v="1223"/>
    <x v="0"/>
    <x v="2"/>
    <x v="10"/>
    <n v="2021"/>
    <x v="10"/>
    <x v="675"/>
    <n v="829"/>
    <n v="97"/>
    <x v="1156"/>
    <x v="0"/>
    <n v="252"/>
    <n v="674"/>
    <x v="0"/>
  </r>
  <r>
    <n v="1224"/>
    <x v="0"/>
    <x v="3"/>
    <x v="10"/>
    <n v="2021"/>
    <x v="10"/>
    <x v="753"/>
    <n v="111"/>
    <n v="12"/>
    <x v="1157"/>
    <x v="0"/>
    <n v="160"/>
    <n v="-37"/>
    <x v="1"/>
  </r>
  <r>
    <n v="1225"/>
    <x v="0"/>
    <x v="4"/>
    <x v="10"/>
    <n v="2021"/>
    <x v="10"/>
    <x v="567"/>
    <n v="1330"/>
    <n v="-167"/>
    <x v="1158"/>
    <x v="1"/>
    <n v="47"/>
    <n v="1116"/>
    <x v="0"/>
  </r>
  <r>
    <n v="1226"/>
    <x v="0"/>
    <x v="5"/>
    <x v="10"/>
    <n v="2021"/>
    <x v="10"/>
    <x v="536"/>
    <n v="609"/>
    <n v="-46"/>
    <x v="1159"/>
    <x v="1"/>
    <n v="55"/>
    <n v="508"/>
    <x v="0"/>
  </r>
  <r>
    <n v="1227"/>
    <x v="0"/>
    <x v="6"/>
    <x v="10"/>
    <n v="2021"/>
    <x v="10"/>
    <x v="534"/>
    <n v="1141"/>
    <n v="47"/>
    <x v="1160"/>
    <x v="0"/>
    <n v="154"/>
    <n v="1034"/>
    <x v="0"/>
  </r>
  <r>
    <n v="1228"/>
    <x v="0"/>
    <x v="7"/>
    <x v="10"/>
    <n v="2021"/>
    <x v="10"/>
    <x v="509"/>
    <n v="959"/>
    <n v="-113"/>
    <x v="1161"/>
    <x v="1"/>
    <n v="116"/>
    <n v="730"/>
    <x v="0"/>
  </r>
  <r>
    <n v="1229"/>
    <x v="0"/>
    <x v="8"/>
    <x v="10"/>
    <n v="2021"/>
    <x v="10"/>
    <x v="373"/>
    <n v="180"/>
    <n v="-22"/>
    <x v="1162"/>
    <x v="1"/>
    <n v="116"/>
    <n v="42"/>
    <x v="0"/>
  </r>
  <r>
    <n v="1230"/>
    <x v="0"/>
    <x v="9"/>
    <x v="10"/>
    <n v="2021"/>
    <x v="10"/>
    <x v="754"/>
    <n v="604"/>
    <n v="-11"/>
    <x v="1163"/>
    <x v="1"/>
    <n v="124"/>
    <n v="469"/>
    <x v="0"/>
  </r>
  <r>
    <n v="1231"/>
    <x v="0"/>
    <x v="10"/>
    <x v="10"/>
    <n v="2021"/>
    <x v="10"/>
    <x v="538"/>
    <n v="506"/>
    <n v="51"/>
    <x v="1164"/>
    <x v="0"/>
    <n v="249"/>
    <n v="308"/>
    <x v="0"/>
  </r>
  <r>
    <n v="1232"/>
    <x v="0"/>
    <x v="11"/>
    <x v="10"/>
    <n v="2021"/>
    <x v="10"/>
    <x v="732"/>
    <n v="550"/>
    <n v="-47"/>
    <x v="1165"/>
    <x v="1"/>
    <n v="274"/>
    <n v="229"/>
    <x v="0"/>
  </r>
  <r>
    <n v="1233"/>
    <x v="0"/>
    <x v="12"/>
    <x v="10"/>
    <n v="2021"/>
    <x v="10"/>
    <x v="231"/>
    <n v="318"/>
    <n v="6"/>
    <x v="1166"/>
    <x v="0"/>
    <n v="230"/>
    <n v="94"/>
    <x v="0"/>
  </r>
  <r>
    <n v="1234"/>
    <x v="0"/>
    <x v="13"/>
    <x v="10"/>
    <n v="2021"/>
    <x v="10"/>
    <x v="346"/>
    <n v="153"/>
    <n v="4"/>
    <x v="1167"/>
    <x v="0"/>
    <n v="162"/>
    <n v="-5"/>
    <x v="1"/>
  </r>
  <r>
    <n v="1235"/>
    <x v="0"/>
    <x v="14"/>
    <x v="10"/>
    <n v="2021"/>
    <x v="10"/>
    <x v="679"/>
    <n v="517"/>
    <n v="132"/>
    <x v="1168"/>
    <x v="0"/>
    <n v="41"/>
    <n v="608"/>
    <x v="0"/>
  </r>
  <r>
    <n v="1236"/>
    <x v="0"/>
    <x v="15"/>
    <x v="10"/>
    <n v="2021"/>
    <x v="10"/>
    <x v="15"/>
    <n v="549"/>
    <n v="-31"/>
    <x v="1169"/>
    <x v="1"/>
    <n v="129"/>
    <n v="389"/>
    <x v="0"/>
  </r>
  <r>
    <n v="1237"/>
    <x v="0"/>
    <x v="16"/>
    <x v="10"/>
    <n v="2021"/>
    <x v="10"/>
    <x v="84"/>
    <n v="156"/>
    <n v="33"/>
    <x v="1170"/>
    <x v="0"/>
    <n v="149"/>
    <n v="40"/>
    <x v="0"/>
  </r>
  <r>
    <n v="1238"/>
    <x v="0"/>
    <x v="17"/>
    <x v="10"/>
    <n v="2021"/>
    <x v="10"/>
    <x v="657"/>
    <n v="78"/>
    <n v="0"/>
    <x v="3"/>
    <x v="0"/>
    <n v="123"/>
    <n v="-45"/>
    <x v="1"/>
  </r>
  <r>
    <n v="1239"/>
    <x v="0"/>
    <x v="18"/>
    <x v="10"/>
    <n v="2021"/>
    <x v="10"/>
    <x v="50"/>
    <n v="583"/>
    <n v="34"/>
    <x v="1171"/>
    <x v="0"/>
    <n v="184"/>
    <n v="433"/>
    <x v="0"/>
  </r>
  <r>
    <n v="1240"/>
    <x v="1"/>
    <x v="19"/>
    <x v="10"/>
    <n v="2021"/>
    <x v="10"/>
    <x v="755"/>
    <n v="676"/>
    <n v="87"/>
    <x v="1172"/>
    <x v="0"/>
    <n v="302"/>
    <n v="461"/>
    <x v="0"/>
  </r>
  <r>
    <n v="1241"/>
    <x v="1"/>
    <x v="20"/>
    <x v="10"/>
    <n v="2021"/>
    <x v="10"/>
    <x v="756"/>
    <n v="1076"/>
    <n v="-47"/>
    <x v="1173"/>
    <x v="1"/>
    <n v="310"/>
    <n v="719"/>
    <x v="0"/>
  </r>
  <r>
    <n v="1242"/>
    <x v="1"/>
    <x v="21"/>
    <x v="10"/>
    <n v="2021"/>
    <x v="10"/>
    <x v="757"/>
    <n v="738"/>
    <n v="9"/>
    <x v="1174"/>
    <x v="0"/>
    <n v="143"/>
    <n v="604"/>
    <x v="0"/>
  </r>
  <r>
    <n v="1243"/>
    <x v="1"/>
    <x v="22"/>
    <x v="10"/>
    <n v="2021"/>
    <x v="10"/>
    <x v="758"/>
    <n v="1261"/>
    <n v="-2"/>
    <x v="1175"/>
    <x v="1"/>
    <n v="202"/>
    <n v="1057"/>
    <x v="0"/>
  </r>
  <r>
    <n v="1244"/>
    <x v="1"/>
    <x v="23"/>
    <x v="10"/>
    <n v="2021"/>
    <x v="10"/>
    <x v="759"/>
    <n v="1004"/>
    <n v="140"/>
    <x v="1176"/>
    <x v="0"/>
    <n v="119"/>
    <n v="1025"/>
    <x v="0"/>
  </r>
  <r>
    <n v="1245"/>
    <x v="1"/>
    <x v="24"/>
    <x v="10"/>
    <n v="2021"/>
    <x v="10"/>
    <x v="662"/>
    <n v="22"/>
    <n v="0"/>
    <x v="3"/>
    <x v="0"/>
    <n v="141"/>
    <n v="-119"/>
    <x v="1"/>
  </r>
  <r>
    <n v="1246"/>
    <x v="2"/>
    <x v="25"/>
    <x v="10"/>
    <n v="2021"/>
    <x v="10"/>
    <x v="760"/>
    <n v="1309"/>
    <n v="-499"/>
    <x v="1177"/>
    <x v="1"/>
    <n v="185"/>
    <n v="625"/>
    <x v="0"/>
  </r>
  <r>
    <n v="1247"/>
    <x v="2"/>
    <x v="26"/>
    <x v="10"/>
    <n v="2021"/>
    <x v="10"/>
    <x v="25"/>
    <n v="617"/>
    <n v="6"/>
    <x v="1178"/>
    <x v="0"/>
    <n v="87"/>
    <n v="536"/>
    <x v="0"/>
  </r>
  <r>
    <n v="1248"/>
    <x v="3"/>
    <x v="27"/>
    <x v="10"/>
    <n v="2021"/>
    <x v="10"/>
    <x v="761"/>
    <n v="1014"/>
    <n v="-123"/>
    <x v="1179"/>
    <x v="1"/>
    <n v="66"/>
    <n v="825"/>
    <x v="0"/>
  </r>
  <r>
    <n v="1249"/>
    <x v="3"/>
    <x v="28"/>
    <x v="10"/>
    <n v="2021"/>
    <x v="10"/>
    <x v="762"/>
    <n v="1641"/>
    <n v="-48"/>
    <x v="1180"/>
    <x v="1"/>
    <n v="200"/>
    <n v="1393"/>
    <x v="0"/>
  </r>
  <r>
    <n v="1250"/>
    <x v="3"/>
    <x v="29"/>
    <x v="10"/>
    <n v="2021"/>
    <x v="10"/>
    <x v="410"/>
    <n v="1349"/>
    <n v="-141"/>
    <x v="1181"/>
    <x v="1"/>
    <n v="334"/>
    <n v="874"/>
    <x v="0"/>
  </r>
  <r>
    <n v="1251"/>
    <x v="3"/>
    <x v="30"/>
    <x v="10"/>
    <n v="2021"/>
    <x v="10"/>
    <x v="763"/>
    <n v="1565"/>
    <n v="-3"/>
    <x v="1182"/>
    <x v="1"/>
    <n v="40"/>
    <n v="1522"/>
    <x v="0"/>
  </r>
  <r>
    <n v="1252"/>
    <x v="3"/>
    <x v="31"/>
    <x v="10"/>
    <n v="2021"/>
    <x v="10"/>
    <x v="764"/>
    <n v="1553"/>
    <n v="45"/>
    <x v="1183"/>
    <x v="0"/>
    <n v="194"/>
    <n v="1404"/>
    <x v="0"/>
  </r>
  <r>
    <n v="1253"/>
    <x v="3"/>
    <x v="32"/>
    <x v="10"/>
    <n v="2021"/>
    <x v="10"/>
    <x v="422"/>
    <n v="498"/>
    <n v="-8"/>
    <x v="435"/>
    <x v="1"/>
    <n v="150"/>
    <n v="340"/>
    <x v="0"/>
  </r>
  <r>
    <n v="1254"/>
    <x v="3"/>
    <x v="33"/>
    <x v="10"/>
    <n v="2021"/>
    <x v="10"/>
    <x v="420"/>
    <n v="539"/>
    <n v="-28"/>
    <x v="1184"/>
    <x v="1"/>
    <n v="94"/>
    <n v="417"/>
    <x v="0"/>
  </r>
  <r>
    <n v="1255"/>
    <x v="3"/>
    <x v="34"/>
    <x v="10"/>
    <n v="2021"/>
    <x v="10"/>
    <x v="613"/>
    <n v="689"/>
    <n v="-36"/>
    <x v="1185"/>
    <x v="1"/>
    <n v="162"/>
    <n v="491"/>
    <x v="0"/>
  </r>
  <r>
    <n v="1256"/>
    <x v="3"/>
    <x v="35"/>
    <x v="10"/>
    <n v="2021"/>
    <x v="10"/>
    <x v="283"/>
    <n v="914"/>
    <n v="75"/>
    <x v="1186"/>
    <x v="0"/>
    <n v="62"/>
    <n v="927"/>
    <x v="0"/>
  </r>
  <r>
    <n v="1257"/>
    <x v="2"/>
    <x v="36"/>
    <x v="10"/>
    <n v="2021"/>
    <x v="10"/>
    <x v="669"/>
    <n v="393"/>
    <n v="42"/>
    <x v="1187"/>
    <x v="0"/>
    <n v="60"/>
    <n v="375"/>
    <x v="0"/>
  </r>
  <r>
    <n v="1258"/>
    <x v="2"/>
    <x v="37"/>
    <x v="10"/>
    <n v="2021"/>
    <x v="10"/>
    <x v="765"/>
    <n v="639"/>
    <n v="-55"/>
    <x v="1188"/>
    <x v="1"/>
    <n v="87"/>
    <n v="497"/>
    <x v="0"/>
  </r>
  <r>
    <n v="1259"/>
    <x v="2"/>
    <x v="38"/>
    <x v="10"/>
    <n v="2021"/>
    <x v="10"/>
    <x v="618"/>
    <n v="1134"/>
    <n v="-68"/>
    <x v="1189"/>
    <x v="1"/>
    <n v="44"/>
    <n v="1022"/>
    <x v="0"/>
  </r>
  <r>
    <n v="1260"/>
    <x v="2"/>
    <x v="39"/>
    <x v="10"/>
    <n v="2021"/>
    <x v="10"/>
    <x v="766"/>
    <n v="273"/>
    <n v="-1"/>
    <x v="1190"/>
    <x v="1"/>
    <n v="42"/>
    <n v="230"/>
    <x v="0"/>
  </r>
  <r>
    <n v="1261"/>
    <x v="3"/>
    <x v="40"/>
    <x v="10"/>
    <n v="2021"/>
    <x v="10"/>
    <x v="265"/>
    <n v="139"/>
    <n v="9"/>
    <x v="1191"/>
    <x v="0"/>
    <n v="46"/>
    <n v="102"/>
    <x v="0"/>
  </r>
  <r>
    <n v="1262"/>
    <x v="3"/>
    <x v="41"/>
    <x v="10"/>
    <n v="2021"/>
    <x v="10"/>
    <x v="724"/>
    <n v="1828"/>
    <n v="333"/>
    <x v="1079"/>
    <x v="0"/>
    <n v="195"/>
    <n v="1966"/>
    <x v="0"/>
  </r>
  <r>
    <n v="1263"/>
    <x v="3"/>
    <x v="42"/>
    <x v="10"/>
    <n v="2021"/>
    <x v="10"/>
    <x v="767"/>
    <n v="964"/>
    <n v="-13"/>
    <x v="1192"/>
    <x v="1"/>
    <n v="122"/>
    <n v="829"/>
    <x v="0"/>
  </r>
  <r>
    <n v="1264"/>
    <x v="3"/>
    <x v="43"/>
    <x v="10"/>
    <n v="2021"/>
    <x v="10"/>
    <x v="268"/>
    <n v="218"/>
    <n v="16"/>
    <x v="1193"/>
    <x v="0"/>
    <n v="161"/>
    <n v="73"/>
    <x v="0"/>
  </r>
  <r>
    <n v="1265"/>
    <x v="3"/>
    <x v="44"/>
    <x v="10"/>
    <n v="2021"/>
    <x v="10"/>
    <x v="768"/>
    <n v="1453"/>
    <n v="-183"/>
    <x v="1194"/>
    <x v="1"/>
    <n v="136"/>
    <n v="1134"/>
    <x v="0"/>
  </r>
  <r>
    <n v="1266"/>
    <x v="3"/>
    <x v="45"/>
    <x v="10"/>
    <n v="2021"/>
    <x v="10"/>
    <x v="769"/>
    <n v="912"/>
    <n v="20"/>
    <x v="1195"/>
    <x v="0"/>
    <n v="110"/>
    <n v="822"/>
    <x v="0"/>
  </r>
  <r>
    <n v="1267"/>
    <x v="3"/>
    <x v="46"/>
    <x v="10"/>
    <n v="2021"/>
    <x v="10"/>
    <x v="469"/>
    <n v="605"/>
    <n v="-63"/>
    <x v="1196"/>
    <x v="1"/>
    <n v="139"/>
    <n v="403"/>
    <x v="0"/>
  </r>
  <r>
    <n v="1268"/>
    <x v="3"/>
    <x v="47"/>
    <x v="10"/>
    <n v="2021"/>
    <x v="10"/>
    <x v="770"/>
    <n v="553"/>
    <n v="56"/>
    <x v="367"/>
    <x v="0"/>
    <n v="123"/>
    <n v="486"/>
    <x v="0"/>
  </r>
  <r>
    <n v="1269"/>
    <x v="3"/>
    <x v="48"/>
    <x v="10"/>
    <n v="2021"/>
    <x v="10"/>
    <x v="771"/>
    <n v="536"/>
    <n v="-30"/>
    <x v="1197"/>
    <x v="1"/>
    <n v="129"/>
    <n v="377"/>
    <x v="0"/>
  </r>
  <r>
    <n v="1270"/>
    <x v="3"/>
    <x v="49"/>
    <x v="10"/>
    <n v="2021"/>
    <x v="10"/>
    <x v="772"/>
    <n v="693"/>
    <n v="-79"/>
    <x v="1198"/>
    <x v="1"/>
    <n v="127"/>
    <n v="487"/>
    <x v="0"/>
  </r>
  <r>
    <n v="1271"/>
    <x v="3"/>
    <x v="50"/>
    <x v="10"/>
    <n v="2021"/>
    <x v="10"/>
    <x v="773"/>
    <n v="400"/>
    <n v="-8"/>
    <x v="1199"/>
    <x v="1"/>
    <n v="73"/>
    <n v="319"/>
    <x v="0"/>
  </r>
  <r>
    <n v="1272"/>
    <x v="3"/>
    <x v="51"/>
    <x v="10"/>
    <n v="2021"/>
    <x v="10"/>
    <x v="96"/>
    <n v="100"/>
    <n v="-6"/>
    <x v="1200"/>
    <x v="1"/>
    <n v="75"/>
    <n v="19"/>
    <x v="0"/>
  </r>
  <r>
    <n v="1273"/>
    <x v="4"/>
    <x v="52"/>
    <x v="10"/>
    <n v="2021"/>
    <x v="10"/>
    <x v="270"/>
    <n v="702"/>
    <n v="-12"/>
    <x v="1201"/>
    <x v="1"/>
    <n v="62"/>
    <n v="628"/>
    <x v="0"/>
  </r>
  <r>
    <n v="1274"/>
    <x v="4"/>
    <x v="53"/>
    <x v="10"/>
    <n v="2021"/>
    <x v="10"/>
    <x v="523"/>
    <n v="139"/>
    <n v="26"/>
    <x v="1202"/>
    <x v="0"/>
    <n v="89"/>
    <n v="76"/>
    <x v="0"/>
  </r>
  <r>
    <n v="1275"/>
    <x v="4"/>
    <x v="54"/>
    <x v="10"/>
    <n v="2021"/>
    <x v="10"/>
    <x v="625"/>
    <n v="152"/>
    <n v="8"/>
    <x v="1203"/>
    <x v="0"/>
    <n v="117"/>
    <n v="43"/>
    <x v="0"/>
  </r>
  <r>
    <n v="1276"/>
    <x v="4"/>
    <x v="55"/>
    <x v="10"/>
    <n v="2021"/>
    <x v="10"/>
    <x v="359"/>
    <n v="517"/>
    <n v="-4"/>
    <x v="1204"/>
    <x v="1"/>
    <n v="75"/>
    <n v="438"/>
    <x v="0"/>
  </r>
  <r>
    <n v="1277"/>
    <x v="4"/>
    <x v="56"/>
    <x v="10"/>
    <n v="2021"/>
    <x v="10"/>
    <x v="285"/>
    <n v="703"/>
    <n v="56"/>
    <x v="1205"/>
    <x v="0"/>
    <n v="78"/>
    <n v="681"/>
    <x v="0"/>
  </r>
  <r>
    <n v="1278"/>
    <x v="4"/>
    <x v="57"/>
    <x v="10"/>
    <n v="2021"/>
    <x v="10"/>
    <x v="376"/>
    <n v="210"/>
    <n v="8"/>
    <x v="1206"/>
    <x v="0"/>
    <n v="170"/>
    <n v="48"/>
    <x v="0"/>
  </r>
  <r>
    <n v="1279"/>
    <x v="4"/>
    <x v="58"/>
    <x v="10"/>
    <n v="2021"/>
    <x v="10"/>
    <x v="774"/>
    <n v="1050"/>
    <n v="-28"/>
    <x v="1207"/>
    <x v="1"/>
    <n v="121"/>
    <n v="901"/>
    <x v="0"/>
  </r>
  <r>
    <n v="1280"/>
    <x v="4"/>
    <x v="59"/>
    <x v="10"/>
    <n v="2021"/>
    <x v="10"/>
    <x v="358"/>
    <n v="751"/>
    <n v="65"/>
    <x v="1208"/>
    <x v="0"/>
    <n v="163"/>
    <n v="653"/>
    <x v="0"/>
  </r>
  <r>
    <n v="1281"/>
    <x v="4"/>
    <x v="60"/>
    <x v="10"/>
    <n v="2021"/>
    <x v="10"/>
    <x v="762"/>
    <n v="1521"/>
    <n v="72"/>
    <x v="1209"/>
    <x v="0"/>
    <n v="100"/>
    <n v="1493"/>
    <x v="0"/>
  </r>
  <r>
    <n v="1282"/>
    <x v="4"/>
    <x v="61"/>
    <x v="10"/>
    <n v="2021"/>
    <x v="10"/>
    <x v="775"/>
    <n v="1517"/>
    <n v="-125"/>
    <x v="1210"/>
    <x v="1"/>
    <n v="159"/>
    <n v="1233"/>
    <x v="0"/>
  </r>
  <r>
    <n v="1283"/>
    <x v="4"/>
    <x v="62"/>
    <x v="10"/>
    <n v="2021"/>
    <x v="10"/>
    <x v="124"/>
    <n v="505"/>
    <n v="49"/>
    <x v="1211"/>
    <x v="0"/>
    <n v="99"/>
    <n v="455"/>
    <x v="0"/>
  </r>
  <r>
    <n v="1284"/>
    <x v="4"/>
    <x v="63"/>
    <x v="10"/>
    <n v="2021"/>
    <x v="10"/>
    <x v="60"/>
    <n v="531"/>
    <n v="-72"/>
    <x v="1212"/>
    <x v="1"/>
    <n v="72"/>
    <n v="387"/>
    <x v="0"/>
  </r>
  <r>
    <n v="1285"/>
    <x v="4"/>
    <x v="64"/>
    <x v="10"/>
    <n v="2021"/>
    <x v="10"/>
    <x v="149"/>
    <n v="531"/>
    <n v="67"/>
    <x v="1213"/>
    <x v="0"/>
    <n v="131"/>
    <n v="467"/>
    <x v="0"/>
  </r>
  <r>
    <n v="1286"/>
    <x v="4"/>
    <x v="65"/>
    <x v="10"/>
    <n v="2021"/>
    <x v="10"/>
    <x v="135"/>
    <n v="1085"/>
    <n v="109"/>
    <x v="1214"/>
    <x v="0"/>
    <n v="98"/>
    <n v="1096"/>
    <x v="0"/>
  </r>
  <r>
    <n v="1287"/>
    <x v="4"/>
    <x v="66"/>
    <x v="10"/>
    <n v="2021"/>
    <x v="10"/>
    <x v="776"/>
    <n v="1084"/>
    <n v="51"/>
    <x v="1215"/>
    <x v="0"/>
    <n v="173"/>
    <n v="962"/>
    <x v="0"/>
  </r>
  <r>
    <n v="1288"/>
    <x v="4"/>
    <x v="67"/>
    <x v="10"/>
    <n v="2021"/>
    <x v="10"/>
    <x v="430"/>
    <n v="689"/>
    <n v="22"/>
    <x v="1216"/>
    <x v="0"/>
    <n v="90"/>
    <n v="621"/>
    <x v="0"/>
  </r>
  <r>
    <n v="1289"/>
    <x v="4"/>
    <x v="68"/>
    <x v="10"/>
    <n v="2021"/>
    <x v="10"/>
    <x v="314"/>
    <n v="579"/>
    <n v="-14"/>
    <x v="1217"/>
    <x v="1"/>
    <n v="102"/>
    <n v="463"/>
    <x v="0"/>
  </r>
  <r>
    <n v="1290"/>
    <x v="4"/>
    <x v="69"/>
    <x v="10"/>
    <n v="2021"/>
    <x v="10"/>
    <x v="777"/>
    <n v="312"/>
    <n v="2"/>
    <x v="619"/>
    <x v="0"/>
    <n v="67"/>
    <n v="247"/>
    <x v="0"/>
  </r>
  <r>
    <n v="1291"/>
    <x v="4"/>
    <x v="70"/>
    <x v="10"/>
    <n v="2021"/>
    <x v="10"/>
    <x v="778"/>
    <n v="753"/>
    <n v="128"/>
    <x v="1218"/>
    <x v="0"/>
    <n v="16"/>
    <n v="865"/>
    <x v="0"/>
  </r>
  <r>
    <n v="1292"/>
    <x v="4"/>
    <x v="71"/>
    <x v="10"/>
    <n v="2021"/>
    <x v="10"/>
    <x v="779"/>
    <n v="625"/>
    <n v="-17"/>
    <x v="1219"/>
    <x v="1"/>
    <n v="53"/>
    <n v="555"/>
    <x v="0"/>
  </r>
  <r>
    <n v="1293"/>
    <x v="4"/>
    <x v="72"/>
    <x v="10"/>
    <n v="2021"/>
    <x v="10"/>
    <x v="64"/>
    <n v="554"/>
    <n v="-54"/>
    <x v="1220"/>
    <x v="1"/>
    <n v="41"/>
    <n v="459"/>
    <x v="0"/>
  </r>
  <r>
    <n v="1294"/>
    <x v="4"/>
    <x v="73"/>
    <x v="10"/>
    <n v="2021"/>
    <x v="10"/>
    <x v="402"/>
    <n v="904"/>
    <n v="77"/>
    <x v="1221"/>
    <x v="0"/>
    <n v="68"/>
    <n v="913"/>
    <x v="0"/>
  </r>
  <r>
    <n v="1295"/>
    <x v="4"/>
    <x v="74"/>
    <x v="10"/>
    <n v="2021"/>
    <x v="10"/>
    <x v="677"/>
    <n v="1127"/>
    <n v="-17"/>
    <x v="1222"/>
    <x v="1"/>
    <n v="30"/>
    <n v="1080"/>
    <x v="0"/>
  </r>
  <r>
    <n v="1296"/>
    <x v="4"/>
    <x v="75"/>
    <x v="10"/>
    <n v="2021"/>
    <x v="10"/>
    <x v="780"/>
    <n v="660"/>
    <n v="69"/>
    <x v="1223"/>
    <x v="0"/>
    <n v="149"/>
    <n v="580"/>
    <x v="0"/>
  </r>
  <r>
    <n v="1297"/>
    <x v="4"/>
    <x v="76"/>
    <x v="10"/>
    <n v="2021"/>
    <x v="10"/>
    <x v="781"/>
    <n v="873"/>
    <n v="-82"/>
    <x v="1224"/>
    <x v="1"/>
    <n v="108"/>
    <n v="683"/>
    <x v="0"/>
  </r>
  <r>
    <n v="1298"/>
    <x v="4"/>
    <x v="77"/>
    <x v="10"/>
    <n v="2021"/>
    <x v="10"/>
    <x v="624"/>
    <n v="710"/>
    <n v="-12"/>
    <x v="1225"/>
    <x v="1"/>
    <n v="67"/>
    <n v="631"/>
    <x v="0"/>
  </r>
  <r>
    <n v="1299"/>
    <x v="4"/>
    <x v="78"/>
    <x v="10"/>
    <n v="2021"/>
    <x v="10"/>
    <x v="782"/>
    <n v="1044"/>
    <n v="-169"/>
    <x v="1226"/>
    <x v="1"/>
    <n v="864"/>
    <n v="11"/>
    <x v="0"/>
  </r>
  <r>
    <n v="1300"/>
    <x v="4"/>
    <x v="79"/>
    <x v="10"/>
    <n v="2021"/>
    <x v="10"/>
    <x v="783"/>
    <n v="549"/>
    <n v="-57"/>
    <x v="1227"/>
    <x v="1"/>
    <n v="512"/>
    <n v="-20"/>
    <x v="1"/>
  </r>
  <r>
    <n v="1301"/>
    <x v="4"/>
    <x v="80"/>
    <x v="10"/>
    <n v="2021"/>
    <x v="10"/>
    <x v="68"/>
    <n v="507"/>
    <n v="-24"/>
    <x v="1228"/>
    <x v="1"/>
    <n v="524"/>
    <n v="-41"/>
    <x v="1"/>
  </r>
  <r>
    <n v="1302"/>
    <x v="4"/>
    <x v="81"/>
    <x v="10"/>
    <n v="2021"/>
    <x v="10"/>
    <x v="659"/>
    <n v="635"/>
    <n v="17"/>
    <x v="1229"/>
    <x v="0"/>
    <n v="594"/>
    <n v="58"/>
    <x v="0"/>
  </r>
  <r>
    <n v="1303"/>
    <x v="4"/>
    <x v="82"/>
    <x v="10"/>
    <n v="2021"/>
    <x v="10"/>
    <x v="669"/>
    <n v="411"/>
    <n v="24"/>
    <x v="96"/>
    <x v="0"/>
    <n v="414"/>
    <n v="21"/>
    <x v="0"/>
  </r>
  <r>
    <n v="1304"/>
    <x v="5"/>
    <x v="83"/>
    <x v="10"/>
    <n v="2021"/>
    <x v="10"/>
    <x v="784"/>
    <n v="1006"/>
    <n v="-123"/>
    <x v="1230"/>
    <x v="1"/>
    <n v="964"/>
    <n v="-81"/>
    <x v="1"/>
  </r>
  <r>
    <n v="1305"/>
    <x v="5"/>
    <x v="84"/>
    <x v="10"/>
    <n v="2021"/>
    <x v="10"/>
    <x v="577"/>
    <n v="654"/>
    <n v="85"/>
    <x v="1231"/>
    <x v="0"/>
    <n v="622"/>
    <n v="117"/>
    <x v="0"/>
  </r>
  <r>
    <n v="1306"/>
    <x v="5"/>
    <x v="85"/>
    <x v="10"/>
    <n v="2021"/>
    <x v="10"/>
    <x v="785"/>
    <n v="455"/>
    <n v="13"/>
    <x v="1128"/>
    <x v="0"/>
    <n v="444"/>
    <n v="24"/>
    <x v="0"/>
  </r>
  <r>
    <n v="1307"/>
    <x v="5"/>
    <x v="86"/>
    <x v="10"/>
    <n v="2021"/>
    <x v="10"/>
    <x v="705"/>
    <n v="251"/>
    <n v="-31"/>
    <x v="1232"/>
    <x v="1"/>
    <n v="264"/>
    <n v="-44"/>
    <x v="1"/>
  </r>
  <r>
    <n v="1308"/>
    <x v="5"/>
    <x v="87"/>
    <x v="10"/>
    <n v="2021"/>
    <x v="10"/>
    <x v="123"/>
    <n v="166"/>
    <n v="-26"/>
    <x v="1233"/>
    <x v="1"/>
    <n v="169"/>
    <n v="-29"/>
    <x v="1"/>
  </r>
  <r>
    <n v="1309"/>
    <x v="5"/>
    <x v="88"/>
    <x v="10"/>
    <n v="2021"/>
    <x v="10"/>
    <x v="786"/>
    <n v="163"/>
    <n v="-9"/>
    <x v="1234"/>
    <x v="1"/>
    <n v="161"/>
    <n v="-7"/>
    <x v="1"/>
  </r>
  <r>
    <n v="1310"/>
    <x v="5"/>
    <x v="89"/>
    <x v="10"/>
    <n v="2021"/>
    <x v="10"/>
    <x v="98"/>
    <n v="183"/>
    <n v="30"/>
    <x v="1235"/>
    <x v="0"/>
    <n v="216"/>
    <n v="-3"/>
    <x v="1"/>
  </r>
  <r>
    <n v="1311"/>
    <x v="5"/>
    <x v="90"/>
    <x v="10"/>
    <n v="2021"/>
    <x v="10"/>
    <x v="376"/>
    <n v="193"/>
    <n v="25"/>
    <x v="1236"/>
    <x v="0"/>
    <n v="208"/>
    <n v="10"/>
    <x v="0"/>
  </r>
  <r>
    <n v="1312"/>
    <x v="5"/>
    <x v="91"/>
    <x v="10"/>
    <n v="2021"/>
    <x v="10"/>
    <x v="223"/>
    <n v="109"/>
    <n v="-3"/>
    <x v="1237"/>
    <x v="1"/>
    <n v="113"/>
    <n v="-7"/>
    <x v="1"/>
  </r>
  <r>
    <n v="1313"/>
    <x v="5"/>
    <x v="92"/>
    <x v="10"/>
    <n v="2021"/>
    <x v="10"/>
    <x v="219"/>
    <n v="293"/>
    <n v="7"/>
    <x v="1238"/>
    <x v="0"/>
    <n v="292"/>
    <n v="8"/>
    <x v="0"/>
  </r>
  <r>
    <n v="1314"/>
    <x v="5"/>
    <x v="93"/>
    <x v="10"/>
    <n v="2021"/>
    <x v="10"/>
    <x v="107"/>
    <n v="134"/>
    <n v="3"/>
    <x v="1239"/>
    <x v="0"/>
    <n v="157"/>
    <n v="-20"/>
    <x v="1"/>
  </r>
  <r>
    <n v="1315"/>
    <x v="5"/>
    <x v="94"/>
    <x v="10"/>
    <n v="2021"/>
    <x v="10"/>
    <x v="375"/>
    <n v="84"/>
    <n v="11"/>
    <x v="1240"/>
    <x v="0"/>
    <n v="94"/>
    <n v="1"/>
    <x v="0"/>
  </r>
  <r>
    <n v="1316"/>
    <x v="5"/>
    <x v="95"/>
    <x v="10"/>
    <n v="2021"/>
    <x v="10"/>
    <x v="744"/>
    <n v="157"/>
    <n v="36"/>
    <x v="1241"/>
    <x v="0"/>
    <n v="187"/>
    <n v="6"/>
    <x v="0"/>
  </r>
  <r>
    <n v="1317"/>
    <x v="5"/>
    <x v="96"/>
    <x v="10"/>
    <n v="2021"/>
    <x v="10"/>
    <x v="705"/>
    <n v="247"/>
    <n v="-27"/>
    <x v="1242"/>
    <x v="1"/>
    <n v="235"/>
    <n v="-15"/>
    <x v="1"/>
  </r>
  <r>
    <n v="1318"/>
    <x v="5"/>
    <x v="97"/>
    <x v="10"/>
    <n v="2021"/>
    <x v="10"/>
    <x v="527"/>
    <n v="182"/>
    <n v="8"/>
    <x v="1243"/>
    <x v="0"/>
    <n v="200"/>
    <n v="-10"/>
    <x v="1"/>
  </r>
  <r>
    <n v="1319"/>
    <x v="5"/>
    <x v="98"/>
    <x v="10"/>
    <n v="2021"/>
    <x v="10"/>
    <x v="200"/>
    <n v="135"/>
    <n v="-10"/>
    <x v="260"/>
    <x v="1"/>
    <n v="141"/>
    <n v="-16"/>
    <x v="1"/>
  </r>
  <r>
    <n v="1320"/>
    <x v="5"/>
    <x v="99"/>
    <x v="10"/>
    <n v="2021"/>
    <x v="10"/>
    <x v="100"/>
    <n v="159"/>
    <n v="-12"/>
    <x v="1244"/>
    <x v="1"/>
    <n v="162"/>
    <n v="-15"/>
    <x v="1"/>
  </r>
  <r>
    <n v="1321"/>
    <x v="5"/>
    <x v="100"/>
    <x v="10"/>
    <n v="2021"/>
    <x v="10"/>
    <x v="85"/>
    <n v="181"/>
    <n v="21"/>
    <x v="1245"/>
    <x v="0"/>
    <n v="196"/>
    <n v="6"/>
    <x v="0"/>
  </r>
  <r>
    <n v="1322"/>
    <x v="5"/>
    <x v="101"/>
    <x v="10"/>
    <n v="2021"/>
    <x v="10"/>
    <x v="119"/>
    <n v="106"/>
    <n v="2"/>
    <x v="1166"/>
    <x v="0"/>
    <n v="114"/>
    <n v="-6"/>
    <x v="1"/>
  </r>
  <r>
    <n v="1323"/>
    <x v="5"/>
    <x v="102"/>
    <x v="10"/>
    <n v="2021"/>
    <x v="10"/>
    <x v="701"/>
    <n v="120"/>
    <n v="-3"/>
    <x v="1086"/>
    <x v="1"/>
    <n v="135"/>
    <n v="-18"/>
    <x v="1"/>
  </r>
  <r>
    <n v="1324"/>
    <x v="5"/>
    <x v="103"/>
    <x v="10"/>
    <n v="2021"/>
    <x v="10"/>
    <x v="697"/>
    <n v="209"/>
    <n v="28"/>
    <x v="1246"/>
    <x v="0"/>
    <n v="216"/>
    <n v="21"/>
    <x v="0"/>
  </r>
  <r>
    <n v="1325"/>
    <x v="5"/>
    <x v="104"/>
    <x v="10"/>
    <n v="2021"/>
    <x v="10"/>
    <x v="458"/>
    <n v="111"/>
    <n v="9"/>
    <x v="630"/>
    <x v="0"/>
    <n v="133"/>
    <n v="-13"/>
    <x v="1"/>
  </r>
  <r>
    <n v="1326"/>
    <x v="5"/>
    <x v="105"/>
    <x v="10"/>
    <n v="2021"/>
    <x v="10"/>
    <x v="787"/>
    <n v="178"/>
    <n v="-23"/>
    <x v="1247"/>
    <x v="1"/>
    <n v="167"/>
    <n v="-12"/>
    <x v="1"/>
  </r>
  <r>
    <n v="1327"/>
    <x v="5"/>
    <x v="106"/>
    <x v="10"/>
    <n v="2021"/>
    <x v="10"/>
    <x v="788"/>
    <n v="57"/>
    <n v="-4"/>
    <x v="1248"/>
    <x v="1"/>
    <n v="69"/>
    <n v="-16"/>
    <x v="1"/>
  </r>
  <r>
    <n v="1328"/>
    <x v="6"/>
    <x v="107"/>
    <x v="10"/>
    <n v="2021"/>
    <x v="10"/>
    <x v="207"/>
    <n v="702"/>
    <n v="-54"/>
    <x v="1249"/>
    <x v="1"/>
    <n v="682"/>
    <n v="-34"/>
    <x v="1"/>
  </r>
  <r>
    <n v="1329"/>
    <x v="6"/>
    <x v="108"/>
    <x v="10"/>
    <n v="2021"/>
    <x v="10"/>
    <x v="687"/>
    <n v="584"/>
    <n v="11"/>
    <x v="1250"/>
    <x v="0"/>
    <n v="535"/>
    <n v="60"/>
    <x v="0"/>
  </r>
  <r>
    <n v="1330"/>
    <x v="6"/>
    <x v="109"/>
    <x v="10"/>
    <n v="2021"/>
    <x v="10"/>
    <x v="84"/>
    <n v="179"/>
    <n v="10"/>
    <x v="1251"/>
    <x v="0"/>
    <n v="195"/>
    <n v="-6"/>
    <x v="1"/>
  </r>
  <r>
    <n v="1331"/>
    <x v="6"/>
    <x v="110"/>
    <x v="10"/>
    <n v="2021"/>
    <x v="10"/>
    <x v="789"/>
    <n v="421"/>
    <n v="21"/>
    <x v="1252"/>
    <x v="0"/>
    <n v="444"/>
    <n v="-2"/>
    <x v="1"/>
  </r>
  <r>
    <n v="1332"/>
    <x v="6"/>
    <x v="111"/>
    <x v="10"/>
    <n v="2021"/>
    <x v="10"/>
    <x v="790"/>
    <n v="259"/>
    <n v="5"/>
    <x v="1253"/>
    <x v="0"/>
    <n v="272"/>
    <n v="-8"/>
    <x v="1"/>
  </r>
  <r>
    <n v="1333"/>
    <x v="6"/>
    <x v="112"/>
    <x v="10"/>
    <n v="2021"/>
    <x v="10"/>
    <x v="791"/>
    <n v="366"/>
    <n v="-20"/>
    <x v="1254"/>
    <x v="1"/>
    <n v="351"/>
    <n v="-5"/>
    <x v="1"/>
  </r>
  <r>
    <n v="1334"/>
    <x v="6"/>
    <x v="113"/>
    <x v="10"/>
    <n v="2021"/>
    <x v="10"/>
    <x v="212"/>
    <n v="135"/>
    <n v="14"/>
    <x v="1255"/>
    <x v="0"/>
    <n v="144"/>
    <n v="5"/>
    <x v="0"/>
  </r>
  <r>
    <n v="1335"/>
    <x v="6"/>
    <x v="114"/>
    <x v="10"/>
    <n v="2021"/>
    <x v="10"/>
    <x v="372"/>
    <n v="263"/>
    <n v="-18"/>
    <x v="1256"/>
    <x v="1"/>
    <n v="223"/>
    <n v="22"/>
    <x v="0"/>
  </r>
  <r>
    <n v="1336"/>
    <x v="6"/>
    <x v="115"/>
    <x v="10"/>
    <n v="2021"/>
    <x v="10"/>
    <x v="95"/>
    <n v="186"/>
    <n v="-11"/>
    <x v="1257"/>
    <x v="1"/>
    <n v="218"/>
    <n v="-43"/>
    <x v="1"/>
  </r>
  <r>
    <n v="1337"/>
    <x v="6"/>
    <x v="116"/>
    <x v="10"/>
    <n v="2021"/>
    <x v="10"/>
    <x v="92"/>
    <n v="184"/>
    <n v="0"/>
    <x v="3"/>
    <x v="0"/>
    <n v="177"/>
    <n v="7"/>
    <x v="0"/>
  </r>
  <r>
    <n v="1338"/>
    <x v="6"/>
    <x v="117"/>
    <x v="10"/>
    <n v="2021"/>
    <x v="10"/>
    <x v="311"/>
    <n v="110"/>
    <n v="5"/>
    <x v="1062"/>
    <x v="0"/>
    <n v="111"/>
    <n v="4"/>
    <x v="0"/>
  </r>
  <r>
    <n v="1339"/>
    <x v="6"/>
    <x v="118"/>
    <x v="10"/>
    <n v="2021"/>
    <x v="10"/>
    <x v="202"/>
    <n v="181"/>
    <n v="18"/>
    <x v="1258"/>
    <x v="0"/>
    <n v="188"/>
    <n v="11"/>
    <x v="0"/>
  </r>
  <r>
    <n v="1340"/>
    <x v="6"/>
    <x v="119"/>
    <x v="10"/>
    <n v="2021"/>
    <x v="10"/>
    <x v="458"/>
    <n v="121"/>
    <n v="-1"/>
    <x v="1259"/>
    <x v="1"/>
    <n v="131"/>
    <n v="-11"/>
    <x v="1"/>
  </r>
  <r>
    <n v="1341"/>
    <x v="6"/>
    <x v="120"/>
    <x v="10"/>
    <n v="2021"/>
    <x v="10"/>
    <x v="645"/>
    <n v="265"/>
    <n v="21"/>
    <x v="1260"/>
    <x v="0"/>
    <n v="292"/>
    <n v="-6"/>
    <x v="1"/>
  </r>
  <r>
    <n v="1342"/>
    <x v="6"/>
    <x v="121"/>
    <x v="10"/>
    <n v="2021"/>
    <x v="10"/>
    <x v="792"/>
    <n v="305"/>
    <n v="14"/>
    <x v="1261"/>
    <x v="0"/>
    <n v="269"/>
    <n v="50"/>
    <x v="0"/>
  </r>
  <r>
    <n v="1343"/>
    <x v="0"/>
    <x v="0"/>
    <x v="11"/>
    <n v="2021"/>
    <x v="11"/>
    <x v="426"/>
    <n v="1370"/>
    <n v="108"/>
    <x v="1262"/>
    <x v="0"/>
    <n v="362"/>
    <n v="1116"/>
    <x v="0"/>
  </r>
  <r>
    <n v="1344"/>
    <x v="0"/>
    <x v="1"/>
    <x v="11"/>
    <n v="2021"/>
    <x v="11"/>
    <x v="134"/>
    <n v="729"/>
    <n v="-55"/>
    <x v="1263"/>
    <x v="1"/>
    <n v="168"/>
    <n v="506"/>
    <x v="0"/>
  </r>
  <r>
    <n v="1345"/>
    <x v="0"/>
    <x v="2"/>
    <x v="11"/>
    <n v="2021"/>
    <x v="11"/>
    <x v="793"/>
    <n v="837"/>
    <n v="151"/>
    <x v="1264"/>
    <x v="0"/>
    <n v="252"/>
    <n v="736"/>
    <x v="0"/>
  </r>
  <r>
    <n v="1346"/>
    <x v="0"/>
    <x v="3"/>
    <x v="11"/>
    <n v="2021"/>
    <x v="11"/>
    <x v="99"/>
    <n v="111"/>
    <n v="-6"/>
    <x v="1265"/>
    <x v="1"/>
    <n v="164"/>
    <n v="-59"/>
    <x v="1"/>
  </r>
  <r>
    <n v="1347"/>
    <x v="0"/>
    <x v="4"/>
    <x v="11"/>
    <n v="2021"/>
    <x v="11"/>
    <x v="794"/>
    <n v="1344"/>
    <n v="-56"/>
    <x v="240"/>
    <x v="1"/>
    <n v="47"/>
    <n v="1241"/>
    <x v="0"/>
  </r>
  <r>
    <n v="1348"/>
    <x v="0"/>
    <x v="5"/>
    <x v="11"/>
    <n v="2021"/>
    <x v="11"/>
    <x v="145"/>
    <n v="621"/>
    <n v="-42"/>
    <x v="1266"/>
    <x v="1"/>
    <n v="55"/>
    <n v="524"/>
    <x v="0"/>
  </r>
  <r>
    <n v="1349"/>
    <x v="0"/>
    <x v="6"/>
    <x v="11"/>
    <n v="2021"/>
    <x v="11"/>
    <x v="795"/>
    <n v="1152"/>
    <n v="-99"/>
    <x v="1267"/>
    <x v="1"/>
    <n v="159"/>
    <n v="894"/>
    <x v="0"/>
  </r>
  <r>
    <n v="1350"/>
    <x v="0"/>
    <x v="7"/>
    <x v="11"/>
    <n v="2021"/>
    <x v="11"/>
    <x v="408"/>
    <n v="988"/>
    <n v="-28"/>
    <x v="1268"/>
    <x v="1"/>
    <n v="118"/>
    <n v="842"/>
    <x v="0"/>
  </r>
  <r>
    <n v="1351"/>
    <x v="0"/>
    <x v="8"/>
    <x v="11"/>
    <n v="2021"/>
    <x v="11"/>
    <x v="444"/>
    <n v="180"/>
    <n v="-30"/>
    <x v="1269"/>
    <x v="1"/>
    <n v="119"/>
    <n v="31"/>
    <x v="0"/>
  </r>
  <r>
    <n v="1352"/>
    <x v="0"/>
    <x v="9"/>
    <x v="11"/>
    <n v="2021"/>
    <x v="11"/>
    <x v="159"/>
    <n v="610"/>
    <n v="-108"/>
    <x v="1270"/>
    <x v="1"/>
    <n v="128"/>
    <n v="374"/>
    <x v="0"/>
  </r>
  <r>
    <n v="1353"/>
    <x v="0"/>
    <x v="10"/>
    <x v="11"/>
    <n v="2021"/>
    <x v="11"/>
    <x v="5"/>
    <n v="516"/>
    <n v="5"/>
    <x v="1271"/>
    <x v="0"/>
    <n v="248"/>
    <n v="273"/>
    <x v="0"/>
  </r>
  <r>
    <n v="1354"/>
    <x v="0"/>
    <x v="11"/>
    <x v="11"/>
    <n v="2021"/>
    <x v="11"/>
    <x v="488"/>
    <n v="561"/>
    <n v="-5"/>
    <x v="1272"/>
    <x v="1"/>
    <n v="278"/>
    <n v="278"/>
    <x v="0"/>
  </r>
  <r>
    <n v="1355"/>
    <x v="0"/>
    <x v="12"/>
    <x v="11"/>
    <n v="2021"/>
    <x v="11"/>
    <x v="796"/>
    <n v="328"/>
    <n v="19"/>
    <x v="1273"/>
    <x v="0"/>
    <n v="231"/>
    <n v="116"/>
    <x v="0"/>
  </r>
  <r>
    <n v="1356"/>
    <x v="0"/>
    <x v="13"/>
    <x v="11"/>
    <n v="2021"/>
    <x v="11"/>
    <x v="294"/>
    <n v="157"/>
    <n v="5"/>
    <x v="1274"/>
    <x v="0"/>
    <n v="161"/>
    <n v="1"/>
    <x v="0"/>
  </r>
  <r>
    <n v="1357"/>
    <x v="0"/>
    <x v="14"/>
    <x v="11"/>
    <n v="2021"/>
    <x v="11"/>
    <x v="797"/>
    <n v="527"/>
    <n v="98"/>
    <x v="1275"/>
    <x v="0"/>
    <n v="46"/>
    <n v="579"/>
    <x v="0"/>
  </r>
  <r>
    <n v="1358"/>
    <x v="0"/>
    <x v="15"/>
    <x v="11"/>
    <n v="2021"/>
    <x v="11"/>
    <x v="538"/>
    <n v="560"/>
    <n v="-3"/>
    <x v="1276"/>
    <x v="1"/>
    <n v="133"/>
    <n v="424"/>
    <x v="0"/>
  </r>
  <r>
    <n v="1359"/>
    <x v="0"/>
    <x v="16"/>
    <x v="11"/>
    <n v="2021"/>
    <x v="11"/>
    <x v="214"/>
    <n v="161"/>
    <n v="16"/>
    <x v="1277"/>
    <x v="0"/>
    <n v="151"/>
    <n v="26"/>
    <x v="0"/>
  </r>
  <r>
    <n v="1360"/>
    <x v="0"/>
    <x v="17"/>
    <x v="11"/>
    <n v="2021"/>
    <x v="11"/>
    <x v="399"/>
    <n v="79"/>
    <n v="-4"/>
    <x v="1278"/>
    <x v="1"/>
    <n v="127"/>
    <n v="-52"/>
    <x v="1"/>
  </r>
  <r>
    <n v="1361"/>
    <x v="0"/>
    <x v="18"/>
    <x v="11"/>
    <n v="2021"/>
    <x v="11"/>
    <x v="396"/>
    <n v="595"/>
    <n v="8"/>
    <x v="1279"/>
    <x v="0"/>
    <n v="183"/>
    <n v="420"/>
    <x v="0"/>
  </r>
  <r>
    <n v="1362"/>
    <x v="1"/>
    <x v="19"/>
    <x v="11"/>
    <n v="2021"/>
    <x v="11"/>
    <x v="691"/>
    <n v="690"/>
    <n v="14"/>
    <x v="1280"/>
    <x v="0"/>
    <n v="308"/>
    <n v="396"/>
    <x v="0"/>
  </r>
  <r>
    <n v="1363"/>
    <x v="1"/>
    <x v="20"/>
    <x v="11"/>
    <n v="2021"/>
    <x v="11"/>
    <x v="798"/>
    <n v="1098"/>
    <n v="-168"/>
    <x v="1281"/>
    <x v="1"/>
    <n v="311"/>
    <n v="619"/>
    <x v="0"/>
  </r>
  <r>
    <n v="1364"/>
    <x v="1"/>
    <x v="21"/>
    <x v="11"/>
    <n v="2021"/>
    <x v="11"/>
    <x v="270"/>
    <n v="738"/>
    <n v="-48"/>
    <x v="1282"/>
    <x v="1"/>
    <n v="147"/>
    <n v="543"/>
    <x v="0"/>
  </r>
  <r>
    <n v="1365"/>
    <x v="1"/>
    <x v="22"/>
    <x v="11"/>
    <n v="2021"/>
    <x v="11"/>
    <x v="768"/>
    <n v="1273"/>
    <n v="-3"/>
    <x v="1283"/>
    <x v="1"/>
    <n v="208"/>
    <n v="1062"/>
    <x v="0"/>
  </r>
  <r>
    <n v="1366"/>
    <x v="1"/>
    <x v="23"/>
    <x v="11"/>
    <n v="2021"/>
    <x v="11"/>
    <x v="121"/>
    <n v="1004"/>
    <n v="117"/>
    <x v="1284"/>
    <x v="0"/>
    <n v="121"/>
    <n v="1000"/>
    <x v="0"/>
  </r>
  <r>
    <n v="1367"/>
    <x v="1"/>
    <x v="24"/>
    <x v="11"/>
    <n v="2021"/>
    <x v="11"/>
    <x v="242"/>
    <n v="22"/>
    <n v="3"/>
    <x v="706"/>
    <x v="0"/>
    <n v="147"/>
    <n v="-122"/>
    <x v="1"/>
  </r>
  <r>
    <n v="1368"/>
    <x v="2"/>
    <x v="25"/>
    <x v="11"/>
    <n v="2021"/>
    <x v="11"/>
    <x v="349"/>
    <n v="1322"/>
    <n v="-557"/>
    <x v="1285"/>
    <x v="1"/>
    <n v="186"/>
    <n v="579"/>
    <x v="0"/>
  </r>
  <r>
    <n v="1369"/>
    <x v="2"/>
    <x v="26"/>
    <x v="11"/>
    <n v="2021"/>
    <x v="11"/>
    <x v="586"/>
    <n v="635"/>
    <n v="60"/>
    <x v="1286"/>
    <x v="0"/>
    <n v="91"/>
    <n v="604"/>
    <x v="0"/>
  </r>
  <r>
    <n v="1370"/>
    <x v="3"/>
    <x v="27"/>
    <x v="11"/>
    <n v="2021"/>
    <x v="11"/>
    <x v="799"/>
    <n v="1034"/>
    <n v="-66"/>
    <x v="1287"/>
    <x v="1"/>
    <n v="71"/>
    <n v="897"/>
    <x v="0"/>
  </r>
  <r>
    <n v="1371"/>
    <x v="3"/>
    <x v="28"/>
    <x v="11"/>
    <n v="2021"/>
    <x v="11"/>
    <x v="800"/>
    <n v="1658"/>
    <n v="-264"/>
    <x v="1288"/>
    <x v="1"/>
    <n v="199"/>
    <n v="1195"/>
    <x v="0"/>
  </r>
  <r>
    <n v="1372"/>
    <x v="3"/>
    <x v="29"/>
    <x v="11"/>
    <n v="2021"/>
    <x v="11"/>
    <x v="801"/>
    <n v="1389"/>
    <n v="-30"/>
    <x v="1289"/>
    <x v="1"/>
    <n v="339"/>
    <n v="1020"/>
    <x v="0"/>
  </r>
  <r>
    <n v="1373"/>
    <x v="3"/>
    <x v="30"/>
    <x v="11"/>
    <n v="2021"/>
    <x v="11"/>
    <x v="802"/>
    <n v="1612"/>
    <n v="44"/>
    <x v="1290"/>
    <x v="0"/>
    <n v="44"/>
    <n v="1612"/>
    <x v="0"/>
  </r>
  <r>
    <n v="1374"/>
    <x v="3"/>
    <x v="31"/>
    <x v="11"/>
    <n v="2021"/>
    <x v="11"/>
    <x v="803"/>
    <n v="1553"/>
    <n v="36"/>
    <x v="1291"/>
    <x v="0"/>
    <n v="201"/>
    <n v="1388"/>
    <x v="0"/>
  </r>
  <r>
    <n v="1375"/>
    <x v="3"/>
    <x v="32"/>
    <x v="11"/>
    <n v="2021"/>
    <x v="11"/>
    <x v="804"/>
    <n v="508"/>
    <n v="-42"/>
    <x v="1292"/>
    <x v="1"/>
    <n v="155"/>
    <n v="311"/>
    <x v="0"/>
  </r>
  <r>
    <n v="1376"/>
    <x v="3"/>
    <x v="33"/>
    <x v="11"/>
    <n v="2021"/>
    <x v="11"/>
    <x v="159"/>
    <n v="555"/>
    <n v="-53"/>
    <x v="1293"/>
    <x v="1"/>
    <n v="92"/>
    <n v="410"/>
    <x v="0"/>
  </r>
  <r>
    <n v="1377"/>
    <x v="3"/>
    <x v="34"/>
    <x v="11"/>
    <n v="2021"/>
    <x v="11"/>
    <x v="273"/>
    <n v="689"/>
    <n v="-70"/>
    <x v="1294"/>
    <x v="1"/>
    <n v="161"/>
    <n v="458"/>
    <x v="0"/>
  </r>
  <r>
    <n v="1378"/>
    <x v="3"/>
    <x v="35"/>
    <x v="11"/>
    <n v="2021"/>
    <x v="11"/>
    <x v="513"/>
    <n v="914"/>
    <n v="10"/>
    <x v="1295"/>
    <x v="0"/>
    <n v="62"/>
    <n v="862"/>
    <x v="0"/>
  </r>
  <r>
    <n v="1379"/>
    <x v="2"/>
    <x v="36"/>
    <x v="11"/>
    <n v="2021"/>
    <x v="11"/>
    <x v="805"/>
    <n v="397"/>
    <n v="49"/>
    <x v="1296"/>
    <x v="0"/>
    <n v="61"/>
    <n v="385"/>
    <x v="0"/>
  </r>
  <r>
    <n v="1380"/>
    <x v="2"/>
    <x v="37"/>
    <x v="11"/>
    <n v="2021"/>
    <x v="11"/>
    <x v="36"/>
    <n v="639"/>
    <n v="-45"/>
    <x v="1297"/>
    <x v="1"/>
    <n v="89"/>
    <n v="505"/>
    <x v="0"/>
  </r>
  <r>
    <n v="1381"/>
    <x v="2"/>
    <x v="38"/>
    <x v="11"/>
    <n v="2021"/>
    <x v="11"/>
    <x v="806"/>
    <n v="1156"/>
    <n v="-231"/>
    <x v="1298"/>
    <x v="1"/>
    <n v="46"/>
    <n v="879"/>
    <x v="0"/>
  </r>
  <r>
    <n v="1382"/>
    <x v="2"/>
    <x v="39"/>
    <x v="11"/>
    <n v="2021"/>
    <x v="11"/>
    <x v="703"/>
    <n v="278"/>
    <n v="-26"/>
    <x v="1299"/>
    <x v="1"/>
    <n v="40"/>
    <n v="212"/>
    <x v="0"/>
  </r>
  <r>
    <n v="1383"/>
    <x v="3"/>
    <x v="40"/>
    <x v="11"/>
    <n v="2021"/>
    <x v="11"/>
    <x v="807"/>
    <n v="139"/>
    <n v="-9"/>
    <x v="1300"/>
    <x v="1"/>
    <n v="47"/>
    <n v="83"/>
    <x v="0"/>
  </r>
  <r>
    <n v="1384"/>
    <x v="3"/>
    <x v="41"/>
    <x v="11"/>
    <n v="2021"/>
    <x v="11"/>
    <x v="808"/>
    <n v="1882"/>
    <n v="-92"/>
    <x v="1301"/>
    <x v="1"/>
    <n v="197"/>
    <n v="1593"/>
    <x v="0"/>
  </r>
  <r>
    <n v="1385"/>
    <x v="3"/>
    <x v="42"/>
    <x v="11"/>
    <n v="2021"/>
    <x v="11"/>
    <x v="318"/>
    <n v="993"/>
    <n v="-82"/>
    <x v="1302"/>
    <x v="1"/>
    <n v="127"/>
    <n v="784"/>
    <x v="0"/>
  </r>
  <r>
    <n v="1386"/>
    <x v="3"/>
    <x v="43"/>
    <x v="11"/>
    <n v="2021"/>
    <x v="11"/>
    <x v="192"/>
    <n v="224"/>
    <n v="9"/>
    <x v="1303"/>
    <x v="0"/>
    <n v="163"/>
    <n v="70"/>
    <x v="0"/>
  </r>
  <r>
    <n v="1387"/>
    <x v="3"/>
    <x v="44"/>
    <x v="11"/>
    <n v="2021"/>
    <x v="11"/>
    <x v="391"/>
    <n v="1453"/>
    <n v="-135"/>
    <x v="1304"/>
    <x v="1"/>
    <n v="135"/>
    <n v="1183"/>
    <x v="0"/>
  </r>
  <r>
    <n v="1388"/>
    <x v="3"/>
    <x v="45"/>
    <x v="11"/>
    <n v="2021"/>
    <x v="11"/>
    <x v="283"/>
    <n v="930"/>
    <n v="59"/>
    <x v="1305"/>
    <x v="0"/>
    <n v="116"/>
    <n v="873"/>
    <x v="0"/>
  </r>
  <r>
    <n v="1389"/>
    <x v="3"/>
    <x v="46"/>
    <x v="11"/>
    <n v="2021"/>
    <x v="11"/>
    <x v="569"/>
    <n v="605"/>
    <n v="-69"/>
    <x v="1306"/>
    <x v="1"/>
    <n v="142"/>
    <n v="394"/>
    <x v="0"/>
  </r>
  <r>
    <n v="1390"/>
    <x v="3"/>
    <x v="47"/>
    <x v="11"/>
    <n v="2021"/>
    <x v="11"/>
    <x v="340"/>
    <n v="570"/>
    <n v="-29"/>
    <x v="1307"/>
    <x v="1"/>
    <n v="129"/>
    <n v="412"/>
    <x v="0"/>
  </r>
  <r>
    <n v="1391"/>
    <x v="3"/>
    <x v="48"/>
    <x v="11"/>
    <n v="2021"/>
    <x v="11"/>
    <x v="314"/>
    <n v="536"/>
    <n v="29"/>
    <x v="1308"/>
    <x v="0"/>
    <n v="132"/>
    <n v="433"/>
    <x v="0"/>
  </r>
  <r>
    <n v="1392"/>
    <x v="3"/>
    <x v="49"/>
    <x v="11"/>
    <n v="2021"/>
    <x v="11"/>
    <x v="809"/>
    <n v="707"/>
    <n v="-71"/>
    <x v="1309"/>
    <x v="1"/>
    <n v="131"/>
    <n v="505"/>
    <x v="0"/>
  </r>
  <r>
    <n v="1393"/>
    <x v="3"/>
    <x v="50"/>
    <x v="11"/>
    <n v="2021"/>
    <x v="11"/>
    <x v="810"/>
    <n v="408"/>
    <n v="-55"/>
    <x v="1310"/>
    <x v="1"/>
    <n v="75"/>
    <n v="278"/>
    <x v="0"/>
  </r>
  <r>
    <n v="1394"/>
    <x v="3"/>
    <x v="51"/>
    <x v="11"/>
    <n v="2021"/>
    <x v="11"/>
    <x v="264"/>
    <n v="103"/>
    <n v="-10"/>
    <x v="1311"/>
    <x v="1"/>
    <n v="77"/>
    <n v="16"/>
    <x v="0"/>
  </r>
  <r>
    <n v="1395"/>
    <x v="4"/>
    <x v="52"/>
    <x v="11"/>
    <n v="2021"/>
    <x v="11"/>
    <x v="73"/>
    <n v="716"/>
    <n v="-17"/>
    <x v="1312"/>
    <x v="1"/>
    <n v="67"/>
    <n v="632"/>
    <x v="0"/>
  </r>
  <r>
    <n v="1396"/>
    <x v="4"/>
    <x v="53"/>
    <x v="11"/>
    <n v="2021"/>
    <x v="11"/>
    <x v="128"/>
    <n v="142"/>
    <n v="24"/>
    <x v="1313"/>
    <x v="0"/>
    <n v="91"/>
    <n v="75"/>
    <x v="0"/>
  </r>
  <r>
    <n v="1397"/>
    <x v="4"/>
    <x v="54"/>
    <x v="11"/>
    <n v="2021"/>
    <x v="11"/>
    <x v="377"/>
    <n v="157"/>
    <n v="-1"/>
    <x v="1314"/>
    <x v="1"/>
    <n v="117"/>
    <n v="39"/>
    <x v="0"/>
  </r>
  <r>
    <n v="1398"/>
    <x v="4"/>
    <x v="55"/>
    <x v="11"/>
    <n v="2021"/>
    <x v="11"/>
    <x v="327"/>
    <n v="522"/>
    <n v="-58"/>
    <x v="1124"/>
    <x v="1"/>
    <n v="75"/>
    <n v="389"/>
    <x v="0"/>
  </r>
  <r>
    <n v="1399"/>
    <x v="4"/>
    <x v="56"/>
    <x v="11"/>
    <n v="2021"/>
    <x v="11"/>
    <x v="811"/>
    <n v="703"/>
    <n v="-12"/>
    <x v="1315"/>
    <x v="1"/>
    <n v="78"/>
    <n v="613"/>
    <x v="0"/>
  </r>
  <r>
    <n v="1400"/>
    <x v="4"/>
    <x v="57"/>
    <x v="11"/>
    <n v="2021"/>
    <x v="11"/>
    <x v="54"/>
    <n v="212"/>
    <n v="-14"/>
    <x v="1316"/>
    <x v="1"/>
    <n v="169"/>
    <n v="29"/>
    <x v="0"/>
  </r>
  <r>
    <n v="1401"/>
    <x v="4"/>
    <x v="58"/>
    <x v="11"/>
    <n v="2021"/>
    <x v="11"/>
    <x v="354"/>
    <n v="1050"/>
    <n v="14"/>
    <x v="1317"/>
    <x v="0"/>
    <n v="120"/>
    <n v="944"/>
    <x v="0"/>
  </r>
  <r>
    <n v="1402"/>
    <x v="4"/>
    <x v="59"/>
    <x v="11"/>
    <n v="2021"/>
    <x v="11"/>
    <x v="812"/>
    <n v="759"/>
    <n v="-23"/>
    <x v="1318"/>
    <x v="1"/>
    <n v="163"/>
    <n v="573"/>
    <x v="0"/>
  </r>
  <r>
    <n v="1403"/>
    <x v="4"/>
    <x v="60"/>
    <x v="11"/>
    <n v="2021"/>
    <x v="11"/>
    <x v="813"/>
    <n v="1552"/>
    <n v="146"/>
    <x v="1319"/>
    <x v="0"/>
    <n v="98"/>
    <n v="1600"/>
    <x v="0"/>
  </r>
  <r>
    <n v="1404"/>
    <x v="4"/>
    <x v="61"/>
    <x v="11"/>
    <n v="2021"/>
    <x v="11"/>
    <x v="814"/>
    <n v="1547"/>
    <n v="-170"/>
    <x v="1320"/>
    <x v="1"/>
    <n v="163"/>
    <n v="1214"/>
    <x v="0"/>
  </r>
  <r>
    <n v="1405"/>
    <x v="4"/>
    <x v="62"/>
    <x v="11"/>
    <n v="2021"/>
    <x v="11"/>
    <x v="229"/>
    <n v="510"/>
    <n v="20"/>
    <x v="1321"/>
    <x v="0"/>
    <n v="102"/>
    <n v="428"/>
    <x v="0"/>
  </r>
  <r>
    <n v="1406"/>
    <x v="4"/>
    <x v="63"/>
    <x v="11"/>
    <n v="2021"/>
    <x v="11"/>
    <x v="422"/>
    <n v="541"/>
    <n v="-51"/>
    <x v="1322"/>
    <x v="1"/>
    <n v="75"/>
    <n v="415"/>
    <x v="0"/>
  </r>
  <r>
    <n v="1407"/>
    <x v="4"/>
    <x v="64"/>
    <x v="11"/>
    <n v="2021"/>
    <x v="11"/>
    <x v="126"/>
    <n v="531"/>
    <n v="28"/>
    <x v="1323"/>
    <x v="0"/>
    <n v="138"/>
    <n v="421"/>
    <x v="0"/>
  </r>
  <r>
    <n v="1408"/>
    <x v="4"/>
    <x v="65"/>
    <x v="11"/>
    <n v="2021"/>
    <x v="11"/>
    <x v="815"/>
    <n v="1117"/>
    <n v="-49"/>
    <x v="1324"/>
    <x v="1"/>
    <n v="98"/>
    <n v="970"/>
    <x v="0"/>
  </r>
  <r>
    <n v="1409"/>
    <x v="4"/>
    <x v="66"/>
    <x v="11"/>
    <n v="2021"/>
    <x v="11"/>
    <x v="816"/>
    <n v="1084"/>
    <n v="-130"/>
    <x v="1325"/>
    <x v="1"/>
    <n v="178"/>
    <n v="776"/>
    <x v="0"/>
  </r>
  <r>
    <n v="1410"/>
    <x v="4"/>
    <x v="67"/>
    <x v="11"/>
    <n v="2021"/>
    <x v="11"/>
    <x v="812"/>
    <n v="710"/>
    <n v="26"/>
    <x v="1326"/>
    <x v="0"/>
    <n v="96"/>
    <n v="640"/>
    <x v="0"/>
  </r>
  <r>
    <n v="1411"/>
    <x v="4"/>
    <x v="68"/>
    <x v="11"/>
    <n v="2021"/>
    <x v="11"/>
    <x v="680"/>
    <n v="579"/>
    <n v="-46"/>
    <x v="1327"/>
    <x v="1"/>
    <n v="102"/>
    <n v="431"/>
    <x v="0"/>
  </r>
  <r>
    <n v="1412"/>
    <x v="4"/>
    <x v="69"/>
    <x v="11"/>
    <n v="2021"/>
    <x v="11"/>
    <x v="817"/>
    <n v="319"/>
    <n v="-9"/>
    <x v="1328"/>
    <x v="1"/>
    <n v="73"/>
    <n v="237"/>
    <x v="0"/>
  </r>
  <r>
    <n v="1413"/>
    <x v="4"/>
    <x v="70"/>
    <x v="11"/>
    <n v="2021"/>
    <x v="11"/>
    <x v="632"/>
    <n v="761"/>
    <n v="92"/>
    <x v="1329"/>
    <x v="0"/>
    <n v="22"/>
    <n v="831"/>
    <x v="0"/>
  </r>
  <r>
    <n v="1414"/>
    <x v="4"/>
    <x v="71"/>
    <x v="11"/>
    <n v="2021"/>
    <x v="11"/>
    <x v="47"/>
    <n v="644"/>
    <n v="-38"/>
    <x v="1330"/>
    <x v="1"/>
    <n v="60"/>
    <n v="546"/>
    <x v="0"/>
  </r>
  <r>
    <n v="1415"/>
    <x v="4"/>
    <x v="72"/>
    <x v="11"/>
    <n v="2021"/>
    <x v="11"/>
    <x v="64"/>
    <n v="559"/>
    <n v="-59"/>
    <x v="1331"/>
    <x v="1"/>
    <n v="40"/>
    <n v="460"/>
    <x v="0"/>
  </r>
  <r>
    <n v="1416"/>
    <x v="4"/>
    <x v="73"/>
    <x v="11"/>
    <n v="2021"/>
    <x v="11"/>
    <x v="818"/>
    <n v="932"/>
    <n v="-4"/>
    <x v="1332"/>
    <x v="1"/>
    <n v="67"/>
    <n v="861"/>
    <x v="0"/>
  </r>
  <r>
    <n v="1417"/>
    <x v="4"/>
    <x v="74"/>
    <x v="11"/>
    <n v="2021"/>
    <x v="11"/>
    <x v="708"/>
    <n v="1138"/>
    <n v="-51"/>
    <x v="1333"/>
    <x v="1"/>
    <n v="33"/>
    <n v="1054"/>
    <x v="0"/>
  </r>
  <r>
    <n v="1418"/>
    <x v="4"/>
    <x v="75"/>
    <x v="11"/>
    <n v="2021"/>
    <x v="11"/>
    <x v="819"/>
    <n v="660"/>
    <n v="60"/>
    <x v="744"/>
    <x v="0"/>
    <n v="152"/>
    <n v="568"/>
    <x v="0"/>
  </r>
  <r>
    <n v="1419"/>
    <x v="4"/>
    <x v="76"/>
    <x v="11"/>
    <n v="2021"/>
    <x v="11"/>
    <x v="752"/>
    <n v="873"/>
    <n v="-90"/>
    <x v="1334"/>
    <x v="1"/>
    <n v="114"/>
    <n v="669"/>
    <x v="0"/>
  </r>
  <r>
    <n v="1420"/>
    <x v="4"/>
    <x v="77"/>
    <x v="11"/>
    <n v="2021"/>
    <x v="11"/>
    <x v="287"/>
    <n v="724"/>
    <n v="113"/>
    <x v="1335"/>
    <x v="0"/>
    <n v="65"/>
    <n v="772"/>
    <x v="0"/>
  </r>
  <r>
    <n v="1421"/>
    <x v="4"/>
    <x v="78"/>
    <x v="11"/>
    <n v="2021"/>
    <x v="11"/>
    <x v="820"/>
    <n v="1044"/>
    <n v="-166"/>
    <x v="1336"/>
    <x v="1"/>
    <n v="864"/>
    <n v="14"/>
    <x v="0"/>
  </r>
  <r>
    <n v="1422"/>
    <x v="4"/>
    <x v="79"/>
    <x v="11"/>
    <n v="2021"/>
    <x v="11"/>
    <x v="289"/>
    <n v="549"/>
    <n v="15"/>
    <x v="1337"/>
    <x v="0"/>
    <n v="516"/>
    <n v="48"/>
    <x v="0"/>
  </r>
  <r>
    <n v="1423"/>
    <x v="4"/>
    <x v="80"/>
    <x v="11"/>
    <n v="2021"/>
    <x v="11"/>
    <x v="821"/>
    <n v="512"/>
    <n v="-11"/>
    <x v="1338"/>
    <x v="1"/>
    <n v="527"/>
    <n v="-26"/>
    <x v="1"/>
  </r>
  <r>
    <n v="1424"/>
    <x v="4"/>
    <x v="81"/>
    <x v="11"/>
    <n v="2021"/>
    <x v="11"/>
    <x v="606"/>
    <n v="654"/>
    <n v="40"/>
    <x v="1339"/>
    <x v="0"/>
    <n v="600"/>
    <n v="94"/>
    <x v="0"/>
  </r>
  <r>
    <n v="1425"/>
    <x v="4"/>
    <x v="82"/>
    <x v="11"/>
    <n v="2021"/>
    <x v="11"/>
    <x v="512"/>
    <n v="411"/>
    <n v="45"/>
    <x v="1340"/>
    <x v="0"/>
    <n v="416"/>
    <n v="40"/>
    <x v="0"/>
  </r>
  <r>
    <n v="1426"/>
    <x v="5"/>
    <x v="83"/>
    <x v="11"/>
    <n v="2021"/>
    <x v="11"/>
    <x v="822"/>
    <n v="1016"/>
    <n v="-116"/>
    <x v="1341"/>
    <x v="1"/>
    <n v="968"/>
    <n v="-68"/>
    <x v="1"/>
  </r>
  <r>
    <n v="1427"/>
    <x v="5"/>
    <x v="84"/>
    <x v="11"/>
    <n v="2021"/>
    <x v="11"/>
    <x v="559"/>
    <n v="673"/>
    <n v="-19"/>
    <x v="1342"/>
    <x v="1"/>
    <n v="623"/>
    <n v="31"/>
    <x v="0"/>
  </r>
  <r>
    <n v="1428"/>
    <x v="5"/>
    <x v="85"/>
    <x v="11"/>
    <n v="2021"/>
    <x v="11"/>
    <x v="823"/>
    <n v="464"/>
    <n v="-45"/>
    <x v="1343"/>
    <x v="1"/>
    <n v="444"/>
    <n v="-25"/>
    <x v="1"/>
  </r>
  <r>
    <n v="1429"/>
    <x v="5"/>
    <x v="86"/>
    <x v="11"/>
    <n v="2021"/>
    <x v="11"/>
    <x v="824"/>
    <n v="256"/>
    <n v="-7"/>
    <x v="1344"/>
    <x v="1"/>
    <n v="269"/>
    <n v="-20"/>
    <x v="1"/>
  </r>
  <r>
    <n v="1430"/>
    <x v="5"/>
    <x v="87"/>
    <x v="11"/>
    <n v="2021"/>
    <x v="11"/>
    <x v="123"/>
    <n v="166"/>
    <n v="-26"/>
    <x v="1233"/>
    <x v="1"/>
    <n v="169"/>
    <n v="-29"/>
    <x v="1"/>
  </r>
  <r>
    <n v="1431"/>
    <x v="5"/>
    <x v="88"/>
    <x v="11"/>
    <n v="2021"/>
    <x v="11"/>
    <x v="51"/>
    <n v="166"/>
    <n v="-20"/>
    <x v="1345"/>
    <x v="1"/>
    <n v="162"/>
    <n v="-16"/>
    <x v="1"/>
  </r>
  <r>
    <n v="1432"/>
    <x v="5"/>
    <x v="89"/>
    <x v="11"/>
    <n v="2021"/>
    <x v="11"/>
    <x v="293"/>
    <n v="183"/>
    <n v="31"/>
    <x v="1346"/>
    <x v="0"/>
    <n v="216"/>
    <n v="-2"/>
    <x v="1"/>
  </r>
  <r>
    <n v="1433"/>
    <x v="5"/>
    <x v="90"/>
    <x v="11"/>
    <n v="2021"/>
    <x v="11"/>
    <x v="641"/>
    <n v="193"/>
    <n v="26"/>
    <x v="1347"/>
    <x v="0"/>
    <n v="212"/>
    <n v="7"/>
    <x v="0"/>
  </r>
  <r>
    <n v="1434"/>
    <x v="5"/>
    <x v="91"/>
    <x v="11"/>
    <n v="2021"/>
    <x v="11"/>
    <x v="264"/>
    <n v="111"/>
    <n v="-18"/>
    <x v="1348"/>
    <x v="1"/>
    <n v="117"/>
    <n v="-24"/>
    <x v="1"/>
  </r>
  <r>
    <n v="1435"/>
    <x v="5"/>
    <x v="92"/>
    <x v="11"/>
    <n v="2021"/>
    <x v="11"/>
    <x v="395"/>
    <n v="299"/>
    <n v="21"/>
    <x v="1349"/>
    <x v="0"/>
    <n v="296"/>
    <n v="24"/>
    <x v="0"/>
  </r>
  <r>
    <n v="1436"/>
    <x v="5"/>
    <x v="93"/>
    <x v="11"/>
    <n v="2021"/>
    <x v="11"/>
    <x v="335"/>
    <n v="138"/>
    <n v="14"/>
    <x v="1350"/>
    <x v="0"/>
    <n v="161"/>
    <n v="-9"/>
    <x v="1"/>
  </r>
  <r>
    <n v="1437"/>
    <x v="5"/>
    <x v="94"/>
    <x v="11"/>
    <n v="2021"/>
    <x v="11"/>
    <x v="561"/>
    <n v="87"/>
    <n v="-1"/>
    <x v="1351"/>
    <x v="1"/>
    <n v="92"/>
    <n v="-6"/>
    <x v="1"/>
  </r>
  <r>
    <n v="1438"/>
    <x v="5"/>
    <x v="95"/>
    <x v="11"/>
    <n v="2021"/>
    <x v="11"/>
    <x v="305"/>
    <n v="161"/>
    <n v="22"/>
    <x v="1352"/>
    <x v="0"/>
    <n v="187"/>
    <n v="-4"/>
    <x v="1"/>
  </r>
  <r>
    <n v="1439"/>
    <x v="5"/>
    <x v="96"/>
    <x v="11"/>
    <n v="2021"/>
    <x v="11"/>
    <x v="825"/>
    <n v="254"/>
    <n v="2"/>
    <x v="1353"/>
    <x v="0"/>
    <n v="233"/>
    <n v="23"/>
    <x v="0"/>
  </r>
  <r>
    <n v="1440"/>
    <x v="5"/>
    <x v="97"/>
    <x v="11"/>
    <n v="2021"/>
    <x v="11"/>
    <x v="383"/>
    <n v="182"/>
    <n v="-1"/>
    <x v="1354"/>
    <x v="1"/>
    <n v="198"/>
    <n v="-17"/>
    <x v="1"/>
  </r>
  <r>
    <n v="1441"/>
    <x v="5"/>
    <x v="98"/>
    <x v="11"/>
    <n v="2021"/>
    <x v="11"/>
    <x v="444"/>
    <n v="139"/>
    <n v="11"/>
    <x v="1355"/>
    <x v="0"/>
    <n v="143"/>
    <n v="7"/>
    <x v="0"/>
  </r>
  <r>
    <n v="1442"/>
    <x v="5"/>
    <x v="99"/>
    <x v="11"/>
    <n v="2021"/>
    <x v="11"/>
    <x v="345"/>
    <n v="161"/>
    <n v="6"/>
    <x v="1356"/>
    <x v="0"/>
    <n v="163"/>
    <n v="4"/>
    <x v="0"/>
  </r>
  <r>
    <n v="1443"/>
    <x v="5"/>
    <x v="100"/>
    <x v="11"/>
    <n v="2021"/>
    <x v="11"/>
    <x v="383"/>
    <n v="181"/>
    <n v="0"/>
    <x v="3"/>
    <x v="0"/>
    <n v="202"/>
    <n v="-21"/>
    <x v="1"/>
  </r>
  <r>
    <n v="1444"/>
    <x v="5"/>
    <x v="101"/>
    <x v="11"/>
    <n v="2021"/>
    <x v="11"/>
    <x v="97"/>
    <n v="110"/>
    <n v="-10"/>
    <x v="325"/>
    <x v="1"/>
    <n v="114"/>
    <n v="-14"/>
    <x v="1"/>
  </r>
  <r>
    <n v="1445"/>
    <x v="5"/>
    <x v="102"/>
    <x v="11"/>
    <n v="2021"/>
    <x v="11"/>
    <x v="97"/>
    <n v="120"/>
    <n v="-20"/>
    <x v="1269"/>
    <x v="1"/>
    <n v="135"/>
    <n v="-35"/>
    <x v="1"/>
  </r>
  <r>
    <n v="1446"/>
    <x v="5"/>
    <x v="103"/>
    <x v="11"/>
    <n v="2021"/>
    <x v="11"/>
    <x v="826"/>
    <n v="214"/>
    <n v="41"/>
    <x v="1357"/>
    <x v="0"/>
    <n v="220"/>
    <n v="35"/>
    <x v="0"/>
  </r>
  <r>
    <n v="1447"/>
    <x v="5"/>
    <x v="104"/>
    <x v="11"/>
    <n v="2021"/>
    <x v="11"/>
    <x v="3"/>
    <n v="111"/>
    <n v="-8"/>
    <x v="1358"/>
    <x v="1"/>
    <n v="133"/>
    <n v="-30"/>
    <x v="1"/>
  </r>
  <r>
    <n v="1448"/>
    <x v="5"/>
    <x v="105"/>
    <x v="11"/>
    <n v="2021"/>
    <x v="11"/>
    <x v="128"/>
    <n v="178"/>
    <n v="-12"/>
    <x v="521"/>
    <x v="1"/>
    <n v="166"/>
    <n v="0"/>
    <x v="1"/>
  </r>
  <r>
    <n v="1449"/>
    <x v="5"/>
    <x v="106"/>
    <x v="11"/>
    <n v="2021"/>
    <x v="11"/>
    <x v="524"/>
    <n v="57"/>
    <n v="2"/>
    <x v="1359"/>
    <x v="0"/>
    <n v="67"/>
    <n v="-8"/>
    <x v="1"/>
  </r>
  <r>
    <n v="1450"/>
    <x v="6"/>
    <x v="107"/>
    <x v="11"/>
    <n v="2021"/>
    <x v="11"/>
    <x v="507"/>
    <n v="723"/>
    <n v="14"/>
    <x v="1360"/>
    <x v="0"/>
    <n v="683"/>
    <n v="54"/>
    <x v="0"/>
  </r>
  <r>
    <n v="1451"/>
    <x v="6"/>
    <x v="108"/>
    <x v="11"/>
    <n v="2021"/>
    <x v="11"/>
    <x v="569"/>
    <n v="584"/>
    <n v="-48"/>
    <x v="1361"/>
    <x v="1"/>
    <n v="540"/>
    <n v="-4"/>
    <x v="1"/>
  </r>
  <r>
    <n v="1452"/>
    <x v="6"/>
    <x v="109"/>
    <x v="11"/>
    <n v="2021"/>
    <x v="11"/>
    <x v="235"/>
    <n v="183"/>
    <n v="12"/>
    <x v="929"/>
    <x v="0"/>
    <n v="197"/>
    <n v="-2"/>
    <x v="1"/>
  </r>
  <r>
    <n v="1453"/>
    <x v="6"/>
    <x v="110"/>
    <x v="11"/>
    <n v="2021"/>
    <x v="11"/>
    <x v="827"/>
    <n v="434"/>
    <n v="-11"/>
    <x v="1362"/>
    <x v="1"/>
    <n v="447"/>
    <n v="-24"/>
    <x v="1"/>
  </r>
  <r>
    <n v="1454"/>
    <x v="6"/>
    <x v="111"/>
    <x v="11"/>
    <n v="2021"/>
    <x v="11"/>
    <x v="447"/>
    <n v="262"/>
    <n v="-27"/>
    <x v="1363"/>
    <x v="1"/>
    <n v="278"/>
    <n v="-43"/>
    <x v="1"/>
  </r>
  <r>
    <n v="1455"/>
    <x v="6"/>
    <x v="112"/>
    <x v="11"/>
    <n v="2021"/>
    <x v="11"/>
    <x v="421"/>
    <n v="366"/>
    <n v="-15"/>
    <x v="1364"/>
    <x v="1"/>
    <n v="354"/>
    <n v="-3"/>
    <x v="1"/>
  </r>
  <r>
    <n v="1456"/>
    <x v="6"/>
    <x v="113"/>
    <x v="11"/>
    <n v="2021"/>
    <x v="11"/>
    <x v="787"/>
    <n v="137"/>
    <n v="18"/>
    <x v="1365"/>
    <x v="0"/>
    <n v="150"/>
    <n v="5"/>
    <x v="0"/>
  </r>
  <r>
    <n v="1457"/>
    <x v="6"/>
    <x v="114"/>
    <x v="11"/>
    <n v="2021"/>
    <x v="11"/>
    <x v="825"/>
    <n v="263"/>
    <n v="-7"/>
    <x v="1366"/>
    <x v="1"/>
    <n v="221"/>
    <n v="35"/>
    <x v="0"/>
  </r>
  <r>
    <n v="1458"/>
    <x v="6"/>
    <x v="115"/>
    <x v="11"/>
    <n v="2021"/>
    <x v="11"/>
    <x v="317"/>
    <n v="186"/>
    <n v="-12"/>
    <x v="1367"/>
    <x v="1"/>
    <n v="225"/>
    <n v="-51"/>
    <x v="1"/>
  </r>
  <r>
    <n v="1459"/>
    <x v="6"/>
    <x v="116"/>
    <x v="11"/>
    <n v="2021"/>
    <x v="11"/>
    <x v="587"/>
    <n v="184"/>
    <n v="12"/>
    <x v="524"/>
    <x v="0"/>
    <n v="176"/>
    <n v="20"/>
    <x v="0"/>
  </r>
  <r>
    <n v="1460"/>
    <x v="6"/>
    <x v="117"/>
    <x v="11"/>
    <n v="2021"/>
    <x v="11"/>
    <x v="306"/>
    <n v="110"/>
    <n v="11"/>
    <x v="2"/>
    <x v="0"/>
    <n v="115"/>
    <n v="6"/>
    <x v="0"/>
  </r>
  <r>
    <n v="1461"/>
    <x v="6"/>
    <x v="118"/>
    <x v="11"/>
    <n v="2021"/>
    <x v="11"/>
    <x v="454"/>
    <n v="185"/>
    <n v="1"/>
    <x v="1368"/>
    <x v="0"/>
    <n v="193"/>
    <n v="-7"/>
    <x v="1"/>
  </r>
  <r>
    <n v="1462"/>
    <x v="6"/>
    <x v="119"/>
    <x v="11"/>
    <n v="2021"/>
    <x v="11"/>
    <x v="753"/>
    <n v="121"/>
    <n v="2"/>
    <x v="1369"/>
    <x v="0"/>
    <n v="135"/>
    <n v="-12"/>
    <x v="1"/>
  </r>
  <r>
    <n v="1463"/>
    <x v="6"/>
    <x v="120"/>
    <x v="11"/>
    <n v="2021"/>
    <x v="11"/>
    <x v="380"/>
    <n v="268"/>
    <n v="5"/>
    <x v="1370"/>
    <x v="0"/>
    <n v="293"/>
    <n v="-20"/>
    <x v="1"/>
  </r>
  <r>
    <n v="1464"/>
    <x v="6"/>
    <x v="121"/>
    <x v="11"/>
    <n v="2021"/>
    <x v="11"/>
    <x v="828"/>
    <n v="308"/>
    <n v="9"/>
    <x v="1371"/>
    <x v="0"/>
    <n v="273"/>
    <n v="4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s v="Gaun"/>
    <x v="0"/>
    <s v="Indra Agustina"/>
    <s v="PCC"/>
    <n v="64"/>
    <n v="25932150"/>
    <n v="13925700"/>
  </r>
  <r>
    <x v="1"/>
    <s v="Jas"/>
    <x v="1"/>
    <s v="Kusuma Dina"/>
    <s v="WSD"/>
    <n v="26"/>
    <n v="8586300"/>
    <n v="3904049.9999999995"/>
  </r>
  <r>
    <x v="2"/>
    <s v="Kemeja"/>
    <x v="1"/>
    <s v="Andi Ade"/>
    <s v="FM"/>
    <n v="52"/>
    <n v="17940450"/>
    <n v="8592150"/>
  </r>
  <r>
    <x v="2"/>
    <s v="Mantel"/>
    <x v="1"/>
    <s v="Ika Indah"/>
    <s v="HHH"/>
    <n v="13"/>
    <n v="4096500.0000000005"/>
    <n v="1809600"/>
  </r>
  <r>
    <x v="3"/>
    <s v="Rok"/>
    <x v="2"/>
    <s v="Ratna Fitria"/>
    <s v="PSA"/>
    <n v="54"/>
    <n v="15404400"/>
    <n v="6491250"/>
  </r>
  <r>
    <x v="4"/>
    <s v="Rok"/>
    <x v="1"/>
    <s v="Kusuma Dina"/>
    <s v="TRU"/>
    <n v="30"/>
    <n v="8553300"/>
    <n v="3610050"/>
  </r>
  <r>
    <x v="4"/>
    <s v="Rok"/>
    <x v="3"/>
    <s v="Ika Indah"/>
    <s v="PSA"/>
    <n v="33"/>
    <n v="9409800"/>
    <n v="3968100.0000000005"/>
  </r>
  <r>
    <x v="5"/>
    <s v="Gaun"/>
    <x v="0"/>
    <s v="Ahmad Surya"/>
    <s v="ITW"/>
    <n v="56"/>
    <n v="22689000"/>
    <n v="12192450"/>
  </r>
  <r>
    <x v="6"/>
    <s v="Kemeja"/>
    <x v="2"/>
    <s v="Indra Agustina"/>
    <s v="PCC"/>
    <n v="39"/>
    <n v="13464450"/>
    <n v="6445200"/>
  </r>
  <r>
    <x v="7"/>
    <s v="Gaun"/>
    <x v="1"/>
    <s v="Ahmad Surya"/>
    <s v="KBTB"/>
    <n v="56"/>
    <n v="22682850"/>
    <n v="12183900"/>
  </r>
  <r>
    <x v="8"/>
    <s v="Rok"/>
    <x v="0"/>
    <s v="Indra Agustina"/>
    <s v="AST"/>
    <n v="8"/>
    <n v="2283600"/>
    <n v="974849.99999999988"/>
  </r>
  <r>
    <x v="9"/>
    <s v="Rok"/>
    <x v="2"/>
    <s v="Ratna Fitria"/>
    <s v="AA"/>
    <n v="24"/>
    <n v="6846150"/>
    <n v="2882100"/>
  </r>
  <r>
    <x v="10"/>
    <s v="Gaun"/>
    <x v="2"/>
    <s v="Ahmad Surya"/>
    <s v="SFWK"/>
    <n v="43"/>
    <n v="17418750"/>
    <n v="9356250"/>
  </r>
  <r>
    <x v="11"/>
    <s v="Jas"/>
    <x v="1"/>
    <s v="Indra Agustina"/>
    <s v="QT"/>
    <n v="25"/>
    <n v="8255850"/>
    <n v="3756900"/>
  </r>
  <r>
    <x v="12"/>
    <s v="Kemeja"/>
    <x v="2"/>
    <s v="Ika Indah"/>
    <s v="AA"/>
    <n v="63"/>
    <n v="21738150"/>
    <n v="10404600"/>
  </r>
  <r>
    <x v="13"/>
    <s v="Kemeja"/>
    <x v="1"/>
    <s v="Ratna Fitria"/>
    <s v="MNGD"/>
    <n v="46"/>
    <n v="15870150"/>
    <n v="7599600"/>
  </r>
  <r>
    <x v="14"/>
    <s v="Rok"/>
    <x v="3"/>
    <s v="Ratna Fitria"/>
    <s v="JAQ"/>
    <n v="21"/>
    <n v="5987250"/>
    <n v="2534250"/>
  </r>
  <r>
    <x v="15"/>
    <s v="Mantel"/>
    <x v="2"/>
    <s v="Andi Ade"/>
    <s v="ZAT"/>
    <n v="36"/>
    <n v="11346900"/>
    <n v="4998000"/>
  </r>
  <r>
    <x v="16"/>
    <s v="Kemeja"/>
    <x v="1"/>
    <s v="Andi Ade"/>
    <s v="QT"/>
    <n v="31"/>
    <n v="10699200"/>
    <n v="5120200"/>
  </r>
  <r>
    <x v="17"/>
    <s v="Jas"/>
    <x v="1"/>
    <s v="Kusuma Dina"/>
    <s v="WT"/>
    <n v="7"/>
    <n v="2324250"/>
    <n v="1059300"/>
  </r>
  <r>
    <x v="18"/>
    <s v="Rok"/>
    <x v="0"/>
    <s v="Ratna Fitria"/>
    <s v="ET"/>
    <n v="12"/>
    <n v="3433350"/>
    <n v="1440300"/>
  </r>
  <r>
    <x v="18"/>
    <s v="Gaun"/>
    <x v="2"/>
    <s v="Ratna Fitria"/>
    <s v="PCC"/>
    <n v="44"/>
    <n v="17832150"/>
    <n v="9570600"/>
  </r>
  <r>
    <x v="19"/>
    <s v="Kemeja"/>
    <x v="2"/>
    <s v="Ratna Fitria"/>
    <s v="JAQ"/>
    <n v="34"/>
    <n v="11734800"/>
    <n v="5621400"/>
  </r>
  <r>
    <x v="20"/>
    <s v="Rok"/>
    <x v="1"/>
    <s v="Indra Agustina"/>
    <s v="PCC"/>
    <n v="6"/>
    <n v="1717950"/>
    <n v="723900"/>
  </r>
  <r>
    <x v="21"/>
    <s v="Rok"/>
    <x v="0"/>
    <s v="Indra Agustina"/>
    <s v="YTR"/>
    <n v="58"/>
    <n v="16542150"/>
    <n v="6960900"/>
  </r>
  <r>
    <x v="22"/>
    <s v="Gaun"/>
    <x v="0"/>
    <s v="Kusuma Dina"/>
    <s v="PCC"/>
    <n v="10"/>
    <n v="4061699.9999999995"/>
    <n v="2185950"/>
  </r>
  <r>
    <x v="23"/>
    <s v="Rok"/>
    <x v="2"/>
    <s v="Ika Indah"/>
    <s v="FM"/>
    <n v="38"/>
    <n v="10833300"/>
    <n v="4560900"/>
  </r>
  <r>
    <x v="24"/>
    <s v="Mantel"/>
    <x v="2"/>
    <s v="Ahmad Surya"/>
    <s v="MNGD"/>
    <n v="12"/>
    <n v="3786600"/>
    <n v="1674900"/>
  </r>
  <r>
    <x v="25"/>
    <s v="Kemeja"/>
    <x v="3"/>
    <s v="Ratna Fitria"/>
    <s v="BBT"/>
    <n v="13"/>
    <n v="4494600"/>
    <n v="2156700"/>
  </r>
  <r>
    <x v="26"/>
    <s v="Gaun"/>
    <x v="1"/>
    <s v="Ratna Fitria"/>
    <s v="YTR"/>
    <n v="44"/>
    <n v="17823300"/>
    <n v="9581850"/>
  </r>
  <r>
    <x v="27"/>
    <s v="Jas"/>
    <x v="3"/>
    <s v="Ika Indah"/>
    <s v="PLOT"/>
    <n v="57"/>
    <n v="18818550"/>
    <n v="8561550"/>
  </r>
  <r>
    <x v="28"/>
    <s v="Mantel"/>
    <x v="0"/>
    <s v="Ika Indah"/>
    <s v="WT"/>
    <n v="53"/>
    <n v="16705500"/>
    <n v="7354650"/>
  </r>
  <r>
    <x v="29"/>
    <s v="Jas"/>
    <x v="3"/>
    <s v="Ika Indah"/>
    <s v="PSA"/>
    <n v="40"/>
    <n v="13209000"/>
    <n v="6007050"/>
  </r>
  <r>
    <x v="30"/>
    <s v="Gaun"/>
    <x v="3"/>
    <s v="Kusuma Dina"/>
    <s v="EPP"/>
    <n v="61"/>
    <n v="24708900"/>
    <n v="13277550"/>
  </r>
  <r>
    <x v="31"/>
    <s v="Mantel"/>
    <x v="0"/>
    <s v="Ika Indah"/>
    <s v="T"/>
    <n v="61"/>
    <n v="19216500"/>
    <n v="8477250"/>
  </r>
  <r>
    <x v="32"/>
    <s v="Kemeja"/>
    <x v="2"/>
    <s v="Kusuma Dina"/>
    <s v="ET"/>
    <n v="59"/>
    <n v="20358750"/>
    <n v="9737250"/>
  </r>
  <r>
    <x v="33"/>
    <s v="Gaun"/>
    <x v="2"/>
    <s v="Ratna Fitria"/>
    <s v="ITW"/>
    <n v="14"/>
    <n v="5674050"/>
    <n v="3054300"/>
  </r>
  <r>
    <x v="34"/>
    <s v="Rok"/>
    <x v="1"/>
    <s v="Indra Agustina"/>
    <s v="TTT"/>
    <n v="23"/>
    <n v="6567150"/>
    <n v="2762400"/>
  </r>
  <r>
    <x v="35"/>
    <s v="Gaun"/>
    <x v="0"/>
    <s v="Kusuma Dina"/>
    <s v="HII"/>
    <n v="16"/>
    <n v="6490050"/>
    <n v="3483000"/>
  </r>
  <r>
    <x v="36"/>
    <s v="Jas"/>
    <x v="1"/>
    <s v="Ahmad Surya"/>
    <s v="KBTB"/>
    <n v="24"/>
    <n v="7927500"/>
    <n v="3605250"/>
  </r>
  <r>
    <x v="37"/>
    <s v="Gaun"/>
    <x v="0"/>
    <s v="Andi Ade"/>
    <s v="KBTB"/>
    <n v="65"/>
    <n v="26335650"/>
    <n v="14143950"/>
  </r>
  <r>
    <x v="38"/>
    <s v="Kemeja"/>
    <x v="2"/>
    <s v="Ratna Fitria"/>
    <s v="WSD"/>
    <n v="38"/>
    <n v="13116750"/>
    <n v="6280350"/>
  </r>
  <r>
    <x v="39"/>
    <s v="Jas"/>
    <x v="3"/>
    <s v="Ahmad Surya"/>
    <s v="FM"/>
    <n v="7"/>
    <n v="2315100"/>
    <n v="1050000"/>
  </r>
  <r>
    <x v="40"/>
    <s v="Gaun"/>
    <x v="2"/>
    <s v="Indra Agustina"/>
    <s v="AA"/>
    <n v="16"/>
    <n v="4500000"/>
    <n v="3494850"/>
  </r>
  <r>
    <x v="41"/>
    <s v="Mantel"/>
    <x v="1"/>
    <s v="Ika Indah"/>
    <s v="WSD"/>
    <n v="23"/>
    <n v="7253700"/>
    <n v="3203550"/>
  </r>
  <r>
    <x v="42"/>
    <s v="Rok"/>
    <x v="3"/>
    <s v="Andi Ade"/>
    <s v="TTT"/>
    <n v="8"/>
    <n v="2291400"/>
    <n v="961800.00000000012"/>
  </r>
  <r>
    <x v="42"/>
    <s v="Kemeja"/>
    <x v="0"/>
    <s v="Ahmad Surya"/>
    <s v="QT"/>
    <n v="10"/>
    <n v="3453750"/>
    <n v="1656450"/>
  </r>
  <r>
    <x v="43"/>
    <s v="Mantel"/>
    <x v="2"/>
    <s v="Ahmad Surya"/>
    <s v="TRU"/>
    <n v="27"/>
    <n v="8507700"/>
    <n v="3759900"/>
  </r>
  <r>
    <x v="44"/>
    <s v="Mantel"/>
    <x v="2"/>
    <s v="Andi Ade"/>
    <s v="MBG"/>
    <n v="17"/>
    <n v="5363250"/>
    <n v="2369250"/>
  </r>
  <r>
    <x v="45"/>
    <s v="Kemeja"/>
    <x v="0"/>
    <s v="Indra Agustina"/>
    <s v="KPSA"/>
    <n v="18"/>
    <n v="6211650"/>
    <n v="2980650"/>
  </r>
  <r>
    <x v="46"/>
    <s v="Gaun"/>
    <x v="2"/>
    <s v="Kusuma Dina"/>
    <s v="FM"/>
    <n v="58"/>
    <n v="23502450"/>
    <n v="12621450"/>
  </r>
  <r>
    <x v="47"/>
    <s v="Jas"/>
    <x v="2"/>
    <s v="Ika Indah"/>
    <s v="DFR"/>
    <n v="59"/>
    <n v="19483800"/>
    <n v="8861250"/>
  </r>
  <r>
    <x v="48"/>
    <s v="Rok"/>
    <x v="3"/>
    <s v="Kusuma Dina"/>
    <s v="PCC"/>
    <n v="62"/>
    <n v="17671050"/>
    <n v="7453800"/>
  </r>
  <r>
    <x v="49"/>
    <s v="Jas"/>
    <x v="1"/>
    <s v="Indra Agustina"/>
    <s v="T"/>
    <n v="35"/>
    <n v="11562000"/>
    <n v="5257950"/>
  </r>
  <r>
    <x v="50"/>
    <s v="Mantel"/>
    <x v="3"/>
    <s v="Indra Agustina"/>
    <s v="PCC"/>
    <n v="22"/>
    <n v="6933300"/>
    <n v="3053550"/>
  </r>
  <r>
    <x v="51"/>
    <s v="Gaun"/>
    <x v="3"/>
    <s v="Andi Ade"/>
    <s v="YTR"/>
    <n v="42"/>
    <n v="17024100"/>
    <n v="9143100"/>
  </r>
  <r>
    <x v="52"/>
    <s v="Jas"/>
    <x v="0"/>
    <s v="Ika Indah"/>
    <s v="SFWK"/>
    <n v="19"/>
    <n v="6278100"/>
    <n v="2850750"/>
  </r>
  <r>
    <x v="52"/>
    <s v="Jas"/>
    <x v="2"/>
    <s v="Ika Indah"/>
    <s v="EPP"/>
    <n v="40"/>
    <n v="13205700"/>
    <n v="6013350"/>
  </r>
  <r>
    <x v="53"/>
    <s v="Mantel"/>
    <x v="0"/>
    <s v="Kusuma Dina"/>
    <s v="FM"/>
    <n v="62"/>
    <n v="19542900"/>
    <n v="8613750"/>
  </r>
  <r>
    <x v="54"/>
    <s v="Jas"/>
    <x v="2"/>
    <s v="Ahmad Surya"/>
    <s v="DFGH"/>
    <n v="9"/>
    <n v="2970900"/>
    <n v="1356750"/>
  </r>
  <r>
    <x v="55"/>
    <s v="Kemeja"/>
    <x v="3"/>
    <s v="Ratna Fitria"/>
    <s v="HHH"/>
    <n v="12"/>
    <n v="4140900"/>
    <n v="1988400"/>
  </r>
  <r>
    <x v="56"/>
    <s v="Kemeja"/>
    <x v="3"/>
    <s v="Kusuma Dina"/>
    <s v="FM"/>
    <n v="20"/>
    <n v="6904200"/>
    <n v="3309450"/>
  </r>
  <r>
    <x v="57"/>
    <s v="Mantel"/>
    <x v="1"/>
    <s v="Ika Indah"/>
    <s v="TTT"/>
    <n v="57"/>
    <n v="17968500"/>
    <n v="7919700"/>
  </r>
  <r>
    <x v="58"/>
    <s v="Jas"/>
    <x v="0"/>
    <s v="Andi Ade"/>
    <s v="WT"/>
    <n v="6"/>
    <n v="1985100"/>
    <n v="908700"/>
  </r>
  <r>
    <x v="59"/>
    <s v="Jas"/>
    <x v="0"/>
    <s v="Indra Agustina"/>
    <s v="YTR"/>
    <n v="35"/>
    <n v="11552700"/>
    <n v="5259900"/>
  </r>
  <r>
    <x v="60"/>
    <s v="Rok"/>
    <x v="3"/>
    <s v="Ratna Fitria"/>
    <s v="HHH"/>
    <n v="59"/>
    <n v="16829400"/>
    <n v="7085700"/>
  </r>
  <r>
    <x v="60"/>
    <s v="Gaun"/>
    <x v="2"/>
    <s v="Ika Indah"/>
    <s v="WT"/>
    <n v="22"/>
    <n v="8912550"/>
    <n v="4791150"/>
  </r>
  <r>
    <x v="61"/>
    <s v="Jas"/>
    <x v="0"/>
    <s v="Ika Indah"/>
    <s v="FRED"/>
    <n v="61"/>
    <n v="75009000"/>
    <n v="9152400"/>
  </r>
  <r>
    <x v="62"/>
    <s v="Rok"/>
    <x v="2"/>
    <s v="Andi Ade"/>
    <s v="PCC"/>
    <n v="42"/>
    <n v="11977950"/>
    <n v="5042400"/>
  </r>
  <r>
    <x v="63"/>
    <s v="Gaun"/>
    <x v="0"/>
    <s v="Ika Indah"/>
    <s v="AST"/>
    <n v="30"/>
    <n v="12160650"/>
    <n v="6534600"/>
  </r>
  <r>
    <x v="64"/>
    <s v="Kemeja"/>
    <x v="0"/>
    <s v="Ratna Fitria"/>
    <s v="ITTW"/>
    <n v="60"/>
    <n v="20701050"/>
    <n v="9906000"/>
  </r>
  <r>
    <x v="65"/>
    <s v="Gaun"/>
    <x v="2"/>
    <s v="Ratna Fitria"/>
    <s v="HII"/>
    <n v="62"/>
    <n v="25122300"/>
    <n v="13493400"/>
  </r>
  <r>
    <x v="66"/>
    <s v="Jas"/>
    <x v="2"/>
    <s v="Kusuma Dina"/>
    <s v="KPSA"/>
    <n v="17"/>
    <n v="5622150"/>
    <n v="2555550"/>
  </r>
  <r>
    <x v="67"/>
    <s v="Rok"/>
    <x v="3"/>
    <s v="Kusuma Dina"/>
    <s v="YTR"/>
    <n v="11"/>
    <n v="3148800"/>
    <n v="1330950"/>
  </r>
  <r>
    <x v="68"/>
    <s v="Jas"/>
    <x v="1"/>
    <s v="Andi Ade"/>
    <s v="TRU"/>
    <n v="11"/>
    <n v="3633900"/>
    <n v="1663650"/>
  </r>
  <r>
    <x v="69"/>
    <s v="Jas"/>
    <x v="1"/>
    <s v="Indra Agustina"/>
    <s v="QT"/>
    <n v="15"/>
    <n v="4959150"/>
    <n v="2256450"/>
  </r>
  <r>
    <x v="70"/>
    <s v="Gaun"/>
    <x v="2"/>
    <s v="Andi Ade"/>
    <s v="BBT"/>
    <n v="49"/>
    <n v="19857150"/>
    <n v="10672350"/>
  </r>
  <r>
    <x v="70"/>
    <s v="Rok"/>
    <x v="3"/>
    <s v="Ika Indah"/>
    <s v="DFR"/>
    <n v="23"/>
    <n v="6568800"/>
    <n v="2764950"/>
  </r>
  <r>
    <x v="71"/>
    <s v="Gaun"/>
    <x v="2"/>
    <s v="Andi Ade"/>
    <s v="DFR"/>
    <n v="17"/>
    <n v="6889350"/>
    <n v="3701250"/>
  </r>
  <r>
    <x v="72"/>
    <s v="Jas"/>
    <x v="2"/>
    <s v="Ratna Fitria"/>
    <s v="DFGH"/>
    <n v="20"/>
    <n v="6615000"/>
    <n v="3008100"/>
  </r>
  <r>
    <x v="73"/>
    <s v="Mantel"/>
    <x v="1"/>
    <s v="Indra Agustina"/>
    <s v="DFGH"/>
    <n v="44"/>
    <n v="13864350"/>
    <n v="6109650"/>
  </r>
  <r>
    <x v="74"/>
    <s v="Gaun"/>
    <x v="0"/>
    <s v="Ahmad Surya"/>
    <s v="HII"/>
    <n v="63"/>
    <n v="25525200"/>
    <n v="13706100"/>
  </r>
  <r>
    <x v="75"/>
    <s v="Mantel"/>
    <x v="2"/>
    <s v="Ahmad Surya"/>
    <s v="AST"/>
    <n v="63"/>
    <n v="19850250"/>
    <n v="8750400"/>
  </r>
  <r>
    <x v="75"/>
    <s v="Kemeja"/>
    <x v="0"/>
    <s v="Andi Ade"/>
    <s v="LOP"/>
    <n v="15"/>
    <n v="5188200"/>
    <n v="2486100"/>
  </r>
  <r>
    <x v="76"/>
    <s v="Rok"/>
    <x v="1"/>
    <s v="Andi Ade"/>
    <s v="QT"/>
    <n v="40"/>
    <n v="11403600"/>
    <n v="4803000"/>
  </r>
  <r>
    <x v="77"/>
    <s v="Mantel"/>
    <x v="1"/>
    <s v="Indra Agustina"/>
    <s v="MBG"/>
    <n v="47"/>
    <n v="14814300"/>
    <n v="6527250"/>
  </r>
  <r>
    <x v="78"/>
    <s v="Rok"/>
    <x v="3"/>
    <s v="Andi Ade"/>
    <s v="QT"/>
    <n v="64"/>
    <n v="18241800"/>
    <n v="7692900"/>
  </r>
  <r>
    <x v="79"/>
    <s v="Rok"/>
    <x v="1"/>
    <s v="Kusuma Dina"/>
    <s v="T"/>
    <n v="49"/>
    <n v="13966350"/>
    <n v="5893650"/>
  </r>
  <r>
    <x v="80"/>
    <s v="Jas"/>
    <x v="3"/>
    <s v="Indra Agustina"/>
    <s v="YTR"/>
    <n v="56"/>
    <n v="18480750"/>
    <n v="8404350"/>
  </r>
  <r>
    <x v="81"/>
    <s v="Jas"/>
    <x v="3"/>
    <s v="Ahmad Surya"/>
    <s v="PSA"/>
    <n v="21"/>
    <n v="6932550"/>
    <n v="3162150"/>
  </r>
  <r>
    <x v="82"/>
    <s v="Gaun"/>
    <x v="1"/>
    <s v="Indra Agustina"/>
    <s v="TTT"/>
    <n v="25"/>
    <n v="10136250"/>
    <n v="5443350"/>
  </r>
  <r>
    <x v="83"/>
    <s v="Gaun"/>
    <x v="3"/>
    <s v="Ahmad Surya"/>
    <s v="PLOT"/>
    <n v="10"/>
    <n v="4057500"/>
    <n v="2183550"/>
  </r>
  <r>
    <x v="84"/>
    <s v="Gaun"/>
    <x v="1"/>
    <s v="Ratna Fitria"/>
    <s v="FM"/>
    <n v="29"/>
    <n v="11756250"/>
    <n v="6318000"/>
  </r>
  <r>
    <x v="85"/>
    <s v="Kemeja"/>
    <x v="1"/>
    <s v="Andi Ade"/>
    <s v="YTR"/>
    <n v="53"/>
    <n v="18295500"/>
    <n v="8755200"/>
  </r>
  <r>
    <x v="86"/>
    <s v="Rok"/>
    <x v="0"/>
    <s v="Ahmad Surya"/>
    <s v="DFR"/>
    <n v="49"/>
    <n v="13972350"/>
    <n v="5892600"/>
  </r>
  <r>
    <x v="87"/>
    <s v="Mantel"/>
    <x v="3"/>
    <s v="Indra Agustina"/>
    <s v="BBT"/>
    <n v="29"/>
    <n v="9136800"/>
    <n v="4037400.0000000005"/>
  </r>
  <r>
    <x v="88"/>
    <s v="Mantel"/>
    <x v="3"/>
    <s v="Ahmad Surya"/>
    <s v="ITW"/>
    <n v="19"/>
    <n v="5985300"/>
    <n v="2648250"/>
  </r>
  <r>
    <x v="89"/>
    <s v="Gaun"/>
    <x v="3"/>
    <s v="Andi Ade"/>
    <s v="PLOT"/>
    <n v="17"/>
    <n v="6899250"/>
    <n v="3708450"/>
  </r>
  <r>
    <x v="90"/>
    <s v="Jas"/>
    <x v="0"/>
    <s v="Ika Indah"/>
    <s v="AST"/>
    <n v="53"/>
    <n v="17494650"/>
    <n v="7953600"/>
  </r>
  <r>
    <x v="91"/>
    <s v="Kemeja"/>
    <x v="1"/>
    <s v="Andi Ade"/>
    <s v="KBTB"/>
    <n v="29"/>
    <n v="10019850"/>
    <n v="4791750"/>
  </r>
  <r>
    <x v="92"/>
    <s v="Jas"/>
    <x v="3"/>
    <s v="Andi Ade"/>
    <s v="PCC"/>
    <n v="16"/>
    <n v="5283000"/>
    <n v="2409900"/>
  </r>
  <r>
    <x v="93"/>
    <s v="Jas"/>
    <x v="0"/>
    <s v="Andi Ade"/>
    <s v="T"/>
    <n v="27"/>
    <n v="8911350"/>
    <n v="4056300.0000000005"/>
  </r>
  <r>
    <x v="94"/>
    <s v="Jas"/>
    <x v="2"/>
    <s v="Ahmad Surya"/>
    <s v="PSA"/>
    <n v="10"/>
    <n v="3302700"/>
    <n v="1512600"/>
  </r>
  <r>
    <x v="95"/>
    <s v="Jas"/>
    <x v="2"/>
    <s v="Kusuma Dina"/>
    <s v="AST"/>
    <n v="50"/>
    <n v="16502100.000000002"/>
    <n v="7502400"/>
  </r>
  <r>
    <x v="96"/>
    <s v="Rok"/>
    <x v="1"/>
    <s v="Andi Ade"/>
    <s v="FRED"/>
    <n v="51"/>
    <n v="14545800"/>
    <n v="6121200"/>
  </r>
  <r>
    <x v="97"/>
    <s v="Jas"/>
    <x v="0"/>
    <s v="Ika Indah"/>
    <s v="FRED"/>
    <n v="61"/>
    <n v="75009000"/>
    <n v="9152400"/>
  </r>
  <r>
    <x v="98"/>
    <s v="Rok"/>
    <x v="2"/>
    <s v="Andi Ade"/>
    <s v="PCC"/>
    <n v="42"/>
    <n v="11977950"/>
    <n v="5042400"/>
  </r>
  <r>
    <x v="99"/>
    <s v="Gaun"/>
    <x v="0"/>
    <s v="Ika Indah"/>
    <s v="AST"/>
    <n v="30"/>
    <n v="12160650"/>
    <n v="6534600"/>
  </r>
  <r>
    <x v="100"/>
    <s v="Kemeja"/>
    <x v="0"/>
    <s v="Ratna Fitria"/>
    <s v="ITTW"/>
    <n v="60"/>
    <n v="20701050"/>
    <n v="9906000"/>
  </r>
  <r>
    <x v="101"/>
    <s v="Gaun"/>
    <x v="2"/>
    <s v="Ratna Fitria"/>
    <s v="HII"/>
    <n v="62"/>
    <n v="25122300"/>
    <n v="13493400"/>
  </r>
  <r>
    <x v="102"/>
    <s v="Jas"/>
    <x v="2"/>
    <s v="Kusuma Dina"/>
    <s v="KPSA"/>
    <n v="17"/>
    <n v="5622150"/>
    <n v="2555550"/>
  </r>
  <r>
    <x v="103"/>
    <s v="Rok"/>
    <x v="3"/>
    <s v="Kusuma Dina"/>
    <s v="YTR"/>
    <n v="11"/>
    <n v="3148800"/>
    <n v="1330950"/>
  </r>
  <r>
    <x v="104"/>
    <s v="Jas"/>
    <x v="1"/>
    <s v="Andi Ade"/>
    <s v="TRU"/>
    <n v="11"/>
    <n v="3633900"/>
    <n v="1663650"/>
  </r>
  <r>
    <x v="105"/>
    <s v="Jas"/>
    <x v="1"/>
    <s v="Indra Agustina"/>
    <s v="QT"/>
    <n v="15"/>
    <n v="4959150"/>
    <n v="2256450"/>
  </r>
  <r>
    <x v="100"/>
    <s v="Gaun"/>
    <x v="2"/>
    <s v="Andi Ade"/>
    <s v="BBT"/>
    <n v="49"/>
    <n v="19857150"/>
    <n v="10672350"/>
  </r>
  <r>
    <x v="106"/>
    <s v="Rok"/>
    <x v="3"/>
    <s v="Ika Indah"/>
    <s v="DFR"/>
    <n v="23"/>
    <n v="6568800"/>
    <n v="2764950"/>
  </r>
  <r>
    <x v="107"/>
    <s v="Gaun"/>
    <x v="2"/>
    <s v="Andi Ade"/>
    <s v="DFR"/>
    <n v="17"/>
    <n v="6889350"/>
    <n v="3701250"/>
  </r>
  <r>
    <x v="108"/>
    <s v="Jas"/>
    <x v="2"/>
    <s v="Ratna Fitria"/>
    <s v="DFGH"/>
    <n v="20"/>
    <n v="6615000"/>
    <n v="3008100"/>
  </r>
  <r>
    <x v="109"/>
    <s v="Mantel"/>
    <x v="1"/>
    <s v="Indra Agustina"/>
    <s v="DFGH"/>
    <n v="44"/>
    <n v="13864350"/>
    <n v="6109650"/>
  </r>
  <r>
    <x v="110"/>
    <s v="Gaun"/>
    <x v="0"/>
    <s v="Ahmad Surya"/>
    <s v="HII"/>
    <n v="63"/>
    <n v="25525200"/>
    <n v="13706100"/>
  </r>
  <r>
    <x v="111"/>
    <s v="Mantel"/>
    <x v="2"/>
    <s v="Ahmad Surya"/>
    <s v="AST"/>
    <n v="63"/>
    <n v="19850250"/>
    <n v="8750400"/>
  </r>
  <r>
    <x v="112"/>
    <s v="Kemeja"/>
    <x v="0"/>
    <s v="Andi Ade"/>
    <s v="LOP"/>
    <n v="15"/>
    <n v="5188200"/>
    <n v="2486100"/>
  </r>
  <r>
    <x v="113"/>
    <s v="Rok"/>
    <x v="1"/>
    <s v="Andi Ade"/>
    <s v="QT"/>
    <n v="40"/>
    <n v="11403600"/>
    <n v="4803000"/>
  </r>
  <r>
    <x v="114"/>
    <s v="Mantel"/>
    <x v="1"/>
    <s v="Indra Agustina"/>
    <s v="MBG"/>
    <n v="47"/>
    <n v="14814300"/>
    <n v="6527250"/>
  </r>
  <r>
    <x v="115"/>
    <s v="Rok"/>
    <x v="3"/>
    <s v="Andi Ade"/>
    <s v="QT"/>
    <n v="64"/>
    <n v="18241800"/>
    <n v="7692900"/>
  </r>
  <r>
    <x v="116"/>
    <s v="Rok"/>
    <x v="1"/>
    <s v="Kusuma Dina"/>
    <s v="T"/>
    <n v="49"/>
    <n v="13966350"/>
    <n v="5893650"/>
  </r>
  <r>
    <x v="117"/>
    <s v="Jas"/>
    <x v="3"/>
    <s v="Indra Agustina"/>
    <s v="YTR"/>
    <n v="56"/>
    <n v="18480750"/>
    <n v="8404350"/>
  </r>
  <r>
    <x v="118"/>
    <s v="Jas"/>
    <x v="3"/>
    <s v="Ahmad Surya"/>
    <s v="PSA"/>
    <n v="21"/>
    <n v="6932550"/>
    <n v="3162150"/>
  </r>
  <r>
    <x v="119"/>
    <s v="Gaun"/>
    <x v="1"/>
    <s v="Indra Agustina"/>
    <s v="TTT"/>
    <n v="25"/>
    <n v="10136250"/>
    <n v="5443350"/>
  </r>
  <r>
    <x v="100"/>
    <s v="Gaun"/>
    <x v="3"/>
    <s v="Ahmad Surya"/>
    <s v="PLOT"/>
    <n v="10"/>
    <n v="4057500"/>
    <n v="2183550"/>
  </r>
  <r>
    <x v="120"/>
    <s v="Gaun"/>
    <x v="1"/>
    <s v="Ratna Fitria"/>
    <s v="FM"/>
    <n v="29"/>
    <n v="11756250"/>
    <n v="6318000"/>
  </r>
  <r>
    <x v="109"/>
    <s v="Kemeja"/>
    <x v="1"/>
    <s v="Andi Ade"/>
    <s v="YTR"/>
    <n v="53"/>
    <n v="18295500"/>
    <n v="8755200"/>
  </r>
  <r>
    <x v="121"/>
    <s v="Rok"/>
    <x v="0"/>
    <s v="Ahmad Surya"/>
    <s v="DFR"/>
    <n v="49"/>
    <n v="13972350"/>
    <n v="5892600"/>
  </r>
  <r>
    <x v="122"/>
    <s v="Mantel"/>
    <x v="3"/>
    <s v="Indra Agustina"/>
    <s v="BBT"/>
    <n v="29"/>
    <n v="9136800"/>
    <n v="4037400.0000000005"/>
  </r>
  <r>
    <x v="123"/>
    <s v="Mantel"/>
    <x v="3"/>
    <s v="Ahmad Surya"/>
    <s v="ITW"/>
    <n v="19"/>
    <n v="5985300"/>
    <n v="2648250"/>
  </r>
  <r>
    <x v="124"/>
    <s v="Gaun"/>
    <x v="3"/>
    <s v="Andi Ade"/>
    <s v="PLOT"/>
    <n v="17"/>
    <n v="6899250"/>
    <n v="3708450"/>
  </r>
  <r>
    <x v="125"/>
    <s v="Jas"/>
    <x v="0"/>
    <s v="Ika Indah"/>
    <s v="AST"/>
    <n v="53"/>
    <n v="17494650"/>
    <n v="7953600"/>
  </r>
  <r>
    <x v="126"/>
    <s v="Kemeja"/>
    <x v="1"/>
    <s v="Andi Ade"/>
    <s v="KBTB"/>
    <n v="29"/>
    <n v="10019850"/>
    <n v="4791750"/>
  </r>
  <r>
    <x v="127"/>
    <s v="Jas"/>
    <x v="3"/>
    <s v="Andi Ade"/>
    <s v="PCC"/>
    <n v="16"/>
    <n v="5283000"/>
    <n v="2409900"/>
  </r>
  <r>
    <x v="128"/>
    <s v="Jas"/>
    <x v="0"/>
    <s v="Andi Ade"/>
    <s v="T"/>
    <n v="27"/>
    <n v="8911350"/>
    <n v="4056300.0000000005"/>
  </r>
  <r>
    <x v="101"/>
    <s v="Jas"/>
    <x v="2"/>
    <s v="Ahmad Surya"/>
    <s v="PSA"/>
    <n v="10"/>
    <n v="3302700"/>
    <n v="1512600"/>
  </r>
  <r>
    <x v="121"/>
    <s v="Jas"/>
    <x v="2"/>
    <s v="Kusuma Dina"/>
    <s v="AST"/>
    <n v="50"/>
    <n v="16502100.000000002"/>
    <n v="7502400"/>
  </r>
  <r>
    <x v="104"/>
    <s v="Rok"/>
    <x v="1"/>
    <s v="Andi Ade"/>
    <s v="FRED"/>
    <n v="51"/>
    <n v="14545800"/>
    <n v="612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28A54-FE52-4FF3-A8C5-E4110371594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5:N44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Performance Gap (%)" fld="9" subtotal="average" baseField="15" baseItem="3" numFmtId="10"/>
  </dataFields>
  <chartFormats count="6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5" count="1" selected="0">
            <x v="8"/>
          </reference>
        </references>
      </pivotArea>
    </chartFormat>
    <chartFormat chart="8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1"/>
          </reference>
        </references>
      </pivotArea>
    </chartFormat>
    <chartFormat chart="8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2"/>
          </reference>
        </references>
      </pivotArea>
    </chartFormat>
    <chartFormat chart="8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3"/>
          </reference>
        </references>
      </pivotArea>
    </chartFormat>
    <chartFormat chart="8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4"/>
          </reference>
        </references>
      </pivotArea>
    </chartFormat>
    <chartFormat chart="8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5"/>
          </reference>
        </references>
      </pivotArea>
    </chartFormat>
    <chartFormat chart="8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6"/>
          </reference>
        </references>
      </pivotArea>
    </chartFormat>
    <chartFormat chart="8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7"/>
          </reference>
        </references>
      </pivotArea>
    </chartFormat>
    <chartFormat chart="8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8"/>
          </reference>
        </references>
      </pivotArea>
    </chartFormat>
    <chartFormat chart="8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1"/>
          </reference>
        </references>
      </pivotArea>
    </chartFormat>
    <chartFormat chart="8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2"/>
          </reference>
        </references>
      </pivotArea>
    </chartFormat>
    <chartFormat chart="8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3"/>
          </reference>
        </references>
      </pivotArea>
    </chartFormat>
    <chartFormat chart="8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4"/>
          </reference>
        </references>
      </pivotArea>
    </chartFormat>
    <chartFormat chart="8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5"/>
          </reference>
        </references>
      </pivotArea>
    </chartFormat>
    <chartFormat chart="8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6"/>
          </reference>
        </references>
      </pivotArea>
    </chartFormat>
    <chartFormat chart="8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7"/>
          </reference>
        </references>
      </pivotArea>
    </chartFormat>
    <chartFormat chart="8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8"/>
          </reference>
        </references>
      </pivotArea>
    </chartFormat>
    <chartFormat chart="8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1"/>
          </reference>
        </references>
      </pivotArea>
    </chartFormat>
    <chartFormat chart="8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2"/>
          </reference>
        </references>
      </pivotArea>
    </chartFormat>
    <chartFormat chart="8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3"/>
          </reference>
        </references>
      </pivotArea>
    </chartFormat>
    <chartFormat chart="8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4"/>
          </reference>
        </references>
      </pivotArea>
    </chartFormat>
    <chartFormat chart="8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5"/>
          </reference>
        </references>
      </pivotArea>
    </chartFormat>
    <chartFormat chart="8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6"/>
          </reference>
        </references>
      </pivotArea>
    </chartFormat>
    <chartFormat chart="8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7"/>
          </reference>
        </references>
      </pivotArea>
    </chartFormat>
    <chartFormat chart="8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8"/>
          </reference>
        </references>
      </pivotArea>
    </chartFormat>
    <chartFormat chart="8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1"/>
          </reference>
        </references>
      </pivotArea>
    </chartFormat>
    <chartFormat chart="8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2"/>
          </reference>
        </references>
      </pivotArea>
    </chartFormat>
    <chartFormat chart="8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3"/>
          </reference>
        </references>
      </pivotArea>
    </chartFormat>
    <chartFormat chart="8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4"/>
          </reference>
        </references>
      </pivotArea>
    </chartFormat>
    <chartFormat chart="8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5"/>
          </reference>
        </references>
      </pivotArea>
    </chartFormat>
    <chartFormat chart="8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6"/>
          </reference>
        </references>
      </pivotArea>
    </chartFormat>
    <chartFormat chart="8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7"/>
          </reference>
        </references>
      </pivotArea>
    </chartFormat>
    <chartFormat chart="8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8"/>
          </reference>
        </references>
      </pivotArea>
    </chartFormat>
    <chartFormat chart="8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1"/>
          </reference>
        </references>
      </pivotArea>
    </chartFormat>
    <chartFormat chart="8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2"/>
          </reference>
        </references>
      </pivotArea>
    </chartFormat>
    <chartFormat chart="8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3"/>
          </reference>
        </references>
      </pivotArea>
    </chartFormat>
    <chartFormat chart="8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4"/>
          </reference>
        </references>
      </pivotArea>
    </chartFormat>
    <chartFormat chart="8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5"/>
          </reference>
        </references>
      </pivotArea>
    </chartFormat>
    <chartFormat chart="8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6"/>
          </reference>
        </references>
      </pivotArea>
    </chartFormat>
    <chartFormat chart="8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7"/>
          </reference>
        </references>
      </pivotArea>
    </chartFormat>
    <chartFormat chart="8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8"/>
          </reference>
        </references>
      </pivotArea>
    </chartFormat>
    <chartFormat chart="8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1"/>
          </reference>
        </references>
      </pivotArea>
    </chartFormat>
    <chartFormat chart="8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2"/>
          </reference>
        </references>
      </pivotArea>
    </chartFormat>
    <chartFormat chart="8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3"/>
          </reference>
        </references>
      </pivotArea>
    </chartFormat>
    <chartFormat chart="8" format="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4"/>
          </reference>
        </references>
      </pivotArea>
    </chartFormat>
    <chartFormat chart="8" format="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5"/>
          </reference>
        </references>
      </pivotArea>
    </chartFormat>
    <chartFormat chart="8" format="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6"/>
          </reference>
        </references>
      </pivotArea>
    </chartFormat>
    <chartFormat chart="8" format="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7"/>
          </reference>
        </references>
      </pivotArea>
    </chartFormat>
    <chartFormat chart="8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8"/>
          </reference>
        </references>
      </pivotArea>
    </chartFormat>
    <chartFormat chart="8" format="5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5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5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8" format="5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8" format="6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8" format="6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8" format="6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8" format="6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A5724-681B-46D1-82F7-A52F2B20284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D27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dataField="1"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numFmtId="10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Dati 2" fld="2" subtotal="count" baseField="0" baseItem="0"/>
  </dataFields>
  <conditionalFormats count="2">
    <conditionalFormat priority="3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3" count="1" selected="0">
              <x v="1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3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112E8-519F-4BB0-ACB2-815EDA869E5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vince">
  <location ref="A3:B11" firstHeaderRow="1" firstDataRow="1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Performance Gap (%)" fld="9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54ADA-3CC2-441A-A2C8-C0E10DDFC6D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2:N61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Performance Gap (%)" fld="9" subtotal="average" baseField="15" baseItem="3" numFmtId="10"/>
  </dataFields>
  <conditionalFormats count="12">
    <conditionalFormat type="all" priority="2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1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2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3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4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5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6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7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8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9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10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11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" selected="0">
              <x v="12"/>
            </reference>
          </references>
        </pivotArea>
      </pivotAreas>
    </conditionalFormat>
  </conditionalFormats>
  <chartFormats count="6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5" count="1" selected="0">
            <x v="8"/>
          </reference>
        </references>
      </pivotArea>
    </chartFormat>
    <chartFormat chart="8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1"/>
          </reference>
        </references>
      </pivotArea>
    </chartFormat>
    <chartFormat chart="8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2"/>
          </reference>
        </references>
      </pivotArea>
    </chartFormat>
    <chartFormat chart="8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3"/>
          </reference>
        </references>
      </pivotArea>
    </chartFormat>
    <chartFormat chart="8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4"/>
          </reference>
        </references>
      </pivotArea>
    </chartFormat>
    <chartFormat chart="8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5"/>
          </reference>
        </references>
      </pivotArea>
    </chartFormat>
    <chartFormat chart="8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6"/>
          </reference>
        </references>
      </pivotArea>
    </chartFormat>
    <chartFormat chart="8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7"/>
          </reference>
        </references>
      </pivotArea>
    </chartFormat>
    <chartFormat chart="8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8"/>
          </reference>
        </references>
      </pivotArea>
    </chartFormat>
    <chartFormat chart="8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1"/>
          </reference>
        </references>
      </pivotArea>
    </chartFormat>
    <chartFormat chart="8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2"/>
          </reference>
        </references>
      </pivotArea>
    </chartFormat>
    <chartFormat chart="8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3"/>
          </reference>
        </references>
      </pivotArea>
    </chartFormat>
    <chartFormat chart="8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4"/>
          </reference>
        </references>
      </pivotArea>
    </chartFormat>
    <chartFormat chart="8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5"/>
          </reference>
        </references>
      </pivotArea>
    </chartFormat>
    <chartFormat chart="8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6"/>
          </reference>
        </references>
      </pivotArea>
    </chartFormat>
    <chartFormat chart="8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7"/>
          </reference>
        </references>
      </pivotArea>
    </chartFormat>
    <chartFormat chart="8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8"/>
          </reference>
        </references>
      </pivotArea>
    </chartFormat>
    <chartFormat chart="8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1"/>
          </reference>
        </references>
      </pivotArea>
    </chartFormat>
    <chartFormat chart="8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2"/>
          </reference>
        </references>
      </pivotArea>
    </chartFormat>
    <chartFormat chart="8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3"/>
          </reference>
        </references>
      </pivotArea>
    </chartFormat>
    <chartFormat chart="8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4"/>
          </reference>
        </references>
      </pivotArea>
    </chartFormat>
    <chartFormat chart="8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5"/>
          </reference>
        </references>
      </pivotArea>
    </chartFormat>
    <chartFormat chart="8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6"/>
          </reference>
        </references>
      </pivotArea>
    </chartFormat>
    <chartFormat chart="8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7"/>
          </reference>
        </references>
      </pivotArea>
    </chartFormat>
    <chartFormat chart="8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8"/>
          </reference>
        </references>
      </pivotArea>
    </chartFormat>
    <chartFormat chart="8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1"/>
          </reference>
        </references>
      </pivotArea>
    </chartFormat>
    <chartFormat chart="8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2"/>
          </reference>
        </references>
      </pivotArea>
    </chartFormat>
    <chartFormat chart="8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3"/>
          </reference>
        </references>
      </pivotArea>
    </chartFormat>
    <chartFormat chart="8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4"/>
          </reference>
        </references>
      </pivotArea>
    </chartFormat>
    <chartFormat chart="8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5"/>
          </reference>
        </references>
      </pivotArea>
    </chartFormat>
    <chartFormat chart="8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6"/>
          </reference>
        </references>
      </pivotArea>
    </chartFormat>
    <chartFormat chart="8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7"/>
          </reference>
        </references>
      </pivotArea>
    </chartFormat>
    <chartFormat chart="8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8"/>
          </reference>
        </references>
      </pivotArea>
    </chartFormat>
    <chartFormat chart="8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1"/>
          </reference>
        </references>
      </pivotArea>
    </chartFormat>
    <chartFormat chart="8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2"/>
          </reference>
        </references>
      </pivotArea>
    </chartFormat>
    <chartFormat chart="8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3"/>
          </reference>
        </references>
      </pivotArea>
    </chartFormat>
    <chartFormat chart="8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4"/>
          </reference>
        </references>
      </pivotArea>
    </chartFormat>
    <chartFormat chart="8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5"/>
          </reference>
        </references>
      </pivotArea>
    </chartFormat>
    <chartFormat chart="8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6"/>
          </reference>
        </references>
      </pivotArea>
    </chartFormat>
    <chartFormat chart="8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7"/>
          </reference>
        </references>
      </pivotArea>
    </chartFormat>
    <chartFormat chart="8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8"/>
          </reference>
        </references>
      </pivotArea>
    </chartFormat>
    <chartFormat chart="8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1"/>
          </reference>
        </references>
      </pivotArea>
    </chartFormat>
    <chartFormat chart="8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2"/>
          </reference>
        </references>
      </pivotArea>
    </chartFormat>
    <chartFormat chart="8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3"/>
          </reference>
        </references>
      </pivotArea>
    </chartFormat>
    <chartFormat chart="8" format="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4"/>
          </reference>
        </references>
      </pivotArea>
    </chartFormat>
    <chartFormat chart="8" format="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5"/>
          </reference>
        </references>
      </pivotArea>
    </chartFormat>
    <chartFormat chart="8" format="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6"/>
          </reference>
        </references>
      </pivotArea>
    </chartFormat>
    <chartFormat chart="8" format="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7"/>
          </reference>
        </references>
      </pivotArea>
    </chartFormat>
    <chartFormat chart="8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8"/>
          </reference>
        </references>
      </pivotArea>
    </chartFormat>
    <chartFormat chart="8" format="5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5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5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8" format="5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8" format="6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8" format="6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8" format="6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8" format="6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C60DD-0675-4419-B1AF-C9BE0E8C122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J23" firstHeaderRow="1" firstDataRow="1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rformance Gap (%)" fld="9" subtotal="average" baseField="1" baseItem="0" numFmtId="10"/>
  </dataFields>
  <conditionalFormats count="3"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B046C-2B52-43E7-9BB9-8E390B932684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:J9" firstHeaderRow="1" firstDataRow="1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rformance Gap (%)" fld="9" subtotal="average" baseField="1" baseItem="0" numFmtId="10"/>
  </dataFields>
  <formats count="2">
    <format dxfId="54">
      <pivotArea outline="0" collapsedLevelsAreSubtotals="1" fieldPosition="0"/>
    </format>
    <format dxfId="55">
      <pivotArea dataOnly="0" labelOnly="1" outline="0" axis="axisValues" fieldPosition="0"/>
    </format>
  </formats>
  <conditionalFormats count="2">
    <conditionalFormat priority="1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C1AF0-6939-4B7D-A30A-71DCD8B120B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rformance Gap (%)" fld="9" subtotal="average" baseField="1" baseItem="0" numFmtId="10"/>
  </dataFields>
  <conditionalFormats count="1">
    <conditionalFormat priority="3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C4B62-0E3E-400D-B10A-7336D8612F5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0:H69" firstHeaderRow="2" firstDataRow="2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8">
        <item h="1" x="2"/>
        <item x="1"/>
        <item h="1" x="3"/>
        <item h="1" x="4"/>
        <item h="1" x="0"/>
        <item h="1" x="5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8">
    <i>
      <x v="1"/>
      <x v="34"/>
    </i>
    <i r="1">
      <x v="35"/>
    </i>
    <i r="1">
      <x v="36"/>
    </i>
    <i r="1">
      <x v="37"/>
    </i>
    <i r="1">
      <x v="38"/>
    </i>
    <i r="1">
      <x v="47"/>
    </i>
    <i t="default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276A2-457E-4E8D-BFCC-328A6066535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A205" firstHeaderRow="1" firstDataRow="1" firstDataCol="1"/>
  <pivotFields count="16">
    <pivotField showAll="0"/>
    <pivotField showAll="0">
      <items count="8">
        <item x="2"/>
        <item x="1"/>
        <item x="3"/>
        <item x="4"/>
        <item x="0"/>
        <item x="5"/>
        <item x="6"/>
        <item t="default"/>
      </items>
    </pivotField>
    <pivotField axis="axisRow"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F341C-BBEE-4BD8-81DF-029689875E3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N55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ktual" fld="6" baseField="0" baseItem="0"/>
  </dataFields>
  <formats count="1">
    <format dxfId="53">
      <pivotArea outline="0" collapsedLevelsAreSubtotals="1" fieldPosition="0">
        <references count="1">
          <reference field="15" count="1" selected="0">
            <x v="9"/>
          </reference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720C5-12D4-4AD1-9D97-4A4CCA0432D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N39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ktual" fld="6" baseField="0" baseItem="0"/>
  </dataFields>
  <conditionalFormats count="2">
    <conditionalFormat priority="6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22563-B49E-40CC-A110-B52A211F977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3" firstHeaderRow="1" firstDataRow="1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rformance Gap (%)" fld="9" subtotal="average" baseField="1" baseItem="0" numFmtId="10"/>
  </dataFields>
  <conditionalFormats count="3">
    <conditionalFormat priority="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BB35A-6A10-4A99-A2DC-1186F32715E9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A17:B30" firstHeaderRow="1" firstDataRow="1" firstDataCol="1"/>
  <pivotFields count="16">
    <pivotField showAll="0"/>
    <pivotField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axis="axisRow" showAll="0" sortType="de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13">
    <i>
      <x v="6"/>
    </i>
    <i>
      <x v="4"/>
    </i>
    <i>
      <x v="2"/>
    </i>
    <i>
      <x v="7"/>
    </i>
    <i>
      <x v="5"/>
    </i>
    <i>
      <x v="10"/>
    </i>
    <i>
      <x v="1"/>
    </i>
    <i>
      <x v="9"/>
    </i>
    <i>
      <x v="11"/>
    </i>
    <i>
      <x v="3"/>
    </i>
    <i>
      <x v="8"/>
    </i>
    <i>
      <x/>
    </i>
    <i t="grand">
      <x/>
    </i>
  </rowItems>
  <colItems count="1">
    <i/>
  </colItems>
  <dataFields count="1">
    <dataField name="Sum of Aktual" fld="6" baseField="15" baseItem="1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F7C98-E893-492D-BCE0-AEA7351725D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16">
    <pivotField showAll="0"/>
    <pivotField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ktual" fld="6" baseField="0" baseItem="0"/>
  </dataFields>
  <conditionalFormats count="2">
    <conditionalFormat type="all" priority="5">
      <pivotAreas count="1">
        <pivotArea fieldPosition="0">
          <references count="1">
            <reference field="15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type="all" priority="4">
      <pivotAreas count="1">
        <pivotArea fieldPosition="0">
          <references count="1">
            <reference field="15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8FB0C-FFE9-4399-BDA5-D5795EA1AC31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insi">
  <location ref="A77:N86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Performance Gap (%)" fld="9" subtotal="average" baseField="1" baseItem="0" numFmtId="1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07B03-820F-4186-8893-D244B5EC8EB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insi">
  <location ref="A47:N56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ktu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5" id="{AF21BE1B-1765-4891-8F89-8E23B97069B2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1" count="7">
                    <x v="0"/>
                    <x v="1"/>
                    <x v="2"/>
                    <x v="3"/>
                    <x v="4"/>
                    <x v="5"/>
                    <x v="6"/>
                  </reference>
                  <reference field="15" count="12" selected="0"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E23E8-A38E-4AF0-AD63-FD33B49E119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insi">
  <location ref="A64:N73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" showAll="0"/>
    <pivotField dataField="1"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Performance Gap (%)" fld="9" subtotal="average" baseField="1" baseItem="0" numFmtId="10"/>
  </dataField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5393E-8055-4F9F-9D55-A172C1B9411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insi">
  <location ref="A31:N40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ktual" fld="6" baseField="0" baseItem="0"/>
  </dataFields>
  <conditionalFormats count="1"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9B0C8-0E8F-4789-B102-B14522B4195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insi">
  <location ref="A15:N24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ktual" fld="6" baseField="0" baseItem="0"/>
  </dataFields>
  <conditionalFormats count="1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863A9-88BE-4E63-BEBA-D34C748D7AD4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insi">
  <location ref="A1:N10" firstHeaderRow="1" firstDataRow="2" firstDataCol="1"/>
  <pivotFields count="16">
    <pivotField showAll="0"/>
    <pivotField axis="axisRow" showAll="0">
      <items count="8">
        <item x="2"/>
        <item x="1"/>
        <item x="3"/>
        <item x="4"/>
        <item x="0"/>
        <item x="5"/>
        <item x="6"/>
        <item t="default"/>
      </items>
    </pivotField>
    <pivotField showAll="0">
      <items count="123">
        <item x="30"/>
        <item x="31"/>
        <item x="51"/>
        <item x="63"/>
        <item x="104"/>
        <item x="112"/>
        <item x="60"/>
        <item x="88"/>
        <item x="55"/>
        <item x="16"/>
        <item x="29"/>
        <item x="17"/>
        <item x="77"/>
        <item x="27"/>
        <item x="5"/>
        <item x="85"/>
        <item x="73"/>
        <item x="58"/>
        <item x="105"/>
        <item x="49"/>
        <item x="41"/>
        <item x="61"/>
        <item x="39"/>
        <item x="32"/>
        <item x="43"/>
        <item x="82"/>
        <item x="28"/>
        <item x="116"/>
        <item x="95"/>
        <item x="42"/>
        <item x="84"/>
        <item x="1"/>
        <item x="76"/>
        <item x="44"/>
        <item x="20"/>
        <item x="19"/>
        <item x="21"/>
        <item x="22"/>
        <item x="23"/>
        <item x="103"/>
        <item x="81"/>
        <item x="4"/>
        <item x="71"/>
        <item x="35"/>
        <item x="65"/>
        <item x="13"/>
        <item x="56"/>
        <item x="24"/>
        <item x="74"/>
        <item x="80"/>
        <item x="47"/>
        <item x="115"/>
        <item x="6"/>
        <item x="38"/>
        <item x="118"/>
        <item x="100"/>
        <item x="101"/>
        <item x="98"/>
        <item x="8"/>
        <item x="66"/>
        <item x="9"/>
        <item x="46"/>
        <item x="83"/>
        <item x="15"/>
        <item x="86"/>
        <item x="3"/>
        <item x="114"/>
        <item x="110"/>
        <item x="111"/>
        <item x="14"/>
        <item x="10"/>
        <item x="109"/>
        <item x="108"/>
        <item x="119"/>
        <item x="121"/>
        <item x="120"/>
        <item x="12"/>
        <item x="117"/>
        <item x="107"/>
        <item x="99"/>
        <item x="37"/>
        <item x="50"/>
        <item x="87"/>
        <item x="91"/>
        <item x="78"/>
        <item x="54"/>
        <item x="59"/>
        <item x="92"/>
        <item x="11"/>
        <item x="113"/>
        <item x="62"/>
        <item x="33"/>
        <item x="64"/>
        <item x="79"/>
        <item x="53"/>
        <item x="106"/>
        <item x="52"/>
        <item x="36"/>
        <item x="93"/>
        <item x="2"/>
        <item x="94"/>
        <item x="89"/>
        <item x="72"/>
        <item x="34"/>
        <item x="40"/>
        <item x="70"/>
        <item x="45"/>
        <item x="0"/>
        <item x="69"/>
        <item x="102"/>
        <item x="96"/>
        <item x="25"/>
        <item x="26"/>
        <item x="48"/>
        <item x="57"/>
        <item x="67"/>
        <item x="97"/>
        <item x="7"/>
        <item x="18"/>
        <item x="90"/>
        <item x="75"/>
        <item x="6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numFmtId="1" showAll="0"/>
    <pivotField numFmtId="10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ktual" fld="6" baseField="0" baseItem="0"/>
  </dataFields>
  <conditionalFormats count="1"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15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EEF67-9BCB-4B82-B636-0DE41226BA40}" name="PivotTable1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4:R41" firstHeaderRow="1" firstDataRow="3" firstDataCol="1"/>
  <pivotFields count="10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sd="0" x="0"/>
        <item x="1"/>
        <item x="2"/>
        <item sd="0"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9"/>
    <field x="0"/>
  </colFields>
  <colItems count="16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t="grand">
      <x/>
    </i>
  </colItems>
  <dataFields count="1">
    <dataField name="Sum of Penjualan" fld="6" baseField="0" baseItem="0"/>
  </dataFields>
  <conditionalFormats count="2">
    <conditionalFormat priority="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2" count="4">
              <x v="0"/>
              <x v="1"/>
              <x v="2"/>
              <x v="3"/>
            </reference>
            <reference field="9" count="2" selected="0"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2" count="4">
              <x v="0"/>
              <x v="1"/>
              <x v="2"/>
              <x v="3"/>
            </reference>
            <reference field="9" count="2" selected="0"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933BF-1A96-4F2E-B98F-FA384345165C}" name="PivotTable1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8:T15" firstHeaderRow="1" firstDataRow="3" firstDataCol="1"/>
  <pivotFields count="10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x="1"/>
        <item x="2"/>
        <item sd="0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9"/>
    <field x="0"/>
  </colFields>
  <colItems count="18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t="default">
      <x v="2"/>
    </i>
    <i t="grand">
      <x/>
    </i>
  </colItems>
  <dataFields count="1">
    <dataField name="Sum of Penjualan" fld="6" baseField="0" baseItem="0"/>
  </dataFields>
  <formats count="1">
    <format dxfId="8">
      <pivotArea collapsedLevelsAreSubtotals="1" fieldPosition="0">
        <references count="1">
          <reference field="2" count="0"/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2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0F6E4-F96A-40E1-8813-4BCE80A21C46}" name="Table1" displayName="Table1" ref="A1:N977" totalsRowShown="0">
  <tableColumns count="14">
    <tableColumn id="1" xr3:uid="{A860BB44-4F1E-47C6-B9AF-CE82ADDDF166}" name="No"/>
    <tableColumn id="2" xr3:uid="{78623BD0-D259-476B-AB78-097FC69D4EB3}" name="Propinsi"/>
    <tableColumn id="3" xr3:uid="{216C50BD-1409-432D-9090-6ACE1ACEF479}" name="Dati 2"/>
    <tableColumn id="4" xr3:uid="{D02FC069-6A5F-4B9B-ACB1-E2A4B532E47D}" name="Bulan"/>
    <tableColumn id="5" xr3:uid="{77784C23-FB15-4340-B65C-DBB722BC7B15}" name="Tahun"/>
    <tableColumn id="8" xr3:uid="{0A5E8DAF-8D3E-4F55-8D69-397875E79805}" name="Tanggal" dataDxfId="77">
      <calculatedColumnFormula>DATE(Table1[[#This Row],[Tahun]],Table1[[#This Row],[Bulan]],1)</calculatedColumnFormula>
    </tableColumn>
    <tableColumn id="6" xr3:uid="{CB217962-8C03-4E3A-B3BB-C10D46593281}" name="Aktual"/>
    <tableColumn id="7" xr3:uid="{4A1C9F8E-22DE-489D-A096-3432DDBBC704}" name="Target"/>
    <tableColumn id="10" xr3:uid="{B13CC10F-7563-485A-BDE9-B49D5D4DEA46}" name="Performance Gap" dataDxfId="76">
      <calculatedColumnFormula>(Table1[[#This Row],[Aktual]]-Table1[[#This Row],[Target]])</calculatedColumnFormula>
    </tableColumn>
    <tableColumn id="9" xr3:uid="{53166DDE-E39E-451D-A666-B59B211A96AE}" name="Performance Gap (%)" dataDxfId="75">
      <calculatedColumnFormula>(Table1[[#This Row],[Aktual]]-Table1[[#This Row],[Target]])/Table1[[#This Row],[Target]]</calculatedColumnFormula>
    </tableColumn>
    <tableColumn id="11" xr3:uid="{883305D5-D53F-4716-8062-06105E1C100E}" name="Status Kinerja" dataDxfId="74">
      <calculatedColumnFormula>IF(Table1[[#This Row],[Performance Gap (%)]]&lt;0,"Tidak mencapai target", IF(Table1[[#This Row],[Performance Gap (%)]]=0,"Mencapai target", "Melebihi Target"))</calculatedColumnFormula>
    </tableColumn>
    <tableColumn id="12" xr3:uid="{C397456F-56E4-4293-B36A-79EB76816AAE}" name="Jumlah Kompetitor" dataDxfId="73">
      <calculatedColumnFormula>VLOOKUP(Table1[[#This Row],[Propinsi]]&amp;"_"&amp;Table1[[#This Row],[Dati 2]]&amp;"_"&amp;Table1[[#This Row],[Tanggal]],Table2[[#All],[Kompetitor area]:[Jumlah Kompetitor]],7,0)</calculatedColumnFormula>
    </tableColumn>
    <tableColumn id="13" xr3:uid="{DAD7E531-5C70-45A1-9760-AA1066F76456}" name="vs Kompetitor" dataDxfId="72">
      <calculatedColumnFormula>Table1[[#This Row],[Aktual]]-Table1[[#This Row],[Jumlah Kompetitor]]</calculatedColumnFormula>
    </tableColumn>
    <tableColumn id="14" xr3:uid="{42715B9E-EC98-4D42-9662-3A8FD57F0E03}" name="Status vs Kompetito" dataDxfId="71">
      <calculatedColumnFormula>IF(Table1[[#This Row],[vs Kompetitor]]&gt;0,"Win", "Lose")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9DCD15-8FEF-48D2-A900-60023C092434}" name="Table2" displayName="Table2" ref="A1:H1465" totalsRowShown="0">
  <tableColumns count="8">
    <tableColumn id="1" xr3:uid="{8505CC5E-9CB3-4E7D-8D73-7F10229434A2}" name="No"/>
    <tableColumn id="8" xr3:uid="{8ECB0164-358D-4FC3-8780-7F07BD6D8A06}" name="Kompetitor area" dataDxfId="70">
      <calculatedColumnFormula>Table2[[#This Row],[Propinsi]]&amp;"_"&amp;Table2[[#This Row],[Dati 2]]&amp;"_"&amp;Table2[[#This Row],[Tanggal]]</calculatedColumnFormula>
    </tableColumn>
    <tableColumn id="2" xr3:uid="{177A6D37-512E-4587-967F-4E82AC0DBFF6}" name="Propinsi"/>
    <tableColumn id="3" xr3:uid="{348119F1-4536-47B2-A357-34DB71B0CA48}" name="Dati 2"/>
    <tableColumn id="4" xr3:uid="{31B28D81-EF0C-486F-9897-DB5D5D525EBF}" name="Bulan"/>
    <tableColumn id="5" xr3:uid="{8A47BC49-BBD0-4A1C-B495-979D38D6C261}" name="Tahun"/>
    <tableColumn id="7" xr3:uid="{D64F8F87-E4DF-47B7-8AB5-EAD6496DEA9D}" name="Tanggal" dataDxfId="69">
      <calculatedColumnFormula>DATE(Table2[[#This Row],[Tahun]],Table2[[#This Row],[Bulan]],1)</calculatedColumnFormula>
    </tableColumn>
    <tableColumn id="6" xr3:uid="{756B0511-580D-46CC-863A-F8983244839E}" name="Jumlah Kompeti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57370-AD44-421F-9B7F-B30DD3B84DC6}" name="Table3" displayName="Table3" ref="A1:H144" totalsRowShown="0" headerRowDxfId="68" dataDxfId="66" headerRowBorderDxfId="67" tableBorderDxfId="65" totalsRowBorderDxfId="64">
  <tableColumns count="8">
    <tableColumn id="1" xr3:uid="{6AF0B01A-9D8D-470C-99C8-1FF743E4E33D}" name="Tanggal" dataDxfId="63"/>
    <tableColumn id="2" xr3:uid="{0934B3A0-9AA2-47A9-9482-A87400C0DD9A}" name="Produk" dataDxfId="62"/>
    <tableColumn id="3" xr3:uid="{BFB16AD0-ECE4-4F2B-9FFB-E4444A7998DC}" name="Region" dataDxfId="61"/>
    <tableColumn id="4" xr3:uid="{E5256D12-120B-43E7-A49C-856EEF41EE21}" name="SalesRep" dataDxfId="60"/>
    <tableColumn id="5" xr3:uid="{9A8723C4-151C-48B0-B63D-2C9844743A09}" name="Customer" dataDxfId="59"/>
    <tableColumn id="6" xr3:uid="{C93311B4-8E5C-4774-AE07-888B4A4023E1}" name="Units" dataDxfId="58"/>
    <tableColumn id="7" xr3:uid="{E16DEEDF-7F8F-4EBE-B6B3-CA0569FAD7DA}" name="Penjualan" dataDxfId="57"/>
    <tableColumn id="8" xr3:uid="{4557C47C-CFFF-475A-B9A4-FA07574CA83E}" name="COGS" dataDxfId="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8.xml"/><Relationship Id="rId9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3E4C-AB5A-454F-8EA2-339CBEE075B4}">
  <dimension ref="A3:N61"/>
  <sheetViews>
    <sheetView zoomScale="115" zoomScaleNormal="115" workbookViewId="0"/>
  </sheetViews>
  <sheetFormatPr defaultRowHeight="15" x14ac:dyDescent="0.25"/>
  <cols>
    <col min="1" max="1" width="19.42578125" bestFit="1" customWidth="1"/>
    <col min="2" max="2" width="13.42578125" bestFit="1" customWidth="1"/>
    <col min="3" max="3" width="6.5703125" bestFit="1" customWidth="1"/>
    <col min="4" max="4" width="11.28515625" bestFit="1" customWidth="1"/>
    <col min="5" max="5" width="6.7109375" bestFit="1" customWidth="1"/>
    <col min="6" max="6" width="10.5703125" customWidth="1"/>
    <col min="7" max="7" width="13.42578125" bestFit="1" customWidth="1"/>
    <col min="8" max="8" width="7.5703125" bestFit="1" customWidth="1"/>
    <col min="9" max="9" width="6.5703125" bestFit="1" customWidth="1"/>
    <col min="10" max="12" width="7.140625" bestFit="1" customWidth="1"/>
    <col min="13" max="13" width="7.28515625" bestFit="1" customWidth="1"/>
    <col min="14" max="14" width="11.28515625" bestFit="1" customWidth="1"/>
    <col min="15" max="17" width="7.7109375" bestFit="1" customWidth="1"/>
    <col min="18" max="18" width="6.5703125" bestFit="1" customWidth="1"/>
    <col min="19" max="19" width="18.140625" bestFit="1" customWidth="1"/>
    <col min="20" max="20" width="14.5703125" bestFit="1" customWidth="1"/>
    <col min="21" max="27" width="6.5703125" bestFit="1" customWidth="1"/>
    <col min="28" max="28" width="18.140625" bestFit="1" customWidth="1"/>
    <col min="29" max="29" width="16.42578125" bestFit="1" customWidth="1"/>
    <col min="30" max="32" width="6.5703125" bestFit="1" customWidth="1"/>
    <col min="33" max="33" width="7.7109375" bestFit="1" customWidth="1"/>
    <col min="34" max="36" width="6.5703125" bestFit="1" customWidth="1"/>
    <col min="37" max="37" width="20" bestFit="1" customWidth="1"/>
    <col min="38" max="38" width="14.5703125" bestFit="1" customWidth="1"/>
    <col min="39" max="43" width="6.5703125" bestFit="1" customWidth="1"/>
    <col min="44" max="44" width="7.7109375" bestFit="1" customWidth="1"/>
    <col min="45" max="45" width="6.5703125" bestFit="1" customWidth="1"/>
    <col min="46" max="46" width="18.140625" bestFit="1" customWidth="1"/>
    <col min="47" max="47" width="21" bestFit="1" customWidth="1"/>
    <col min="48" max="50" width="6.5703125" bestFit="1" customWidth="1"/>
    <col min="51" max="51" width="7.7109375" bestFit="1" customWidth="1"/>
    <col min="52" max="54" width="6.5703125" bestFit="1" customWidth="1"/>
    <col min="55" max="55" width="24.5703125" bestFit="1" customWidth="1"/>
    <col min="56" max="56" width="21.85546875" bestFit="1" customWidth="1"/>
    <col min="57" max="59" width="6.5703125" bestFit="1" customWidth="1"/>
    <col min="60" max="62" width="7.7109375" bestFit="1" customWidth="1"/>
    <col min="63" max="63" width="6.5703125" bestFit="1" customWidth="1"/>
    <col min="64" max="64" width="25.5703125" bestFit="1" customWidth="1"/>
    <col min="65" max="65" width="11.5703125" bestFit="1" customWidth="1"/>
    <col min="66" max="66" width="7.7109375" bestFit="1" customWidth="1"/>
    <col min="67" max="67" width="12.140625" bestFit="1" customWidth="1"/>
    <col min="68" max="68" width="13.42578125" bestFit="1" customWidth="1"/>
    <col min="69" max="69" width="17.28515625" bestFit="1" customWidth="1"/>
    <col min="70" max="70" width="13.140625" bestFit="1" customWidth="1"/>
    <col min="71" max="71" width="9.85546875" bestFit="1" customWidth="1"/>
    <col min="72" max="72" width="7.7109375" bestFit="1" customWidth="1"/>
    <col min="73" max="73" width="10.140625" bestFit="1" customWidth="1"/>
    <col min="74" max="74" width="20.85546875" bestFit="1" customWidth="1"/>
    <col min="75" max="75" width="21.5703125" bestFit="1" customWidth="1"/>
    <col min="76" max="76" width="30.140625" bestFit="1" customWidth="1"/>
    <col min="77" max="77" width="28.140625" bestFit="1" customWidth="1"/>
    <col min="78" max="78" width="8.85546875" bestFit="1" customWidth="1"/>
    <col min="79" max="79" width="13.140625" bestFit="1" customWidth="1"/>
    <col min="80" max="80" width="12.42578125" bestFit="1" customWidth="1"/>
    <col min="81" max="81" width="8.28515625" bestFit="1" customWidth="1"/>
    <col min="82" max="82" width="13.7109375" bestFit="1" customWidth="1"/>
    <col min="83" max="83" width="15.5703125" bestFit="1" customWidth="1"/>
    <col min="84" max="84" width="24.7109375" bestFit="1" customWidth="1"/>
    <col min="85" max="85" width="10.140625" bestFit="1" customWidth="1"/>
    <col min="86" max="86" width="5" bestFit="1" customWidth="1"/>
    <col min="87" max="87" width="13.5703125" bestFit="1" customWidth="1"/>
    <col min="88" max="88" width="11.28515625" bestFit="1" customWidth="1"/>
    <col min="89" max="89" width="9.42578125" bestFit="1" customWidth="1"/>
    <col min="90" max="90" width="11.85546875" bestFit="1" customWidth="1"/>
    <col min="91" max="91" width="13.28515625" bestFit="1" customWidth="1"/>
    <col min="92" max="92" width="14.28515625" bestFit="1" customWidth="1"/>
    <col min="93" max="93" width="14" bestFit="1" customWidth="1"/>
    <col min="94" max="94" width="12.42578125" bestFit="1" customWidth="1"/>
    <col min="95" max="95" width="10.28515625" bestFit="1" customWidth="1"/>
    <col min="96" max="96" width="9.7109375" bestFit="1" customWidth="1"/>
    <col min="97" max="97" width="30.42578125" bestFit="1" customWidth="1"/>
    <col min="98" max="98" width="11.42578125" bestFit="1" customWidth="1"/>
    <col min="99" max="99" width="8.28515625" bestFit="1" customWidth="1"/>
    <col min="100" max="100" width="20.85546875" bestFit="1" customWidth="1"/>
    <col min="101" max="101" width="9.85546875" bestFit="1" customWidth="1"/>
    <col min="102" max="102" width="6.5703125" bestFit="1" customWidth="1"/>
    <col min="103" max="103" width="9.5703125" bestFit="1" customWidth="1"/>
    <col min="104" max="104" width="8.28515625" bestFit="1" customWidth="1"/>
    <col min="105" max="105" width="8.7109375" bestFit="1" customWidth="1"/>
    <col min="106" max="106" width="10.85546875" bestFit="1" customWidth="1"/>
    <col min="107" max="107" width="11.85546875" bestFit="1" customWidth="1"/>
    <col min="108" max="108" width="11.7109375" bestFit="1" customWidth="1"/>
    <col min="109" max="109" width="10.7109375" bestFit="1" customWidth="1"/>
    <col min="110" max="110" width="18.5703125" bestFit="1" customWidth="1"/>
    <col min="111" max="111" width="9" bestFit="1" customWidth="1"/>
    <col min="112" max="112" width="13.42578125" bestFit="1" customWidth="1"/>
    <col min="113" max="113" width="12.42578125" bestFit="1" customWidth="1"/>
    <col min="114" max="114" width="21" bestFit="1" customWidth="1"/>
    <col min="115" max="115" width="13.85546875" bestFit="1" customWidth="1"/>
    <col min="116" max="116" width="6.5703125" bestFit="1" customWidth="1"/>
    <col min="117" max="117" width="14.85546875" bestFit="1" customWidth="1"/>
    <col min="118" max="118" width="14.5703125" bestFit="1" customWidth="1"/>
    <col min="119" max="119" width="7.28515625" bestFit="1" customWidth="1"/>
    <col min="120" max="120" width="15.7109375" bestFit="1" customWidth="1"/>
    <col min="121" max="121" width="6.42578125" bestFit="1" customWidth="1"/>
    <col min="122" max="122" width="11" bestFit="1" customWidth="1"/>
    <col min="123" max="123" width="12.28515625" bestFit="1" customWidth="1"/>
    <col min="124" max="124" width="11.28515625" bestFit="1" customWidth="1"/>
  </cols>
  <sheetData>
    <row r="3" spans="1:2" x14ac:dyDescent="0.25">
      <c r="A3" s="10" t="s">
        <v>0</v>
      </c>
      <c r="B3" t="s">
        <v>1</v>
      </c>
    </row>
    <row r="4" spans="1:2" x14ac:dyDescent="0.25">
      <c r="A4" s="11" t="s">
        <v>2</v>
      </c>
      <c r="B4" s="4">
        <v>3.0652007323607146E-2</v>
      </c>
    </row>
    <row r="5" spans="1:2" x14ac:dyDescent="0.25">
      <c r="A5" s="11" t="s">
        <v>3</v>
      </c>
      <c r="B5" s="4">
        <v>8.095434031057662E-2</v>
      </c>
    </row>
    <row r="6" spans="1:2" x14ac:dyDescent="0.25">
      <c r="A6" s="11" t="s">
        <v>4</v>
      </c>
      <c r="B6" s="4">
        <v>2.9613761137203633E-2</v>
      </c>
    </row>
    <row r="7" spans="1:2" x14ac:dyDescent="0.25">
      <c r="A7" s="11" t="s">
        <v>5</v>
      </c>
      <c r="B7" s="4">
        <v>5.4463008523677553E-2</v>
      </c>
    </row>
    <row r="8" spans="1:2" x14ac:dyDescent="0.25">
      <c r="A8" s="11" t="s">
        <v>6</v>
      </c>
      <c r="B8" s="4">
        <v>4.3279738465089583E-2</v>
      </c>
    </row>
    <row r="9" spans="1:2" x14ac:dyDescent="0.25">
      <c r="A9" s="11" t="s">
        <v>7</v>
      </c>
      <c r="B9" s="4">
        <v>5.3868002282297517E-2</v>
      </c>
    </row>
    <row r="10" spans="1:2" x14ac:dyDescent="0.25">
      <c r="A10" s="11" t="s">
        <v>8</v>
      </c>
      <c r="B10" s="4">
        <v>6.3572504012789563E-2</v>
      </c>
    </row>
    <row r="11" spans="1:2" x14ac:dyDescent="0.25">
      <c r="A11" s="11" t="s">
        <v>9</v>
      </c>
      <c r="B11" s="4">
        <v>4.957881130921362E-2</v>
      </c>
    </row>
    <row r="18" spans="1:4" x14ac:dyDescent="0.25">
      <c r="A18" s="10" t="s">
        <v>10</v>
      </c>
      <c r="B18" s="10" t="s">
        <v>11</v>
      </c>
    </row>
    <row r="19" spans="1:4" x14ac:dyDescent="0.25">
      <c r="A19" s="10" t="s">
        <v>12</v>
      </c>
      <c r="B19" t="s">
        <v>13</v>
      </c>
      <c r="C19" t="s">
        <v>14</v>
      </c>
      <c r="D19" t="s">
        <v>9</v>
      </c>
    </row>
    <row r="20" spans="1:4" x14ac:dyDescent="0.25">
      <c r="A20" s="11" t="s">
        <v>2</v>
      </c>
      <c r="C20">
        <v>72</v>
      </c>
      <c r="D20">
        <v>72</v>
      </c>
    </row>
    <row r="21" spans="1:4" x14ac:dyDescent="0.25">
      <c r="A21" s="11" t="s">
        <v>3</v>
      </c>
      <c r="B21">
        <v>12</v>
      </c>
      <c r="C21">
        <v>60</v>
      </c>
      <c r="D21">
        <v>72</v>
      </c>
    </row>
    <row r="22" spans="1:4" x14ac:dyDescent="0.25">
      <c r="A22" s="11" t="s">
        <v>4</v>
      </c>
      <c r="C22">
        <v>252</v>
      </c>
      <c r="D22">
        <v>252</v>
      </c>
    </row>
    <row r="23" spans="1:4" x14ac:dyDescent="0.25">
      <c r="A23" s="11" t="s">
        <v>5</v>
      </c>
      <c r="B23">
        <v>16</v>
      </c>
      <c r="C23">
        <v>356</v>
      </c>
      <c r="D23">
        <v>372</v>
      </c>
    </row>
    <row r="24" spans="1:4" x14ac:dyDescent="0.25">
      <c r="A24" s="11" t="s">
        <v>6</v>
      </c>
      <c r="B24">
        <v>30</v>
      </c>
      <c r="C24">
        <v>198</v>
      </c>
      <c r="D24">
        <v>228</v>
      </c>
    </row>
    <row r="25" spans="1:4" x14ac:dyDescent="0.25">
      <c r="A25" s="11" t="s">
        <v>7</v>
      </c>
      <c r="B25">
        <v>139</v>
      </c>
      <c r="C25">
        <v>149</v>
      </c>
      <c r="D25">
        <v>288</v>
      </c>
    </row>
    <row r="26" spans="1:4" x14ac:dyDescent="0.25">
      <c r="A26" s="11" t="s">
        <v>8</v>
      </c>
      <c r="B26">
        <v>60</v>
      </c>
      <c r="C26">
        <v>120</v>
      </c>
      <c r="D26">
        <v>180</v>
      </c>
    </row>
    <row r="27" spans="1:4" x14ac:dyDescent="0.25">
      <c r="A27" s="11" t="s">
        <v>9</v>
      </c>
      <c r="B27">
        <v>257</v>
      </c>
      <c r="C27">
        <v>1207</v>
      </c>
      <c r="D27">
        <v>1464</v>
      </c>
    </row>
    <row r="35" spans="1:14" x14ac:dyDescent="0.25">
      <c r="A35" s="10" t="s">
        <v>15</v>
      </c>
      <c r="B35" s="10" t="s">
        <v>11</v>
      </c>
    </row>
    <row r="36" spans="1:14" x14ac:dyDescent="0.25">
      <c r="A36" s="10" t="s">
        <v>12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9</v>
      </c>
    </row>
    <row r="37" spans="1:14" x14ac:dyDescent="0.25">
      <c r="A37" s="11" t="s">
        <v>2</v>
      </c>
      <c r="B37" s="4">
        <v>3.0183275888623091E-2</v>
      </c>
      <c r="C37" s="4">
        <v>9.328400647266949E-2</v>
      </c>
      <c r="D37" s="4">
        <v>5.2147896466210181E-2</v>
      </c>
      <c r="E37" s="4">
        <v>3.6333354733204336E-2</v>
      </c>
      <c r="F37" s="4">
        <v>0.12636808418018844</v>
      </c>
      <c r="G37" s="4">
        <v>0.13148020447252518</v>
      </c>
      <c r="H37" s="4">
        <v>6.669717397108281E-2</v>
      </c>
      <c r="I37" s="4">
        <v>5.0381280147815594E-2</v>
      </c>
      <c r="J37" s="4">
        <v>-3.2290579916257243E-2</v>
      </c>
      <c r="K37" s="4">
        <v>-2.3176578036423454E-2</v>
      </c>
      <c r="L37" s="4">
        <v>-6.9052007295892462E-2</v>
      </c>
      <c r="M37" s="4">
        <v>-9.4532023200460391E-2</v>
      </c>
      <c r="N37" s="4">
        <v>3.0652007323607146E-2</v>
      </c>
    </row>
    <row r="38" spans="1:14" x14ac:dyDescent="0.25">
      <c r="A38" s="11" t="s">
        <v>3</v>
      </c>
      <c r="B38" s="4">
        <v>6.355473224947332E-2</v>
      </c>
      <c r="C38" s="4">
        <v>8.249631575669826E-2</v>
      </c>
      <c r="D38" s="4">
        <v>0.1523252175317521</v>
      </c>
      <c r="E38" s="4">
        <v>6.0972731496798015E-2</v>
      </c>
      <c r="F38" s="4">
        <v>0.13395554164602805</v>
      </c>
      <c r="G38" s="4">
        <v>0.10988409373250858</v>
      </c>
      <c r="H38" s="4">
        <v>0.11838449425469344</v>
      </c>
      <c r="I38" s="4">
        <v>7.0366483316702019E-2</v>
      </c>
      <c r="J38" s="4">
        <v>5.4988019529465589E-2</v>
      </c>
      <c r="K38" s="4">
        <v>7.6548814065249784E-2</v>
      </c>
      <c r="L38" s="4">
        <v>3.9178206276343663E-2</v>
      </c>
      <c r="M38" s="4">
        <v>8.7974338712065656E-3</v>
      </c>
      <c r="N38" s="4">
        <v>8.095434031057662E-2</v>
      </c>
    </row>
    <row r="39" spans="1:14" x14ac:dyDescent="0.25">
      <c r="A39" s="11" t="s">
        <v>4</v>
      </c>
      <c r="B39" s="4">
        <v>2.4670597401929069E-2</v>
      </c>
      <c r="C39" s="4">
        <v>6.3580562587990316E-2</v>
      </c>
      <c r="D39" s="4">
        <v>5.8836374271478607E-2</v>
      </c>
      <c r="E39" s="4">
        <v>3.1240260919078784E-2</v>
      </c>
      <c r="F39" s="4">
        <v>8.1702678611168242E-2</v>
      </c>
      <c r="G39" s="4">
        <v>7.1334135956818534E-2</v>
      </c>
      <c r="H39" s="4">
        <v>6.4059712997726614E-2</v>
      </c>
      <c r="I39" s="4">
        <v>3.3714334657174549E-2</v>
      </c>
      <c r="J39" s="4">
        <v>-1.9485758696921622E-3</v>
      </c>
      <c r="K39" s="4">
        <v>-4.7823401024669294E-3</v>
      </c>
      <c r="L39" s="4">
        <v>-1.5059359761021648E-2</v>
      </c>
      <c r="M39" s="4">
        <v>-5.1983248023739999E-2</v>
      </c>
      <c r="N39" s="4">
        <v>2.9613761137203633E-2</v>
      </c>
    </row>
    <row r="40" spans="1:14" x14ac:dyDescent="0.25">
      <c r="A40" s="11" t="s">
        <v>5</v>
      </c>
      <c r="B40" s="4">
        <v>3.7470577439061521E-2</v>
      </c>
      <c r="C40" s="4">
        <v>6.8458218375809413E-2</v>
      </c>
      <c r="D40" s="4">
        <v>8.7641931190590064E-2</v>
      </c>
      <c r="E40" s="4">
        <v>5.3920779628623398E-2</v>
      </c>
      <c r="F40" s="4">
        <v>0.10036719847305987</v>
      </c>
      <c r="G40" s="4">
        <v>8.8411367311731159E-2</v>
      </c>
      <c r="H40" s="4">
        <v>9.262225991126162E-2</v>
      </c>
      <c r="I40" s="4">
        <v>6.5165906399737517E-2</v>
      </c>
      <c r="J40" s="4">
        <v>4.2820585069266469E-2</v>
      </c>
      <c r="K40" s="4">
        <v>9.2156990706080064E-3</v>
      </c>
      <c r="L40" s="4">
        <v>1.574058275119276E-2</v>
      </c>
      <c r="M40" s="4">
        <v>-8.279003336810498E-3</v>
      </c>
      <c r="N40" s="4">
        <v>5.4463008523677553E-2</v>
      </c>
    </row>
    <row r="41" spans="1:14" x14ac:dyDescent="0.25">
      <c r="A41" s="11" t="s">
        <v>6</v>
      </c>
      <c r="B41" s="4">
        <v>2.4981843778056591E-2</v>
      </c>
      <c r="C41" s="4">
        <v>6.2012535710537088E-2</v>
      </c>
      <c r="D41" s="4">
        <v>3.9191194057846927E-2</v>
      </c>
      <c r="E41" s="4">
        <v>5.2275824810684192E-2</v>
      </c>
      <c r="F41" s="4">
        <v>9.6138767513564052E-2</v>
      </c>
      <c r="G41" s="4">
        <v>4.2933383016542953E-2</v>
      </c>
      <c r="H41" s="4">
        <v>0.10483769050771891</v>
      </c>
      <c r="I41" s="4">
        <v>4.1553583767983515E-2</v>
      </c>
      <c r="J41" s="4">
        <v>1.9278053316504076E-2</v>
      </c>
      <c r="K41" s="4">
        <v>2.2670995601156443E-2</v>
      </c>
      <c r="L41" s="4">
        <v>1.8967768235652816E-2</v>
      </c>
      <c r="M41" s="4">
        <v>-5.4847787351729243E-3</v>
      </c>
      <c r="N41" s="4">
        <v>4.3279738465089583E-2</v>
      </c>
    </row>
    <row r="42" spans="1:14" x14ac:dyDescent="0.25">
      <c r="A42" s="11" t="s">
        <v>7</v>
      </c>
      <c r="B42" s="4">
        <v>2.4249506537756149E-2</v>
      </c>
      <c r="C42" s="4">
        <v>8.3144286369783577E-2</v>
      </c>
      <c r="D42" s="4">
        <v>3.9904460228142848E-2</v>
      </c>
      <c r="E42" s="4">
        <v>4.9141617838309865E-2</v>
      </c>
      <c r="F42" s="4">
        <v>0.12647472088036149</v>
      </c>
      <c r="G42" s="4">
        <v>9.3320000131450601E-2</v>
      </c>
      <c r="H42" s="4">
        <v>9.2875525407806359E-2</v>
      </c>
      <c r="I42" s="4">
        <v>7.4476765973294723E-2</v>
      </c>
      <c r="J42" s="4">
        <v>4.2922297771712463E-2</v>
      </c>
      <c r="K42" s="4">
        <v>1.4598590789748754E-2</v>
      </c>
      <c r="L42" s="4">
        <v>1.1835625160577684E-2</v>
      </c>
      <c r="M42" s="4">
        <v>-6.527369701374343E-3</v>
      </c>
      <c r="N42" s="4">
        <v>5.3868002282297517E-2</v>
      </c>
    </row>
    <row r="43" spans="1:14" x14ac:dyDescent="0.25">
      <c r="A43" s="11" t="s">
        <v>8</v>
      </c>
      <c r="B43" s="4">
        <v>3.0627202961739253E-2</v>
      </c>
      <c r="C43" s="4">
        <v>8.8904627158491206E-2</v>
      </c>
      <c r="D43" s="4">
        <v>7.8610430727097599E-2</v>
      </c>
      <c r="E43" s="4">
        <v>6.6866478322149578E-2</v>
      </c>
      <c r="F43" s="4">
        <v>0.11386628064481377</v>
      </c>
      <c r="G43" s="4">
        <v>0.12206302094030654</v>
      </c>
      <c r="H43" s="4">
        <v>0.12064299025179782</v>
      </c>
      <c r="I43" s="4">
        <v>5.6792817595173378E-2</v>
      </c>
      <c r="J43" s="4">
        <v>4.25003515715284E-2</v>
      </c>
      <c r="K43" s="4">
        <v>1.8070891406610178E-2</v>
      </c>
      <c r="L43" s="4">
        <v>1.6681818663855319E-2</v>
      </c>
      <c r="M43" s="4">
        <v>7.2431379099119585E-3</v>
      </c>
      <c r="N43" s="4">
        <v>6.3572504012789563E-2</v>
      </c>
    </row>
    <row r="44" spans="1:14" x14ac:dyDescent="0.25">
      <c r="A44" s="11" t="s">
        <v>9</v>
      </c>
      <c r="B44" s="4">
        <v>3.0804505967174649E-2</v>
      </c>
      <c r="C44" s="4">
        <v>7.3929089968249762E-2</v>
      </c>
      <c r="D44" s="4">
        <v>6.6072119705558166E-2</v>
      </c>
      <c r="E44" s="4">
        <v>4.9893957701005513E-2</v>
      </c>
      <c r="F44" s="4">
        <v>0.10622217419684662</v>
      </c>
      <c r="G44" s="4">
        <v>8.6666513324268737E-2</v>
      </c>
      <c r="H44" s="4">
        <v>9.3095144448909886E-2</v>
      </c>
      <c r="I44" s="4">
        <v>5.640560201522947E-2</v>
      </c>
      <c r="J44" s="4">
        <v>2.8333000939922765E-2</v>
      </c>
      <c r="K44" s="4">
        <v>1.276778206299259E-2</v>
      </c>
      <c r="L44" s="4">
        <v>7.2716277416174256E-3</v>
      </c>
      <c r="M44" s="4">
        <v>-1.6515782361211307E-2</v>
      </c>
      <c r="N44" s="4">
        <v>4.9578811309213683E-2</v>
      </c>
    </row>
    <row r="50" spans="1:14" x14ac:dyDescent="0.25">
      <c r="A50" t="s">
        <v>28</v>
      </c>
    </row>
    <row r="52" spans="1:14" x14ac:dyDescent="0.25">
      <c r="A52" s="10" t="s">
        <v>15</v>
      </c>
      <c r="B52" s="10" t="s">
        <v>11</v>
      </c>
    </row>
    <row r="53" spans="1:14" x14ac:dyDescent="0.25">
      <c r="A53" s="10" t="s">
        <v>12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9</v>
      </c>
    </row>
    <row r="54" spans="1:14" x14ac:dyDescent="0.25">
      <c r="A54" s="11" t="s">
        <v>2</v>
      </c>
      <c r="B54" s="4">
        <v>3.0183275888623091E-2</v>
      </c>
      <c r="C54" s="4">
        <v>9.328400647266949E-2</v>
      </c>
      <c r="D54" s="4">
        <v>5.2147896466210181E-2</v>
      </c>
      <c r="E54" s="4">
        <v>3.6333354733204336E-2</v>
      </c>
      <c r="F54" s="4">
        <v>0.12636808418018844</v>
      </c>
      <c r="G54" s="4">
        <v>0.13148020447252518</v>
      </c>
      <c r="H54" s="4">
        <v>6.669717397108281E-2</v>
      </c>
      <c r="I54" s="4">
        <v>5.0381280147815594E-2</v>
      </c>
      <c r="J54" s="4">
        <v>-3.2290579916257243E-2</v>
      </c>
      <c r="K54" s="4">
        <v>-2.3176578036423454E-2</v>
      </c>
      <c r="L54" s="4">
        <v>-6.9052007295892462E-2</v>
      </c>
      <c r="M54" s="4">
        <v>-9.4532023200460391E-2</v>
      </c>
      <c r="N54" s="4">
        <v>3.0652007323607146E-2</v>
      </c>
    </row>
    <row r="55" spans="1:14" x14ac:dyDescent="0.25">
      <c r="A55" s="11" t="s">
        <v>3</v>
      </c>
      <c r="B55" s="4">
        <v>6.355473224947332E-2</v>
      </c>
      <c r="C55" s="4">
        <v>8.249631575669826E-2</v>
      </c>
      <c r="D55" s="4">
        <v>0.1523252175317521</v>
      </c>
      <c r="E55" s="4">
        <v>6.0972731496798015E-2</v>
      </c>
      <c r="F55" s="4">
        <v>0.13395554164602805</v>
      </c>
      <c r="G55" s="4">
        <v>0.10988409373250858</v>
      </c>
      <c r="H55" s="4">
        <v>0.11838449425469344</v>
      </c>
      <c r="I55" s="4">
        <v>7.0366483316702019E-2</v>
      </c>
      <c r="J55" s="4">
        <v>5.4988019529465589E-2</v>
      </c>
      <c r="K55" s="4">
        <v>7.6548814065249784E-2</v>
      </c>
      <c r="L55" s="4">
        <v>3.9178206276343663E-2</v>
      </c>
      <c r="M55" s="4">
        <v>8.7974338712065656E-3</v>
      </c>
      <c r="N55" s="4">
        <v>8.095434031057662E-2</v>
      </c>
    </row>
    <row r="56" spans="1:14" x14ac:dyDescent="0.25">
      <c r="A56" s="11" t="s">
        <v>4</v>
      </c>
      <c r="B56" s="4">
        <v>2.4670597401929069E-2</v>
      </c>
      <c r="C56" s="4">
        <v>6.3580562587990316E-2</v>
      </c>
      <c r="D56" s="4">
        <v>5.8836374271478607E-2</v>
      </c>
      <c r="E56" s="4">
        <v>3.1240260919078784E-2</v>
      </c>
      <c r="F56" s="4">
        <v>8.1702678611168242E-2</v>
      </c>
      <c r="G56" s="4">
        <v>7.1334135956818534E-2</v>
      </c>
      <c r="H56" s="4">
        <v>6.4059712997726614E-2</v>
      </c>
      <c r="I56" s="4">
        <v>3.3714334657174549E-2</v>
      </c>
      <c r="J56" s="4">
        <v>-1.9485758696921622E-3</v>
      </c>
      <c r="K56" s="4">
        <v>-4.7823401024669294E-3</v>
      </c>
      <c r="L56" s="4">
        <v>-1.5059359761021648E-2</v>
      </c>
      <c r="M56" s="4">
        <v>-5.1983248023739999E-2</v>
      </c>
      <c r="N56" s="4">
        <v>2.9613761137203633E-2</v>
      </c>
    </row>
    <row r="57" spans="1:14" x14ac:dyDescent="0.25">
      <c r="A57" s="11" t="s">
        <v>5</v>
      </c>
      <c r="B57" s="4">
        <v>3.7470577439061521E-2</v>
      </c>
      <c r="C57" s="4">
        <v>6.8458218375809413E-2</v>
      </c>
      <c r="D57" s="4">
        <v>8.7641931190590064E-2</v>
      </c>
      <c r="E57" s="4">
        <v>5.3920779628623398E-2</v>
      </c>
      <c r="F57" s="4">
        <v>0.10036719847305987</v>
      </c>
      <c r="G57" s="4">
        <v>8.8411367311731159E-2</v>
      </c>
      <c r="H57" s="4">
        <v>9.262225991126162E-2</v>
      </c>
      <c r="I57" s="4">
        <v>6.5165906399737517E-2</v>
      </c>
      <c r="J57" s="4">
        <v>4.2820585069266469E-2</v>
      </c>
      <c r="K57" s="4">
        <v>9.2156990706080064E-3</v>
      </c>
      <c r="L57" s="4">
        <v>1.574058275119276E-2</v>
      </c>
      <c r="M57" s="4">
        <v>-8.279003336810498E-3</v>
      </c>
      <c r="N57" s="4">
        <v>5.4463008523677553E-2</v>
      </c>
    </row>
    <row r="58" spans="1:14" x14ac:dyDescent="0.25">
      <c r="A58" s="11" t="s">
        <v>6</v>
      </c>
      <c r="B58" s="4">
        <v>2.4981843778056591E-2</v>
      </c>
      <c r="C58" s="4">
        <v>6.2012535710537088E-2</v>
      </c>
      <c r="D58" s="4">
        <v>3.9191194057846927E-2</v>
      </c>
      <c r="E58" s="4">
        <v>5.2275824810684192E-2</v>
      </c>
      <c r="F58" s="4">
        <v>9.6138767513564052E-2</v>
      </c>
      <c r="G58" s="4">
        <v>4.2933383016542953E-2</v>
      </c>
      <c r="H58" s="4">
        <v>0.10483769050771891</v>
      </c>
      <c r="I58" s="4">
        <v>4.1553583767983515E-2</v>
      </c>
      <c r="J58" s="4">
        <v>1.9278053316504076E-2</v>
      </c>
      <c r="K58" s="4">
        <v>2.2670995601156443E-2</v>
      </c>
      <c r="L58" s="4">
        <v>1.8967768235652816E-2</v>
      </c>
      <c r="M58" s="4">
        <v>-5.4847787351729243E-3</v>
      </c>
      <c r="N58" s="4">
        <v>4.3279738465089583E-2</v>
      </c>
    </row>
    <row r="59" spans="1:14" x14ac:dyDescent="0.25">
      <c r="A59" s="11" t="s">
        <v>7</v>
      </c>
      <c r="B59" s="4">
        <v>2.4249506537756149E-2</v>
      </c>
      <c r="C59" s="4">
        <v>8.3144286369783577E-2</v>
      </c>
      <c r="D59" s="4">
        <v>3.9904460228142848E-2</v>
      </c>
      <c r="E59" s="4">
        <v>4.9141617838309865E-2</v>
      </c>
      <c r="F59" s="4">
        <v>0.12647472088036149</v>
      </c>
      <c r="G59" s="4">
        <v>9.3320000131450601E-2</v>
      </c>
      <c r="H59" s="4">
        <v>9.2875525407806359E-2</v>
      </c>
      <c r="I59" s="4">
        <v>7.4476765973294723E-2</v>
      </c>
      <c r="J59" s="4">
        <v>4.2922297771712463E-2</v>
      </c>
      <c r="K59" s="4">
        <v>1.4598590789748754E-2</v>
      </c>
      <c r="L59" s="4">
        <v>1.1835625160577684E-2</v>
      </c>
      <c r="M59" s="4">
        <v>-6.527369701374343E-3</v>
      </c>
      <c r="N59" s="4">
        <v>5.3868002282297517E-2</v>
      </c>
    </row>
    <row r="60" spans="1:14" x14ac:dyDescent="0.25">
      <c r="A60" s="11" t="s">
        <v>8</v>
      </c>
      <c r="B60" s="4">
        <v>3.0627202961739253E-2</v>
      </c>
      <c r="C60" s="4">
        <v>8.8904627158491206E-2</v>
      </c>
      <c r="D60" s="4">
        <v>7.8610430727097599E-2</v>
      </c>
      <c r="E60" s="4">
        <v>6.6866478322149578E-2</v>
      </c>
      <c r="F60" s="4">
        <v>0.11386628064481377</v>
      </c>
      <c r="G60" s="4">
        <v>0.12206302094030654</v>
      </c>
      <c r="H60" s="4">
        <v>0.12064299025179782</v>
      </c>
      <c r="I60" s="4">
        <v>5.6792817595173378E-2</v>
      </c>
      <c r="J60" s="4">
        <v>4.25003515715284E-2</v>
      </c>
      <c r="K60" s="4">
        <v>1.8070891406610178E-2</v>
      </c>
      <c r="L60" s="4">
        <v>1.6681818663855319E-2</v>
      </c>
      <c r="M60" s="4">
        <v>7.2431379099119585E-3</v>
      </c>
      <c r="N60" s="4">
        <v>6.3572504012789563E-2</v>
      </c>
    </row>
    <row r="61" spans="1:14" x14ac:dyDescent="0.25">
      <c r="A61" s="11" t="s">
        <v>9</v>
      </c>
      <c r="B61" s="4">
        <v>3.0804505967174649E-2</v>
      </c>
      <c r="C61" s="4">
        <v>7.3929089968249762E-2</v>
      </c>
      <c r="D61" s="4">
        <v>6.6072119705558166E-2</v>
      </c>
      <c r="E61" s="4">
        <v>4.9893957701005513E-2</v>
      </c>
      <c r="F61" s="4">
        <v>0.10622217419684662</v>
      </c>
      <c r="G61" s="4">
        <v>8.6666513324268737E-2</v>
      </c>
      <c r="H61" s="4">
        <v>9.3095144448909886E-2</v>
      </c>
      <c r="I61" s="4">
        <v>5.640560201522947E-2</v>
      </c>
      <c r="J61" s="4">
        <v>2.8333000939922765E-2</v>
      </c>
      <c r="K61" s="4">
        <v>1.276778206299259E-2</v>
      </c>
      <c r="L61" s="4">
        <v>7.2716277416174256E-3</v>
      </c>
      <c r="M61" s="4">
        <v>-1.6515782361211307E-2</v>
      </c>
      <c r="N61" s="4">
        <v>4.9578811309213683E-2</v>
      </c>
    </row>
  </sheetData>
  <conditionalFormatting sqref="B36:J36">
    <cfRule type="top10" dxfId="52" priority="34" bottom="1" rank="5"/>
    <cfRule type="top10" dxfId="51" priority="35" rank="5"/>
  </conditionalFormatting>
  <conditionalFormatting sqref="B36:M36">
    <cfRule type="top10" dxfId="50" priority="32" bottom="1" rank="10"/>
    <cfRule type="top10" dxfId="49" priority="33" rank="10"/>
  </conditionalFormatting>
  <conditionalFormatting pivot="1" sqref="C20:C2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{28A79BC9-E4C5-48C3-B6C1-9CB8C52B2DDE}</x14:id>
        </ext>
      </extLst>
    </cfRule>
  </conditionalFormatting>
  <conditionalFormatting pivot="1" sqref="B20:B26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{64F74B19-381E-4002-86EE-7CA150ED7A10}</x14:id>
        </ext>
      </extLst>
    </cfRule>
  </conditionalFormatting>
  <conditionalFormatting pivot="1" sqref="B54:B60">
    <cfRule type="top10" dxfId="48" priority="27" rank="3"/>
  </conditionalFormatting>
  <conditionalFormatting pivot="1" sqref="C54:C60">
    <cfRule type="top10" dxfId="47" priority="26" rank="3"/>
  </conditionalFormatting>
  <conditionalFormatting pivot="1" sqref="D54:D60">
    <cfRule type="top10" dxfId="46" priority="25" rank="3"/>
  </conditionalFormatting>
  <conditionalFormatting pivot="1" sqref="E54:E60">
    <cfRule type="top10" dxfId="45" priority="24" rank="3"/>
  </conditionalFormatting>
  <conditionalFormatting pivot="1" sqref="F54:F60">
    <cfRule type="top10" dxfId="44" priority="23" rank="3"/>
  </conditionalFormatting>
  <conditionalFormatting pivot="1" sqref="G54:G60">
    <cfRule type="top10" dxfId="43" priority="22" rank="3"/>
  </conditionalFormatting>
  <conditionalFormatting pivot="1" sqref="H54:H60">
    <cfRule type="top10" dxfId="42" priority="21" rank="3"/>
  </conditionalFormatting>
  <conditionalFormatting pivot="1" sqref="I54:I60">
    <cfRule type="top10" dxfId="41" priority="20" rank="3"/>
  </conditionalFormatting>
  <conditionalFormatting pivot="1" sqref="J54:J60">
    <cfRule type="top10" dxfId="40" priority="19" rank="3"/>
  </conditionalFormatting>
  <conditionalFormatting pivot="1" sqref="K54:K60">
    <cfRule type="top10" dxfId="39" priority="18" rank="3"/>
  </conditionalFormatting>
  <conditionalFormatting pivot="1" sqref="L54:L60">
    <cfRule type="top10" dxfId="38" priority="17" rank="3"/>
  </conditionalFormatting>
  <conditionalFormatting pivot="1" sqref="M54:M60">
    <cfRule type="top10" dxfId="37" priority="16" rank="3"/>
  </conditionalFormatting>
  <conditionalFormatting sqref="F66">
    <cfRule type="iconSet" priority="13">
      <iconSet>
        <cfvo type="percent" val="0"/>
        <cfvo type="percent" val="5"/>
        <cfvo type="percent" val="5" gte="0"/>
      </iconSet>
    </cfRule>
  </conditionalFormatting>
  <conditionalFormatting pivot="1" sqref="B70:M76">
    <cfRule type="iconSet" priority="8">
      <iconSet>
        <cfvo type="percent" val="0"/>
        <cfvo type="num" val="$B$66"/>
        <cfvo type="num" val="$B$66" gte="0"/>
      </iconSe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8A79BC9-E4C5-48C3-B6C1-9CB8C52B2D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C20:C26</xm:sqref>
        </x14:conditionalFormatting>
        <x14:conditionalFormatting xmlns:xm="http://schemas.microsoft.com/office/excel/2006/main" pivot="1">
          <x14:cfRule type="dataBar" id="{64F74B19-381E-4002-86EE-7CA150ED7A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B20:B26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7"/>
  <sheetViews>
    <sheetView showGridLines="0" zoomScaleNormal="100" workbookViewId="0">
      <selection activeCell="E1" sqref="E1"/>
    </sheetView>
  </sheetViews>
  <sheetFormatPr defaultRowHeight="15" x14ac:dyDescent="0.25"/>
  <cols>
    <col min="1" max="1" width="4" bestFit="1" customWidth="1"/>
    <col min="2" max="2" width="19.28515625" bestFit="1" customWidth="1"/>
    <col min="3" max="3" width="29.85546875" bestFit="1" customWidth="1"/>
    <col min="4" max="4" width="6" bestFit="1" customWidth="1"/>
    <col min="5" max="5" width="6.42578125" bestFit="1" customWidth="1"/>
    <col min="6" max="6" width="9.42578125" bestFit="1" customWidth="1"/>
    <col min="7" max="7" width="6.7109375" bestFit="1" customWidth="1"/>
    <col min="8" max="8" width="6.5703125" bestFit="1" customWidth="1"/>
    <col min="9" max="9" width="16.5703125" bestFit="1" customWidth="1"/>
    <col min="10" max="10" width="20.140625" bestFit="1" customWidth="1"/>
    <col min="11" max="11" width="20.7109375" bestFit="1" customWidth="1"/>
    <col min="12" max="12" width="18.140625" bestFit="1" customWidth="1"/>
    <col min="13" max="13" width="13.5703125" bestFit="1" customWidth="1"/>
    <col min="14" max="14" width="18.85546875" bestFit="1" customWidth="1"/>
  </cols>
  <sheetData>
    <row r="1" spans="1:14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>
        <v>1</v>
      </c>
      <c r="B2" t="s">
        <v>6</v>
      </c>
      <c r="C2" t="s">
        <v>43</v>
      </c>
      <c r="D2">
        <v>1</v>
      </c>
      <c r="E2">
        <v>2021</v>
      </c>
      <c r="F2" s="2">
        <f>DATE(Table1[[#This Row],[Tahun]],Table1[[#This Row],[Bulan]],1)</f>
        <v>44197</v>
      </c>
      <c r="G2">
        <v>1242</v>
      </c>
      <c r="H2">
        <v>1172</v>
      </c>
      <c r="I2" s="5">
        <f>(Table1[[#This Row],[Aktual]]-Table1[[#This Row],[Target]])</f>
        <v>70</v>
      </c>
      <c r="J2" s="3">
        <f>(Table1[[#This Row],[Aktual]]-Table1[[#This Row],[Target]])/Table1[[#This Row],[Target]]</f>
        <v>5.9726962457337884E-2</v>
      </c>
      <c r="K2" t="str">
        <f>IF(Table1[[#This Row],[Performance Gap (%)]]&lt;0,"Tidak mencapai target", IF(Table1[[#This Row],[Performance Gap (%)]]=0,"Mencapai target", "Melebihi Target"))</f>
        <v>Melebihi Target</v>
      </c>
      <c r="L2">
        <f>VLOOKUP(Table1[[#This Row],[Propinsi]]&amp;"_"&amp;Table1[[#This Row],[Dati 2]]&amp;"_"&amp;Table1[[#This Row],[Tanggal]],Table2[[#All],[Kompetitor area]:[Jumlah Kompetitor]],7,0)</f>
        <v>340</v>
      </c>
      <c r="M2">
        <f>Table1[[#This Row],[Aktual]]-Table1[[#This Row],[Jumlah Kompetitor]]</f>
        <v>902</v>
      </c>
      <c r="N2" t="str">
        <f>IF(Table1[[#This Row],[vs Kompetitor]]&gt;0,"Win", "Lose")</f>
        <v>Win</v>
      </c>
    </row>
    <row r="3" spans="1:14" x14ac:dyDescent="0.25">
      <c r="A3">
        <v>2</v>
      </c>
      <c r="B3" t="s">
        <v>6</v>
      </c>
      <c r="C3" t="s">
        <v>44</v>
      </c>
      <c r="D3">
        <v>1</v>
      </c>
      <c r="E3">
        <v>2021</v>
      </c>
      <c r="F3" s="2">
        <f>DATE(Table1[[#This Row],[Tahun]],Table1[[#This Row],[Bulan]],1)</f>
        <v>44197</v>
      </c>
      <c r="G3">
        <v>677</v>
      </c>
      <c r="H3">
        <v>633</v>
      </c>
      <c r="I3" s="6">
        <f>(Table1[[#This Row],[Aktual]]-Table1[[#This Row],[Target]])</f>
        <v>44</v>
      </c>
      <c r="J3" s="3">
        <f>(Table1[[#This Row],[Aktual]]-Table1[[#This Row],[Target]])/Table1[[#This Row],[Target]]</f>
        <v>6.9510268562401265E-2</v>
      </c>
      <c r="K3" t="str">
        <f>IF(Table1[[#This Row],[Performance Gap (%)]]&lt;0,"Tidak mencapai target", IF(Table1[[#This Row],[Performance Gap (%)]]=0,"Mencapai target", "Melebihi Target"))</f>
        <v>Melebihi Target</v>
      </c>
      <c r="L3">
        <f>VLOOKUP(Table1[[#This Row],[Propinsi]]&amp;"_"&amp;Table1[[#This Row],[Dati 2]]&amp;"_"&amp;Table1[[#This Row],[Tanggal]],Table2[[#All],[Kompetitor area]:[Jumlah Kompetitor]],7,0)</f>
        <v>142</v>
      </c>
      <c r="M3">
        <f>Table1[[#This Row],[Aktual]]-Table1[[#This Row],[Jumlah Kompetitor]]</f>
        <v>535</v>
      </c>
      <c r="N3" t="str">
        <f>IF(Table1[[#This Row],[vs Kompetitor]]&gt;0,"Win", "Lose")</f>
        <v>Win</v>
      </c>
    </row>
    <row r="4" spans="1:14" x14ac:dyDescent="0.25">
      <c r="A4">
        <v>3</v>
      </c>
      <c r="B4" t="s">
        <v>6</v>
      </c>
      <c r="C4" t="s">
        <v>45</v>
      </c>
      <c r="D4">
        <v>1</v>
      </c>
      <c r="E4">
        <v>2021</v>
      </c>
      <c r="F4" s="2">
        <f>DATE(Table1[[#This Row],[Tahun]],Table1[[#This Row],[Bulan]],1)</f>
        <v>44197</v>
      </c>
      <c r="G4">
        <v>836</v>
      </c>
      <c r="H4">
        <v>760</v>
      </c>
      <c r="I4" s="6">
        <f>(Table1[[#This Row],[Aktual]]-Table1[[#This Row],[Target]])</f>
        <v>76</v>
      </c>
      <c r="J4" s="3">
        <f>(Table1[[#This Row],[Aktual]]-Table1[[#This Row],[Target]])/Table1[[#This Row],[Target]]</f>
        <v>0.1</v>
      </c>
      <c r="K4" t="str">
        <f>IF(Table1[[#This Row],[Performance Gap (%)]]&lt;0,"Tidak mencapai target", IF(Table1[[#This Row],[Performance Gap (%)]]=0,"Mencapai target", "Melebihi Target"))</f>
        <v>Melebihi Target</v>
      </c>
      <c r="L4">
        <f>VLOOKUP(Table1[[#This Row],[Propinsi]]&amp;"_"&amp;Table1[[#This Row],[Dati 2]]&amp;"_"&amp;Table1[[#This Row],[Tanggal]],Table2[[#All],[Kompetitor area]:[Jumlah Kompetitor]],7,0)</f>
        <v>220</v>
      </c>
      <c r="M4">
        <f>Table1[[#This Row],[Aktual]]-Table1[[#This Row],[Jumlah Kompetitor]]</f>
        <v>616</v>
      </c>
      <c r="N4" t="str">
        <f>IF(Table1[[#This Row],[vs Kompetitor]]&gt;0,"Win", "Lose")</f>
        <v>Win</v>
      </c>
    </row>
    <row r="5" spans="1:14" x14ac:dyDescent="0.25">
      <c r="A5">
        <v>4</v>
      </c>
      <c r="B5" t="s">
        <v>6</v>
      </c>
      <c r="C5" t="s">
        <v>46</v>
      </c>
      <c r="D5">
        <v>1</v>
      </c>
      <c r="E5">
        <v>2021</v>
      </c>
      <c r="F5" s="2">
        <f>DATE(Table1[[#This Row],[Tahun]],Table1[[#This Row],[Bulan]],1)</f>
        <v>44197</v>
      </c>
      <c r="G5">
        <v>103</v>
      </c>
      <c r="H5">
        <v>103</v>
      </c>
      <c r="I5" s="6">
        <f>(Table1[[#This Row],[Aktual]]-Table1[[#This Row],[Target]])</f>
        <v>0</v>
      </c>
      <c r="J5" s="3">
        <f>(Table1[[#This Row],[Aktual]]-Table1[[#This Row],[Target]])/Table1[[#This Row],[Target]]</f>
        <v>0</v>
      </c>
      <c r="K5" t="str">
        <f>IF(Table1[[#This Row],[Performance Gap (%)]]&lt;0,"Tidak mencapai target", IF(Table1[[#This Row],[Performance Gap (%)]]=0,"Mencapai target", "Melebihi Target"))</f>
        <v>Mencapai target</v>
      </c>
      <c r="L5">
        <f>VLOOKUP(Table1[[#This Row],[Propinsi]]&amp;"_"&amp;Table1[[#This Row],[Dati 2]]&amp;"_"&amp;Table1[[#This Row],[Tanggal]],Table2[[#All],[Kompetitor area]:[Jumlah Kompetitor]],7,0)</f>
        <v>143</v>
      </c>
      <c r="M5">
        <f>Table1[[#This Row],[Aktual]]-Table1[[#This Row],[Jumlah Kompetitor]]</f>
        <v>-40</v>
      </c>
      <c r="N5" t="str">
        <f>IF(Table1[[#This Row],[vs Kompetitor]]&gt;0,"Win", "Lose")</f>
        <v>Lose</v>
      </c>
    </row>
    <row r="6" spans="1:14" x14ac:dyDescent="0.25">
      <c r="A6">
        <v>5</v>
      </c>
      <c r="B6" t="s">
        <v>6</v>
      </c>
      <c r="C6" t="s">
        <v>47</v>
      </c>
      <c r="D6">
        <v>1</v>
      </c>
      <c r="E6">
        <v>2021</v>
      </c>
      <c r="F6" s="2">
        <f>DATE(Table1[[#This Row],[Tahun]],Table1[[#This Row],[Bulan]],1)</f>
        <v>44197</v>
      </c>
      <c r="G6">
        <v>1116</v>
      </c>
      <c r="H6">
        <v>1043</v>
      </c>
      <c r="I6" s="6">
        <f>(Table1[[#This Row],[Aktual]]-Table1[[#This Row],[Target]])</f>
        <v>73</v>
      </c>
      <c r="J6" s="3">
        <f>(Table1[[#This Row],[Aktual]]-Table1[[#This Row],[Target]])/Table1[[#This Row],[Target]]</f>
        <v>6.9990412272291469E-2</v>
      </c>
      <c r="K6" t="str">
        <f>IF(Table1[[#This Row],[Performance Gap (%)]]&lt;0,"Tidak mencapai target", IF(Table1[[#This Row],[Performance Gap (%)]]=0,"Mencapai target", "Melebihi Target"))</f>
        <v>Melebihi Target</v>
      </c>
      <c r="L6">
        <f>VLOOKUP(Table1[[#This Row],[Propinsi]]&amp;"_"&amp;Table1[[#This Row],[Dati 2]]&amp;"_"&amp;Table1[[#This Row],[Tanggal]],Table2[[#All],[Kompetitor area]:[Jumlah Kompetitor]],7,0)</f>
        <v>10</v>
      </c>
      <c r="M6">
        <f>Table1[[#This Row],[Aktual]]-Table1[[#This Row],[Jumlah Kompetitor]]</f>
        <v>1106</v>
      </c>
      <c r="N6" t="str">
        <f>IF(Table1[[#This Row],[vs Kompetitor]]&gt;0,"Win", "Lose")</f>
        <v>Win</v>
      </c>
    </row>
    <row r="7" spans="1:14" x14ac:dyDescent="0.25">
      <c r="A7">
        <v>6</v>
      </c>
      <c r="B7" t="s">
        <v>6</v>
      </c>
      <c r="C7" t="s">
        <v>48</v>
      </c>
      <c r="D7">
        <v>1</v>
      </c>
      <c r="E7">
        <v>2021</v>
      </c>
      <c r="F7" s="2">
        <f>DATE(Table1[[#This Row],[Tahun]],Table1[[#This Row],[Bulan]],1)</f>
        <v>44197</v>
      </c>
      <c r="G7">
        <v>521</v>
      </c>
      <c r="H7">
        <v>555</v>
      </c>
      <c r="I7" s="6">
        <f>(Table1[[#This Row],[Aktual]]-Table1[[#This Row],[Target]])</f>
        <v>-34</v>
      </c>
      <c r="J7" s="3">
        <f>(Table1[[#This Row],[Aktual]]-Table1[[#This Row],[Target]])/Table1[[#This Row],[Target]]</f>
        <v>-6.126126126126126E-2</v>
      </c>
      <c r="K7" t="str">
        <f>IF(Table1[[#This Row],[Performance Gap (%)]]&lt;0,"Tidak mencapai target", IF(Table1[[#This Row],[Performance Gap (%)]]=0,"Mencapai target", "Melebihi Target"))</f>
        <v>Tidak mencapai target</v>
      </c>
      <c r="L7">
        <f>VLOOKUP(Table1[[#This Row],[Propinsi]]&amp;"_"&amp;Table1[[#This Row],[Dati 2]]&amp;"_"&amp;Table1[[#This Row],[Tanggal]],Table2[[#All],[Kompetitor area]:[Jumlah Kompetitor]],7,0)</f>
        <v>27</v>
      </c>
      <c r="M7">
        <f>Table1[[#This Row],[Aktual]]-Table1[[#This Row],[Jumlah Kompetitor]]</f>
        <v>494</v>
      </c>
      <c r="N7" t="str">
        <f>IF(Table1[[#This Row],[vs Kompetitor]]&gt;0,"Win", "Lose")</f>
        <v>Win</v>
      </c>
    </row>
    <row r="8" spans="1:14" x14ac:dyDescent="0.25">
      <c r="A8">
        <v>7</v>
      </c>
      <c r="B8" t="s">
        <v>6</v>
      </c>
      <c r="C8" t="s">
        <v>49</v>
      </c>
      <c r="D8">
        <v>1</v>
      </c>
      <c r="E8">
        <v>2021</v>
      </c>
      <c r="F8" s="2">
        <f>DATE(Table1[[#This Row],[Tahun]],Table1[[#This Row],[Bulan]],1)</f>
        <v>44197</v>
      </c>
      <c r="G8">
        <v>993</v>
      </c>
      <c r="H8">
        <v>1004</v>
      </c>
      <c r="I8" s="6">
        <f>(Table1[[#This Row],[Aktual]]-Table1[[#This Row],[Target]])</f>
        <v>-11</v>
      </c>
      <c r="J8" s="3">
        <f>(Table1[[#This Row],[Aktual]]-Table1[[#This Row],[Target]])/Table1[[#This Row],[Target]]</f>
        <v>-1.0956175298804782E-2</v>
      </c>
      <c r="K8" t="str">
        <f>IF(Table1[[#This Row],[Performance Gap (%)]]&lt;0,"Tidak mencapai target", IF(Table1[[#This Row],[Performance Gap (%)]]=0,"Mencapai target", "Melebihi Target"))</f>
        <v>Tidak mencapai target</v>
      </c>
      <c r="L8">
        <f>VLOOKUP(Table1[[#This Row],[Propinsi]]&amp;"_"&amp;Table1[[#This Row],[Dati 2]]&amp;"_"&amp;Table1[[#This Row],[Tanggal]],Table2[[#All],[Kompetitor area]:[Jumlah Kompetitor]],7,0)</f>
        <v>126</v>
      </c>
      <c r="M8">
        <f>Table1[[#This Row],[Aktual]]-Table1[[#This Row],[Jumlah Kompetitor]]</f>
        <v>867</v>
      </c>
      <c r="N8" t="str">
        <f>IF(Table1[[#This Row],[vs Kompetitor]]&gt;0,"Win", "Lose")</f>
        <v>Win</v>
      </c>
    </row>
    <row r="9" spans="1:14" x14ac:dyDescent="0.25">
      <c r="A9">
        <v>8</v>
      </c>
      <c r="B9" t="s">
        <v>6</v>
      </c>
      <c r="C9" t="s">
        <v>50</v>
      </c>
      <c r="D9">
        <v>1</v>
      </c>
      <c r="E9">
        <v>2021</v>
      </c>
      <c r="F9" s="2">
        <f>DATE(Table1[[#This Row],[Tahun]],Table1[[#This Row],[Bulan]],1)</f>
        <v>44197</v>
      </c>
      <c r="G9">
        <v>825</v>
      </c>
      <c r="H9">
        <v>878</v>
      </c>
      <c r="I9" s="6">
        <f>(Table1[[#This Row],[Aktual]]-Table1[[#This Row],[Target]])</f>
        <v>-53</v>
      </c>
      <c r="J9" s="3">
        <f>(Table1[[#This Row],[Aktual]]-Table1[[#This Row],[Target]])/Table1[[#This Row],[Target]]</f>
        <v>-6.0364464692482918E-2</v>
      </c>
      <c r="K9" t="str">
        <f>IF(Table1[[#This Row],[Performance Gap (%)]]&lt;0,"Tidak mencapai target", IF(Table1[[#This Row],[Performance Gap (%)]]=0,"Mencapai target", "Melebihi Target"))</f>
        <v>Tidak mencapai target</v>
      </c>
      <c r="L9">
        <f>VLOOKUP(Table1[[#This Row],[Propinsi]]&amp;"_"&amp;Table1[[#This Row],[Dati 2]]&amp;"_"&amp;Table1[[#This Row],[Tanggal]],Table2[[#All],[Kompetitor area]:[Jumlah Kompetitor]],7,0)</f>
        <v>96</v>
      </c>
      <c r="M9">
        <f>Table1[[#This Row],[Aktual]]-Table1[[#This Row],[Jumlah Kompetitor]]</f>
        <v>729</v>
      </c>
      <c r="N9" t="str">
        <f>IF(Table1[[#This Row],[vs Kompetitor]]&gt;0,"Win", "Lose")</f>
        <v>Win</v>
      </c>
    </row>
    <row r="10" spans="1:14" x14ac:dyDescent="0.25">
      <c r="A10">
        <v>9</v>
      </c>
      <c r="B10" t="s">
        <v>6</v>
      </c>
      <c r="C10" t="s">
        <v>51</v>
      </c>
      <c r="D10">
        <v>1</v>
      </c>
      <c r="E10">
        <v>2021</v>
      </c>
      <c r="F10" s="2">
        <f>DATE(Table1[[#This Row],[Tahun]],Table1[[#This Row],[Bulan]],1)</f>
        <v>44197</v>
      </c>
      <c r="G10">
        <v>143</v>
      </c>
      <c r="H10">
        <v>148</v>
      </c>
      <c r="I10" s="6">
        <f>(Table1[[#This Row],[Aktual]]-Table1[[#This Row],[Target]])</f>
        <v>-5</v>
      </c>
      <c r="J10" s="3">
        <f>(Table1[[#This Row],[Aktual]]-Table1[[#This Row],[Target]])/Table1[[#This Row],[Target]]</f>
        <v>-3.3783783783783786E-2</v>
      </c>
      <c r="K10" t="str">
        <f>IF(Table1[[#This Row],[Performance Gap (%)]]&lt;0,"Tidak mencapai target", IF(Table1[[#This Row],[Performance Gap (%)]]=0,"Mencapai target", "Melebihi Target"))</f>
        <v>Tidak mencapai target</v>
      </c>
      <c r="L10">
        <f>VLOOKUP(Table1[[#This Row],[Propinsi]]&amp;"_"&amp;Table1[[#This Row],[Dati 2]]&amp;"_"&amp;Table1[[#This Row],[Tanggal]],Table2[[#All],[Kompetitor area]:[Jumlah Kompetitor]],7,0)</f>
        <v>102</v>
      </c>
      <c r="M10">
        <f>Table1[[#This Row],[Aktual]]-Table1[[#This Row],[Jumlah Kompetitor]]</f>
        <v>41</v>
      </c>
      <c r="N10" t="str">
        <f>IF(Table1[[#This Row],[vs Kompetitor]]&gt;0,"Win", "Lose")</f>
        <v>Win</v>
      </c>
    </row>
    <row r="11" spans="1:14" x14ac:dyDescent="0.25">
      <c r="A11">
        <v>10</v>
      </c>
      <c r="B11" t="s">
        <v>6</v>
      </c>
      <c r="C11" t="s">
        <v>52</v>
      </c>
      <c r="D11">
        <v>1</v>
      </c>
      <c r="E11">
        <v>2021</v>
      </c>
      <c r="F11" s="2">
        <f>DATE(Table1[[#This Row],[Tahun]],Table1[[#This Row],[Bulan]],1)</f>
        <v>44197</v>
      </c>
      <c r="G11">
        <v>496</v>
      </c>
      <c r="H11">
        <v>512</v>
      </c>
      <c r="I11" s="6">
        <f>(Table1[[#This Row],[Aktual]]-Table1[[#This Row],[Target]])</f>
        <v>-16</v>
      </c>
      <c r="J11" s="3">
        <f>(Table1[[#This Row],[Aktual]]-Table1[[#This Row],[Target]])/Table1[[#This Row],[Target]]</f>
        <v>-3.125E-2</v>
      </c>
      <c r="K11" t="str">
        <f>IF(Table1[[#This Row],[Performance Gap (%)]]&lt;0,"Tidak mencapai target", IF(Table1[[#This Row],[Performance Gap (%)]]=0,"Mencapai target", "Melebihi Target"))</f>
        <v>Tidak mencapai target</v>
      </c>
      <c r="L11">
        <f>VLOOKUP(Table1[[#This Row],[Propinsi]]&amp;"_"&amp;Table1[[#This Row],[Dati 2]]&amp;"_"&amp;Table1[[#This Row],[Tanggal]],Table2[[#All],[Kompetitor area]:[Jumlah Kompetitor]],7,0)</f>
        <v>101</v>
      </c>
      <c r="M11">
        <f>Table1[[#This Row],[Aktual]]-Table1[[#This Row],[Jumlah Kompetitor]]</f>
        <v>395</v>
      </c>
      <c r="N11" t="str">
        <f>IF(Table1[[#This Row],[vs Kompetitor]]&gt;0,"Win", "Lose")</f>
        <v>Win</v>
      </c>
    </row>
    <row r="12" spans="1:14" x14ac:dyDescent="0.25">
      <c r="A12">
        <v>11</v>
      </c>
      <c r="B12" t="s">
        <v>6</v>
      </c>
      <c r="C12" t="s">
        <v>53</v>
      </c>
      <c r="D12">
        <v>1</v>
      </c>
      <c r="E12">
        <v>2021</v>
      </c>
      <c r="F12" s="2">
        <f>DATE(Table1[[#This Row],[Tahun]],Table1[[#This Row],[Bulan]],1)</f>
        <v>44197</v>
      </c>
      <c r="G12">
        <v>473</v>
      </c>
      <c r="H12">
        <v>478</v>
      </c>
      <c r="I12" s="6">
        <f>(Table1[[#This Row],[Aktual]]-Table1[[#This Row],[Target]])</f>
        <v>-5</v>
      </c>
      <c r="J12" s="3">
        <f>(Table1[[#This Row],[Aktual]]-Table1[[#This Row],[Target]])/Table1[[#This Row],[Target]]</f>
        <v>-1.0460251046025104E-2</v>
      </c>
      <c r="K12" t="str">
        <f>IF(Table1[[#This Row],[Performance Gap (%)]]&lt;0,"Tidak mencapai target", IF(Table1[[#This Row],[Performance Gap (%)]]=0,"Mencapai target", "Melebihi Target"))</f>
        <v>Tidak mencapai target</v>
      </c>
      <c r="L12">
        <f>VLOOKUP(Table1[[#This Row],[Propinsi]]&amp;"_"&amp;Table1[[#This Row],[Dati 2]]&amp;"_"&amp;Table1[[#This Row],[Tanggal]],Table2[[#All],[Kompetitor area]:[Jumlah Kompetitor]],7,0)</f>
        <v>220</v>
      </c>
      <c r="M12">
        <f>Table1[[#This Row],[Aktual]]-Table1[[#This Row],[Jumlah Kompetitor]]</f>
        <v>253</v>
      </c>
      <c r="N12" t="str">
        <f>IF(Table1[[#This Row],[vs Kompetitor]]&gt;0,"Win", "Lose")</f>
        <v>Win</v>
      </c>
    </row>
    <row r="13" spans="1:14" x14ac:dyDescent="0.25">
      <c r="A13">
        <v>12</v>
      </c>
      <c r="B13" t="s">
        <v>6</v>
      </c>
      <c r="C13" t="s">
        <v>54</v>
      </c>
      <c r="D13">
        <v>1</v>
      </c>
      <c r="E13">
        <v>2021</v>
      </c>
      <c r="F13" s="2">
        <f>DATE(Table1[[#This Row],[Tahun]],Table1[[#This Row],[Bulan]],1)</f>
        <v>44197</v>
      </c>
      <c r="G13">
        <v>489</v>
      </c>
      <c r="H13">
        <v>494</v>
      </c>
      <c r="I13" s="6">
        <f>(Table1[[#This Row],[Aktual]]-Table1[[#This Row],[Target]])</f>
        <v>-5</v>
      </c>
      <c r="J13" s="3">
        <f>(Table1[[#This Row],[Aktual]]-Table1[[#This Row],[Target]])/Table1[[#This Row],[Target]]</f>
        <v>-1.0121457489878543E-2</v>
      </c>
      <c r="K13" t="str">
        <f>IF(Table1[[#This Row],[Performance Gap (%)]]&lt;0,"Tidak mencapai target", IF(Table1[[#This Row],[Performance Gap (%)]]=0,"Mencapai target", "Melebihi Target"))</f>
        <v>Tidak mencapai target</v>
      </c>
      <c r="L13">
        <f>VLOOKUP(Table1[[#This Row],[Propinsi]]&amp;"_"&amp;Table1[[#This Row],[Dati 2]]&amp;"_"&amp;Table1[[#This Row],[Tanggal]],Table2[[#All],[Kompetitor area]:[Jumlah Kompetitor]],7,0)</f>
        <v>257</v>
      </c>
      <c r="M13">
        <f>Table1[[#This Row],[Aktual]]-Table1[[#This Row],[Jumlah Kompetitor]]</f>
        <v>232</v>
      </c>
      <c r="N13" t="str">
        <f>IF(Table1[[#This Row],[vs Kompetitor]]&gt;0,"Win", "Lose")</f>
        <v>Win</v>
      </c>
    </row>
    <row r="14" spans="1:14" x14ac:dyDescent="0.25">
      <c r="A14">
        <v>13</v>
      </c>
      <c r="B14" t="s">
        <v>6</v>
      </c>
      <c r="C14" t="s">
        <v>55</v>
      </c>
      <c r="D14">
        <v>1</v>
      </c>
      <c r="E14">
        <v>2021</v>
      </c>
      <c r="F14" s="2">
        <f>DATE(Table1[[#This Row],[Tahun]],Table1[[#This Row],[Bulan]],1)</f>
        <v>44197</v>
      </c>
      <c r="G14">
        <v>327</v>
      </c>
      <c r="H14">
        <v>292</v>
      </c>
      <c r="I14" s="6">
        <f>(Table1[[#This Row],[Aktual]]-Table1[[#This Row],[Target]])</f>
        <v>35</v>
      </c>
      <c r="J14" s="3">
        <f>(Table1[[#This Row],[Aktual]]-Table1[[#This Row],[Target]])/Table1[[#This Row],[Target]]</f>
        <v>0.11986301369863013</v>
      </c>
      <c r="K14" t="str">
        <f>IF(Table1[[#This Row],[Performance Gap (%)]]&lt;0,"Tidak mencapai target", IF(Table1[[#This Row],[Performance Gap (%)]]=0,"Mencapai target", "Melebihi Target"))</f>
        <v>Melebihi Target</v>
      </c>
      <c r="L14">
        <f>VLOOKUP(Table1[[#This Row],[Propinsi]]&amp;"_"&amp;Table1[[#This Row],[Dati 2]]&amp;"_"&amp;Table1[[#This Row],[Tanggal]],Table2[[#All],[Kompetitor area]:[Jumlah Kompetitor]],7,0)</f>
        <v>206</v>
      </c>
      <c r="M14">
        <f>Table1[[#This Row],[Aktual]]-Table1[[#This Row],[Jumlah Kompetitor]]</f>
        <v>121</v>
      </c>
      <c r="N14" t="str">
        <f>IF(Table1[[#This Row],[vs Kompetitor]]&gt;0,"Win", "Lose")</f>
        <v>Win</v>
      </c>
    </row>
    <row r="15" spans="1:14" x14ac:dyDescent="0.25">
      <c r="A15">
        <v>14</v>
      </c>
      <c r="B15" t="s">
        <v>6</v>
      </c>
      <c r="C15" t="s">
        <v>56</v>
      </c>
      <c r="D15">
        <v>1</v>
      </c>
      <c r="E15">
        <v>2021</v>
      </c>
      <c r="F15" s="2">
        <f>DATE(Table1[[#This Row],[Tahun]],Table1[[#This Row],[Bulan]],1)</f>
        <v>44197</v>
      </c>
      <c r="G15">
        <v>139</v>
      </c>
      <c r="H15">
        <v>135</v>
      </c>
      <c r="I15" s="6">
        <f>(Table1[[#This Row],[Aktual]]-Table1[[#This Row],[Target]])</f>
        <v>4</v>
      </c>
      <c r="J15" s="3">
        <f>(Table1[[#This Row],[Aktual]]-Table1[[#This Row],[Target]])/Table1[[#This Row],[Target]]</f>
        <v>2.9629629629629631E-2</v>
      </c>
      <c r="K15" t="str">
        <f>IF(Table1[[#This Row],[Performance Gap (%)]]&lt;0,"Tidak mencapai target", IF(Table1[[#This Row],[Performance Gap (%)]]=0,"Mencapai target", "Melebihi Target"))</f>
        <v>Melebihi Target</v>
      </c>
      <c r="L15">
        <f>VLOOKUP(Table1[[#This Row],[Propinsi]]&amp;"_"&amp;Table1[[#This Row],[Dati 2]]&amp;"_"&amp;Table1[[#This Row],[Tanggal]],Table2[[#All],[Kompetitor area]:[Jumlah Kompetitor]],7,0)</f>
        <v>138</v>
      </c>
      <c r="M15">
        <f>Table1[[#This Row],[Aktual]]-Table1[[#This Row],[Jumlah Kompetitor]]</f>
        <v>1</v>
      </c>
      <c r="N15" t="str">
        <f>IF(Table1[[#This Row],[vs Kompetitor]]&gt;0,"Win", "Lose")</f>
        <v>Win</v>
      </c>
    </row>
    <row r="16" spans="1:14" x14ac:dyDescent="0.25">
      <c r="A16">
        <v>15</v>
      </c>
      <c r="B16" t="s">
        <v>6</v>
      </c>
      <c r="C16" t="s">
        <v>57</v>
      </c>
      <c r="D16">
        <v>1</v>
      </c>
      <c r="E16">
        <v>2021</v>
      </c>
      <c r="F16" s="2">
        <f>DATE(Table1[[#This Row],[Tahun]],Table1[[#This Row],[Bulan]],1)</f>
        <v>44197</v>
      </c>
      <c r="G16">
        <v>555</v>
      </c>
      <c r="H16">
        <v>505</v>
      </c>
      <c r="I16" s="6">
        <f>(Table1[[#This Row],[Aktual]]-Table1[[#This Row],[Target]])</f>
        <v>50</v>
      </c>
      <c r="J16" s="3">
        <f>(Table1[[#This Row],[Aktual]]-Table1[[#This Row],[Target]])/Table1[[#This Row],[Target]]</f>
        <v>9.9009900990099015E-2</v>
      </c>
      <c r="K16" t="str">
        <f>IF(Table1[[#This Row],[Performance Gap (%)]]&lt;0,"Tidak mencapai target", IF(Table1[[#This Row],[Performance Gap (%)]]=0,"Mencapai target", "Melebihi Target"))</f>
        <v>Melebihi Target</v>
      </c>
      <c r="L16">
        <f>VLOOKUP(Table1[[#This Row],[Propinsi]]&amp;"_"&amp;Table1[[#This Row],[Dati 2]]&amp;"_"&amp;Table1[[#This Row],[Tanggal]],Table2[[#All],[Kompetitor area]:[Jumlah Kompetitor]],7,0)</f>
        <v>3</v>
      </c>
      <c r="M16">
        <f>Table1[[#This Row],[Aktual]]-Table1[[#This Row],[Jumlah Kompetitor]]</f>
        <v>552</v>
      </c>
      <c r="N16" t="str">
        <f>IF(Table1[[#This Row],[vs Kompetitor]]&gt;0,"Win", "Lose")</f>
        <v>Win</v>
      </c>
    </row>
    <row r="17" spans="1:14" x14ac:dyDescent="0.25">
      <c r="A17">
        <v>16</v>
      </c>
      <c r="B17" t="s">
        <v>6</v>
      </c>
      <c r="C17" t="s">
        <v>58</v>
      </c>
      <c r="D17">
        <v>1</v>
      </c>
      <c r="E17">
        <v>2021</v>
      </c>
      <c r="F17" s="2">
        <f>DATE(Table1[[#This Row],[Tahun]],Table1[[#This Row],[Bulan]],1)</f>
        <v>44197</v>
      </c>
      <c r="G17">
        <v>518</v>
      </c>
      <c r="H17">
        <v>476</v>
      </c>
      <c r="I17" s="6">
        <f>(Table1[[#This Row],[Aktual]]-Table1[[#This Row],[Target]])</f>
        <v>42</v>
      </c>
      <c r="J17" s="3">
        <f>(Table1[[#This Row],[Aktual]]-Table1[[#This Row],[Target]])/Table1[[#This Row],[Target]]</f>
        <v>8.8235294117647065E-2</v>
      </c>
      <c r="K17" t="str">
        <f>IF(Table1[[#This Row],[Performance Gap (%)]]&lt;0,"Tidak mencapai target", IF(Table1[[#This Row],[Performance Gap (%)]]=0,"Mencapai target", "Melebihi Target"))</f>
        <v>Melebihi Target</v>
      </c>
      <c r="L17">
        <f>VLOOKUP(Table1[[#This Row],[Propinsi]]&amp;"_"&amp;Table1[[#This Row],[Dati 2]]&amp;"_"&amp;Table1[[#This Row],[Tanggal]],Table2[[#All],[Kompetitor area]:[Jumlah Kompetitor]],7,0)</f>
        <v>103</v>
      </c>
      <c r="M17">
        <f>Table1[[#This Row],[Aktual]]-Table1[[#This Row],[Jumlah Kompetitor]]</f>
        <v>415</v>
      </c>
      <c r="N17" t="str">
        <f>IF(Table1[[#This Row],[vs Kompetitor]]&gt;0,"Win", "Lose")</f>
        <v>Win</v>
      </c>
    </row>
    <row r="18" spans="1:14" x14ac:dyDescent="0.25">
      <c r="A18">
        <v>17</v>
      </c>
      <c r="B18" t="s">
        <v>6</v>
      </c>
      <c r="C18" t="s">
        <v>59</v>
      </c>
      <c r="D18">
        <v>1</v>
      </c>
      <c r="E18">
        <v>2021</v>
      </c>
      <c r="F18" s="2">
        <f>DATE(Table1[[#This Row],[Tahun]],Table1[[#This Row],[Bulan]],1)</f>
        <v>44197</v>
      </c>
      <c r="G18">
        <v>169</v>
      </c>
      <c r="H18">
        <v>154</v>
      </c>
      <c r="I18" s="6">
        <f>(Table1[[#This Row],[Aktual]]-Table1[[#This Row],[Target]])</f>
        <v>15</v>
      </c>
      <c r="J18" s="3">
        <f>(Table1[[#This Row],[Aktual]]-Table1[[#This Row],[Target]])/Table1[[#This Row],[Target]]</f>
        <v>9.7402597402597407E-2</v>
      </c>
      <c r="K18" t="str">
        <f>IF(Table1[[#This Row],[Performance Gap (%)]]&lt;0,"Tidak mencapai target", IF(Table1[[#This Row],[Performance Gap (%)]]=0,"Mencapai target", "Melebihi Target"))</f>
        <v>Melebihi Target</v>
      </c>
      <c r="L18">
        <f>VLOOKUP(Table1[[#This Row],[Propinsi]]&amp;"_"&amp;Table1[[#This Row],[Dati 2]]&amp;"_"&amp;Table1[[#This Row],[Tanggal]],Table2[[#All],[Kompetitor area]:[Jumlah Kompetitor]],7,0)</f>
        <v>128</v>
      </c>
      <c r="M18">
        <f>Table1[[#This Row],[Aktual]]-Table1[[#This Row],[Jumlah Kompetitor]]</f>
        <v>41</v>
      </c>
      <c r="N18" t="str">
        <f>IF(Table1[[#This Row],[vs Kompetitor]]&gt;0,"Win", "Lose")</f>
        <v>Win</v>
      </c>
    </row>
    <row r="19" spans="1:14" x14ac:dyDescent="0.25">
      <c r="A19">
        <v>18</v>
      </c>
      <c r="B19" t="s">
        <v>6</v>
      </c>
      <c r="C19" t="s">
        <v>60</v>
      </c>
      <c r="D19">
        <v>1</v>
      </c>
      <c r="E19">
        <v>2021</v>
      </c>
      <c r="F19" s="2">
        <f>DATE(Table1[[#This Row],[Tahun]],Table1[[#This Row],[Bulan]],1)</f>
        <v>44197</v>
      </c>
      <c r="G19">
        <v>74</v>
      </c>
      <c r="H19">
        <v>74</v>
      </c>
      <c r="I19" s="6">
        <f>(Table1[[#This Row],[Aktual]]-Table1[[#This Row],[Target]])</f>
        <v>0</v>
      </c>
      <c r="J19" s="3">
        <f>(Table1[[#This Row],[Aktual]]-Table1[[#This Row],[Target]])/Table1[[#This Row],[Target]]</f>
        <v>0</v>
      </c>
      <c r="K19" t="str">
        <f>IF(Table1[[#This Row],[Performance Gap (%)]]&lt;0,"Tidak mencapai target", IF(Table1[[#This Row],[Performance Gap (%)]]=0,"Mencapai target", "Melebihi Target"))</f>
        <v>Mencapai target</v>
      </c>
      <c r="L19">
        <f>VLOOKUP(Table1[[#This Row],[Propinsi]]&amp;"_"&amp;Table1[[#This Row],[Dati 2]]&amp;"_"&amp;Table1[[#This Row],[Tanggal]],Table2[[#All],[Kompetitor area]:[Jumlah Kompetitor]],7,0)</f>
        <v>86</v>
      </c>
      <c r="M19">
        <f>Table1[[#This Row],[Aktual]]-Table1[[#This Row],[Jumlah Kompetitor]]</f>
        <v>-12</v>
      </c>
      <c r="N19" t="str">
        <f>IF(Table1[[#This Row],[vs Kompetitor]]&gt;0,"Win", "Lose")</f>
        <v>Lose</v>
      </c>
    </row>
    <row r="20" spans="1:14" x14ac:dyDescent="0.25">
      <c r="A20">
        <v>19</v>
      </c>
      <c r="B20" t="s">
        <v>6</v>
      </c>
      <c r="C20" t="s">
        <v>61</v>
      </c>
      <c r="D20">
        <v>1</v>
      </c>
      <c r="E20">
        <v>2021</v>
      </c>
      <c r="F20" s="2">
        <f>DATE(Table1[[#This Row],[Tahun]],Table1[[#This Row],[Bulan]],1)</f>
        <v>44197</v>
      </c>
      <c r="G20">
        <v>521</v>
      </c>
      <c r="H20">
        <v>543</v>
      </c>
      <c r="I20" s="6">
        <f>(Table1[[#This Row],[Aktual]]-Table1[[#This Row],[Target]])</f>
        <v>-22</v>
      </c>
      <c r="J20" s="3">
        <f>(Table1[[#This Row],[Aktual]]-Table1[[#This Row],[Target]])/Table1[[#This Row],[Target]]</f>
        <v>-4.0515653775322284E-2</v>
      </c>
      <c r="K20" t="str">
        <f>IF(Table1[[#This Row],[Performance Gap (%)]]&lt;0,"Tidak mencapai target", IF(Table1[[#This Row],[Performance Gap (%)]]=0,"Mencapai target", "Melebihi Target"))</f>
        <v>Tidak mencapai target</v>
      </c>
      <c r="L20">
        <f>VLOOKUP(Table1[[#This Row],[Propinsi]]&amp;"_"&amp;Table1[[#This Row],[Dati 2]]&amp;"_"&amp;Table1[[#This Row],[Tanggal]],Table2[[#All],[Kompetitor area]:[Jumlah Kompetitor]],7,0)</f>
        <v>151</v>
      </c>
      <c r="M20">
        <f>Table1[[#This Row],[Aktual]]-Table1[[#This Row],[Jumlah Kompetitor]]</f>
        <v>370</v>
      </c>
      <c r="N20" t="str">
        <f>IF(Table1[[#This Row],[vs Kompetitor]]&gt;0,"Win", "Lose")</f>
        <v>Win</v>
      </c>
    </row>
    <row r="21" spans="1:14" x14ac:dyDescent="0.25">
      <c r="A21">
        <v>20</v>
      </c>
      <c r="B21" t="s">
        <v>3</v>
      </c>
      <c r="C21" t="s">
        <v>62</v>
      </c>
      <c r="D21">
        <v>1</v>
      </c>
      <c r="E21">
        <v>2021</v>
      </c>
      <c r="F21" s="2">
        <f>DATE(Table1[[#This Row],[Tahun]],Table1[[#This Row],[Bulan]],1)</f>
        <v>44197</v>
      </c>
      <c r="G21">
        <v>693</v>
      </c>
      <c r="H21">
        <v>619</v>
      </c>
      <c r="I21" s="6">
        <f>(Table1[[#This Row],[Aktual]]-Table1[[#This Row],[Target]])</f>
        <v>74</v>
      </c>
      <c r="J21" s="3">
        <f>(Table1[[#This Row],[Aktual]]-Table1[[#This Row],[Target]])/Table1[[#This Row],[Target]]</f>
        <v>0.11954765751211632</v>
      </c>
      <c r="K21" t="str">
        <f>IF(Table1[[#This Row],[Performance Gap (%)]]&lt;0,"Tidak mencapai target", IF(Table1[[#This Row],[Performance Gap (%)]]=0,"Mencapai target", "Melebihi Target"))</f>
        <v>Melebihi Target</v>
      </c>
      <c r="L21">
        <f>VLOOKUP(Table1[[#This Row],[Propinsi]]&amp;"_"&amp;Table1[[#This Row],[Dati 2]]&amp;"_"&amp;Table1[[#This Row],[Tanggal]],Table2[[#All],[Kompetitor area]:[Jumlah Kompetitor]],7,0)</f>
        <v>267</v>
      </c>
      <c r="M21">
        <f>Table1[[#This Row],[Aktual]]-Table1[[#This Row],[Jumlah Kompetitor]]</f>
        <v>426</v>
      </c>
      <c r="N21" t="str">
        <f>IF(Table1[[#This Row],[vs Kompetitor]]&gt;0,"Win", "Lose")</f>
        <v>Win</v>
      </c>
    </row>
    <row r="22" spans="1:14" x14ac:dyDescent="0.25">
      <c r="A22">
        <v>21</v>
      </c>
      <c r="B22" t="s">
        <v>3</v>
      </c>
      <c r="C22" t="s">
        <v>63</v>
      </c>
      <c r="D22">
        <v>1</v>
      </c>
      <c r="E22">
        <v>2021</v>
      </c>
      <c r="F22" s="2">
        <f>DATE(Table1[[#This Row],[Tahun]],Table1[[#This Row],[Bulan]],1)</f>
        <v>44197</v>
      </c>
      <c r="G22">
        <v>894</v>
      </c>
      <c r="H22">
        <v>904</v>
      </c>
      <c r="I22" s="6">
        <f>(Table1[[#This Row],[Aktual]]-Table1[[#This Row],[Target]])</f>
        <v>-10</v>
      </c>
      <c r="J22" s="3">
        <f>(Table1[[#This Row],[Aktual]]-Table1[[#This Row],[Target]])/Table1[[#This Row],[Target]]</f>
        <v>-1.1061946902654867E-2</v>
      </c>
      <c r="K22" t="str">
        <f>IF(Table1[[#This Row],[Performance Gap (%)]]&lt;0,"Tidak mencapai target", IF(Table1[[#This Row],[Performance Gap (%)]]=0,"Mencapai target", "Melebihi Target"))</f>
        <v>Tidak mencapai target</v>
      </c>
      <c r="L22">
        <f>VLOOKUP(Table1[[#This Row],[Propinsi]]&amp;"_"&amp;Table1[[#This Row],[Dati 2]]&amp;"_"&amp;Table1[[#This Row],[Tanggal]],Table2[[#All],[Kompetitor area]:[Jumlah Kompetitor]],7,0)</f>
        <v>292</v>
      </c>
      <c r="M22">
        <f>Table1[[#This Row],[Aktual]]-Table1[[#This Row],[Jumlah Kompetitor]]</f>
        <v>602</v>
      </c>
      <c r="N22" t="str">
        <f>IF(Table1[[#This Row],[vs Kompetitor]]&gt;0,"Win", "Lose")</f>
        <v>Win</v>
      </c>
    </row>
    <row r="23" spans="1:14" x14ac:dyDescent="0.25">
      <c r="A23">
        <v>22</v>
      </c>
      <c r="B23" t="s">
        <v>3</v>
      </c>
      <c r="C23" t="s">
        <v>64</v>
      </c>
      <c r="D23">
        <v>1</v>
      </c>
      <c r="E23">
        <v>2021</v>
      </c>
      <c r="F23" s="2">
        <f>DATE(Table1[[#This Row],[Tahun]],Table1[[#This Row],[Bulan]],1)</f>
        <v>44197</v>
      </c>
      <c r="G23">
        <v>628</v>
      </c>
      <c r="H23">
        <v>669</v>
      </c>
      <c r="I23" s="6">
        <f>(Table1[[#This Row],[Aktual]]-Table1[[#This Row],[Target]])</f>
        <v>-41</v>
      </c>
      <c r="J23" s="3">
        <f>(Table1[[#This Row],[Aktual]]-Table1[[#This Row],[Target]])/Table1[[#This Row],[Target]]</f>
        <v>-6.1285500747384154E-2</v>
      </c>
      <c r="K23" t="str">
        <f>IF(Table1[[#This Row],[Performance Gap (%)]]&lt;0,"Tidak mencapai target", IF(Table1[[#This Row],[Performance Gap (%)]]=0,"Mencapai target", "Melebihi Target"))</f>
        <v>Tidak mencapai target</v>
      </c>
      <c r="L23">
        <f>VLOOKUP(Table1[[#This Row],[Propinsi]]&amp;"_"&amp;Table1[[#This Row],[Dati 2]]&amp;"_"&amp;Table1[[#This Row],[Tanggal]],Table2[[#All],[Kompetitor area]:[Jumlah Kompetitor]],7,0)</f>
        <v>118</v>
      </c>
      <c r="M23">
        <f>Table1[[#This Row],[Aktual]]-Table1[[#This Row],[Jumlah Kompetitor]]</f>
        <v>510</v>
      </c>
      <c r="N23" t="str">
        <f>IF(Table1[[#This Row],[vs Kompetitor]]&gt;0,"Win", "Lose")</f>
        <v>Win</v>
      </c>
    </row>
    <row r="24" spans="1:14" x14ac:dyDescent="0.25">
      <c r="A24">
        <v>23</v>
      </c>
      <c r="B24" t="s">
        <v>3</v>
      </c>
      <c r="C24" t="s">
        <v>65</v>
      </c>
      <c r="D24">
        <v>1</v>
      </c>
      <c r="E24">
        <v>2021</v>
      </c>
      <c r="F24" s="2">
        <f>DATE(Table1[[#This Row],[Tahun]],Table1[[#This Row],[Bulan]],1)</f>
        <v>44197</v>
      </c>
      <c r="G24">
        <v>1149</v>
      </c>
      <c r="H24">
        <v>1036</v>
      </c>
      <c r="I24" s="6">
        <f>(Table1[[#This Row],[Aktual]]-Table1[[#This Row],[Target]])</f>
        <v>113</v>
      </c>
      <c r="J24" s="3">
        <f>(Table1[[#This Row],[Aktual]]-Table1[[#This Row],[Target]])/Table1[[#This Row],[Target]]</f>
        <v>0.10907335907335908</v>
      </c>
      <c r="K24" t="str">
        <f>IF(Table1[[#This Row],[Performance Gap (%)]]&lt;0,"Tidak mencapai target", IF(Table1[[#This Row],[Performance Gap (%)]]=0,"Mencapai target", "Melebihi Target"))</f>
        <v>Melebihi Target</v>
      </c>
      <c r="L24">
        <f>VLOOKUP(Table1[[#This Row],[Propinsi]]&amp;"_"&amp;Table1[[#This Row],[Dati 2]]&amp;"_"&amp;Table1[[#This Row],[Tanggal]],Table2[[#All],[Kompetitor area]:[Jumlah Kompetitor]],7,0)</f>
        <v>175</v>
      </c>
      <c r="M24">
        <f>Table1[[#This Row],[Aktual]]-Table1[[#This Row],[Jumlah Kompetitor]]</f>
        <v>974</v>
      </c>
      <c r="N24" t="str">
        <f>IF(Table1[[#This Row],[vs Kompetitor]]&gt;0,"Win", "Lose")</f>
        <v>Win</v>
      </c>
    </row>
    <row r="25" spans="1:14" x14ac:dyDescent="0.25">
      <c r="A25">
        <v>24</v>
      </c>
      <c r="B25" t="s">
        <v>3</v>
      </c>
      <c r="C25" t="s">
        <v>66</v>
      </c>
      <c r="D25">
        <v>1</v>
      </c>
      <c r="E25">
        <v>2021</v>
      </c>
      <c r="F25" s="2">
        <f>DATE(Table1[[#This Row],[Tahun]],Table1[[#This Row],[Bulan]],1)</f>
        <v>44197</v>
      </c>
      <c r="G25">
        <v>1075</v>
      </c>
      <c r="H25">
        <v>960</v>
      </c>
      <c r="I25" s="6">
        <f>(Table1[[#This Row],[Aktual]]-Table1[[#This Row],[Target]])</f>
        <v>115</v>
      </c>
      <c r="J25" s="3">
        <f>(Table1[[#This Row],[Aktual]]-Table1[[#This Row],[Target]])/Table1[[#This Row],[Target]]</f>
        <v>0.11979166666666667</v>
      </c>
      <c r="K25" t="str">
        <f>IF(Table1[[#This Row],[Performance Gap (%)]]&lt;0,"Tidak mencapai target", IF(Table1[[#This Row],[Performance Gap (%)]]=0,"Mencapai target", "Melebihi Target"))</f>
        <v>Melebihi Target</v>
      </c>
      <c r="L25">
        <f>VLOOKUP(Table1[[#This Row],[Propinsi]]&amp;"_"&amp;Table1[[#This Row],[Dati 2]]&amp;"_"&amp;Table1[[#This Row],[Tanggal]],Table2[[#All],[Kompetitor area]:[Jumlah Kompetitor]],7,0)</f>
        <v>80</v>
      </c>
      <c r="M25">
        <f>Table1[[#This Row],[Aktual]]-Table1[[#This Row],[Jumlah Kompetitor]]</f>
        <v>995</v>
      </c>
      <c r="N25" t="str">
        <f>IF(Table1[[#This Row],[vs Kompetitor]]&gt;0,"Win", "Lose")</f>
        <v>Win</v>
      </c>
    </row>
    <row r="26" spans="1:14" x14ac:dyDescent="0.25">
      <c r="A26">
        <v>25</v>
      </c>
      <c r="B26" t="s">
        <v>3</v>
      </c>
      <c r="C26" t="s">
        <v>67</v>
      </c>
      <c r="D26">
        <v>1</v>
      </c>
      <c r="E26">
        <v>2021</v>
      </c>
      <c r="F26" s="2">
        <f>DATE(Table1[[#This Row],[Tahun]],Table1[[#This Row],[Bulan]],1)</f>
        <v>44197</v>
      </c>
      <c r="G26">
        <v>21</v>
      </c>
      <c r="H26">
        <v>19</v>
      </c>
      <c r="I26" s="6">
        <f>(Table1[[#This Row],[Aktual]]-Table1[[#This Row],[Target]])</f>
        <v>2</v>
      </c>
      <c r="J26" s="3">
        <f>(Table1[[#This Row],[Aktual]]-Table1[[#This Row],[Target]])/Table1[[#This Row],[Target]]</f>
        <v>0.10526315789473684</v>
      </c>
      <c r="K26" t="str">
        <f>IF(Table1[[#This Row],[Performance Gap (%)]]&lt;0,"Tidak mencapai target", IF(Table1[[#This Row],[Performance Gap (%)]]=0,"Mencapai target", "Melebihi Target"))</f>
        <v>Melebihi Target</v>
      </c>
      <c r="L26">
        <f>VLOOKUP(Table1[[#This Row],[Propinsi]]&amp;"_"&amp;Table1[[#This Row],[Dati 2]]&amp;"_"&amp;Table1[[#This Row],[Tanggal]],Table2[[#All],[Kompetitor area]:[Jumlah Kompetitor]],7,0)</f>
        <v>109</v>
      </c>
      <c r="M26">
        <f>Table1[[#This Row],[Aktual]]-Table1[[#This Row],[Jumlah Kompetitor]]</f>
        <v>-88</v>
      </c>
      <c r="N26" t="str">
        <f>IF(Table1[[#This Row],[vs Kompetitor]]&gt;0,"Win", "Lose")</f>
        <v>Lose</v>
      </c>
    </row>
    <row r="27" spans="1:14" x14ac:dyDescent="0.25">
      <c r="A27">
        <v>26</v>
      </c>
      <c r="B27" t="s">
        <v>2</v>
      </c>
      <c r="C27" t="s">
        <v>68</v>
      </c>
      <c r="D27">
        <v>1</v>
      </c>
      <c r="E27">
        <v>2021</v>
      </c>
      <c r="F27" s="2">
        <f>DATE(Table1[[#This Row],[Tahun]],Table1[[#This Row],[Bulan]],1)</f>
        <v>44197</v>
      </c>
      <c r="G27">
        <v>1094</v>
      </c>
      <c r="H27">
        <v>1140</v>
      </c>
      <c r="I27" s="6">
        <f>(Table1[[#This Row],[Aktual]]-Table1[[#This Row],[Target]])</f>
        <v>-46</v>
      </c>
      <c r="J27" s="3">
        <f>(Table1[[#This Row],[Aktual]]-Table1[[#This Row],[Target]])/Table1[[#This Row],[Target]]</f>
        <v>-4.0350877192982457E-2</v>
      </c>
      <c r="K27" t="str">
        <f>IF(Table1[[#This Row],[Performance Gap (%)]]&lt;0,"Tidak mencapai target", IF(Table1[[#This Row],[Performance Gap (%)]]=0,"Mencapai target", "Melebihi Target"))</f>
        <v>Tidak mencapai target</v>
      </c>
      <c r="L27">
        <f>VLOOKUP(Table1[[#This Row],[Propinsi]]&amp;"_"&amp;Table1[[#This Row],[Dati 2]]&amp;"_"&amp;Table1[[#This Row],[Tanggal]],Table2[[#All],[Kompetitor area]:[Jumlah Kompetitor]],7,0)</f>
        <v>165</v>
      </c>
      <c r="M27">
        <f>Table1[[#This Row],[Aktual]]-Table1[[#This Row],[Jumlah Kompetitor]]</f>
        <v>929</v>
      </c>
      <c r="N27" t="str">
        <f>IF(Table1[[#This Row],[vs Kompetitor]]&gt;0,"Win", "Lose")</f>
        <v>Win</v>
      </c>
    </row>
    <row r="28" spans="1:14" x14ac:dyDescent="0.25">
      <c r="A28">
        <v>27</v>
      </c>
      <c r="B28" t="s">
        <v>2</v>
      </c>
      <c r="C28" t="s">
        <v>69</v>
      </c>
      <c r="D28">
        <v>1</v>
      </c>
      <c r="E28">
        <v>2021</v>
      </c>
      <c r="F28" s="2">
        <f>DATE(Table1[[#This Row],[Tahun]],Table1[[#This Row],[Bulan]],1)</f>
        <v>44197</v>
      </c>
      <c r="G28">
        <v>623</v>
      </c>
      <c r="H28">
        <v>583</v>
      </c>
      <c r="I28" s="6">
        <f>(Table1[[#This Row],[Aktual]]-Table1[[#This Row],[Target]])</f>
        <v>40</v>
      </c>
      <c r="J28" s="3">
        <f>(Table1[[#This Row],[Aktual]]-Table1[[#This Row],[Target]])/Table1[[#This Row],[Target]]</f>
        <v>6.86106346483705E-2</v>
      </c>
      <c r="K28" t="str">
        <f>IF(Table1[[#This Row],[Performance Gap (%)]]&lt;0,"Tidak mencapai target", IF(Table1[[#This Row],[Performance Gap (%)]]=0,"Mencapai target", "Melebihi Target"))</f>
        <v>Melebihi Target</v>
      </c>
      <c r="L28">
        <f>VLOOKUP(Table1[[#This Row],[Propinsi]]&amp;"_"&amp;Table1[[#This Row],[Dati 2]]&amp;"_"&amp;Table1[[#This Row],[Tanggal]],Table2[[#All],[Kompetitor area]:[Jumlah Kompetitor]],7,0)</f>
        <v>49</v>
      </c>
      <c r="M28">
        <f>Table1[[#This Row],[Aktual]]-Table1[[#This Row],[Jumlah Kompetitor]]</f>
        <v>574</v>
      </c>
      <c r="N28" t="str">
        <f>IF(Table1[[#This Row],[vs Kompetitor]]&gt;0,"Win", "Lose")</f>
        <v>Win</v>
      </c>
    </row>
    <row r="29" spans="1:14" x14ac:dyDescent="0.25">
      <c r="A29">
        <v>28</v>
      </c>
      <c r="B29" t="s">
        <v>4</v>
      </c>
      <c r="C29" t="s">
        <v>70</v>
      </c>
      <c r="D29">
        <v>1</v>
      </c>
      <c r="E29">
        <v>2021</v>
      </c>
      <c r="F29" s="2">
        <f>DATE(Table1[[#This Row],[Tahun]],Table1[[#This Row],[Bulan]],1)</f>
        <v>44197</v>
      </c>
      <c r="G29">
        <v>826</v>
      </c>
      <c r="H29">
        <v>818</v>
      </c>
      <c r="I29" s="6">
        <f>(Table1[[#This Row],[Aktual]]-Table1[[#This Row],[Target]])</f>
        <v>8</v>
      </c>
      <c r="J29" s="3">
        <f>(Table1[[#This Row],[Aktual]]-Table1[[#This Row],[Target]])/Table1[[#This Row],[Target]]</f>
        <v>9.7799511002444987E-3</v>
      </c>
      <c r="K29" t="str">
        <f>IF(Table1[[#This Row],[Performance Gap (%)]]&lt;0,"Tidak mencapai target", IF(Table1[[#This Row],[Performance Gap (%)]]=0,"Mencapai target", "Melebihi Target"))</f>
        <v>Melebihi Target</v>
      </c>
      <c r="L29">
        <f>VLOOKUP(Table1[[#This Row],[Propinsi]]&amp;"_"&amp;Table1[[#This Row],[Dati 2]]&amp;"_"&amp;Table1[[#This Row],[Tanggal]],Table2[[#All],[Kompetitor area]:[Jumlah Kompetitor]],7,0)</f>
        <v>25</v>
      </c>
      <c r="M29">
        <f>Table1[[#This Row],[Aktual]]-Table1[[#This Row],[Jumlah Kompetitor]]</f>
        <v>801</v>
      </c>
      <c r="N29" t="str">
        <f>IF(Table1[[#This Row],[vs Kompetitor]]&gt;0,"Win", "Lose")</f>
        <v>Win</v>
      </c>
    </row>
    <row r="30" spans="1:14" x14ac:dyDescent="0.25">
      <c r="A30">
        <v>29</v>
      </c>
      <c r="B30" t="s">
        <v>4</v>
      </c>
      <c r="C30" t="s">
        <v>71</v>
      </c>
      <c r="D30">
        <v>1</v>
      </c>
      <c r="E30">
        <v>2021</v>
      </c>
      <c r="F30" s="2">
        <f>DATE(Table1[[#This Row],[Tahun]],Table1[[#This Row],[Bulan]],1)</f>
        <v>44197</v>
      </c>
      <c r="G30">
        <v>1363</v>
      </c>
      <c r="H30">
        <v>1350</v>
      </c>
      <c r="I30" s="6">
        <f>(Table1[[#This Row],[Aktual]]-Table1[[#This Row],[Target]])</f>
        <v>13</v>
      </c>
      <c r="J30" s="3">
        <f>(Table1[[#This Row],[Aktual]]-Table1[[#This Row],[Target]])/Table1[[#This Row],[Target]]</f>
        <v>9.6296296296296303E-3</v>
      </c>
      <c r="K30" t="str">
        <f>IF(Table1[[#This Row],[Performance Gap (%)]]&lt;0,"Tidak mencapai target", IF(Table1[[#This Row],[Performance Gap (%)]]=0,"Mencapai target", "Melebihi Target"))</f>
        <v>Melebihi Target</v>
      </c>
      <c r="L30">
        <f>VLOOKUP(Table1[[#This Row],[Propinsi]]&amp;"_"&amp;Table1[[#This Row],[Dati 2]]&amp;"_"&amp;Table1[[#This Row],[Tanggal]],Table2[[#All],[Kompetitor area]:[Jumlah Kompetitor]],7,0)</f>
        <v>193</v>
      </c>
      <c r="M30">
        <f>Table1[[#This Row],[Aktual]]-Table1[[#This Row],[Jumlah Kompetitor]]</f>
        <v>1170</v>
      </c>
      <c r="N30" t="str">
        <f>IF(Table1[[#This Row],[vs Kompetitor]]&gt;0,"Win", "Lose")</f>
        <v>Win</v>
      </c>
    </row>
    <row r="31" spans="1:14" x14ac:dyDescent="0.25">
      <c r="A31">
        <v>30</v>
      </c>
      <c r="B31" t="s">
        <v>4</v>
      </c>
      <c r="C31" t="s">
        <v>72</v>
      </c>
      <c r="D31">
        <v>1</v>
      </c>
      <c r="E31">
        <v>2021</v>
      </c>
      <c r="F31" s="2">
        <f>DATE(Table1[[#This Row],[Tahun]],Table1[[#This Row],[Bulan]],1)</f>
        <v>44197</v>
      </c>
      <c r="G31">
        <v>1140</v>
      </c>
      <c r="H31">
        <v>1188</v>
      </c>
      <c r="I31" s="6">
        <f>(Table1[[#This Row],[Aktual]]-Table1[[#This Row],[Target]])</f>
        <v>-48</v>
      </c>
      <c r="J31" s="3">
        <f>(Table1[[#This Row],[Aktual]]-Table1[[#This Row],[Target]])/Table1[[#This Row],[Target]]</f>
        <v>-4.0404040404040407E-2</v>
      </c>
      <c r="K31" t="str">
        <f>IF(Table1[[#This Row],[Performance Gap (%)]]&lt;0,"Tidak mencapai target", IF(Table1[[#This Row],[Performance Gap (%)]]=0,"Mencapai target", "Melebihi Target"))</f>
        <v>Tidak mencapai target</v>
      </c>
      <c r="L31">
        <f>VLOOKUP(Table1[[#This Row],[Propinsi]]&amp;"_"&amp;Table1[[#This Row],[Dati 2]]&amp;"_"&amp;Table1[[#This Row],[Tanggal]],Table2[[#All],[Kompetitor area]:[Jumlah Kompetitor]],7,0)</f>
        <v>307</v>
      </c>
      <c r="M31">
        <f>Table1[[#This Row],[Aktual]]-Table1[[#This Row],[Jumlah Kompetitor]]</f>
        <v>833</v>
      </c>
      <c r="N31" t="str">
        <f>IF(Table1[[#This Row],[vs Kompetitor]]&gt;0,"Win", "Lose")</f>
        <v>Win</v>
      </c>
    </row>
    <row r="32" spans="1:14" x14ac:dyDescent="0.25">
      <c r="A32">
        <v>31</v>
      </c>
      <c r="B32" t="s">
        <v>4</v>
      </c>
      <c r="C32" t="s">
        <v>73</v>
      </c>
      <c r="D32">
        <v>1</v>
      </c>
      <c r="E32">
        <v>2021</v>
      </c>
      <c r="F32" s="2">
        <f>DATE(Table1[[#This Row],[Tahun]],Table1[[#This Row],[Bulan]],1)</f>
        <v>44197</v>
      </c>
      <c r="G32">
        <v>1436</v>
      </c>
      <c r="H32">
        <v>1422</v>
      </c>
      <c r="I32" s="6">
        <f>(Table1[[#This Row],[Aktual]]-Table1[[#This Row],[Target]])</f>
        <v>14</v>
      </c>
      <c r="J32" s="3">
        <f>(Table1[[#This Row],[Aktual]]-Table1[[#This Row],[Target]])/Table1[[#This Row],[Target]]</f>
        <v>9.8452883263009851E-3</v>
      </c>
      <c r="K32" t="str">
        <f>IF(Table1[[#This Row],[Performance Gap (%)]]&lt;0,"Tidak mencapai target", IF(Table1[[#This Row],[Performance Gap (%)]]=0,"Mencapai target", "Melebihi Target"))</f>
        <v>Melebihi Target</v>
      </c>
      <c r="L32">
        <f>VLOOKUP(Table1[[#This Row],[Propinsi]]&amp;"_"&amp;Table1[[#This Row],[Dati 2]]&amp;"_"&amp;Table1[[#This Row],[Tanggal]],Table2[[#All],[Kompetitor area]:[Jumlah Kompetitor]],7,0)</f>
        <v>22</v>
      </c>
      <c r="M32">
        <f>Table1[[#This Row],[Aktual]]-Table1[[#This Row],[Jumlah Kompetitor]]</f>
        <v>1414</v>
      </c>
      <c r="N32" t="str">
        <f>IF(Table1[[#This Row],[vs Kompetitor]]&gt;0,"Win", "Lose")</f>
        <v>Win</v>
      </c>
    </row>
    <row r="33" spans="1:14" x14ac:dyDescent="0.25">
      <c r="A33">
        <v>32</v>
      </c>
      <c r="B33" t="s">
        <v>4</v>
      </c>
      <c r="C33" t="s">
        <v>74</v>
      </c>
      <c r="D33">
        <v>1</v>
      </c>
      <c r="E33">
        <v>2021</v>
      </c>
      <c r="F33" s="2">
        <f>DATE(Table1[[#This Row],[Tahun]],Table1[[#This Row],[Bulan]],1)</f>
        <v>44197</v>
      </c>
      <c r="G33">
        <v>1502</v>
      </c>
      <c r="H33">
        <v>1404</v>
      </c>
      <c r="I33" s="6">
        <f>(Table1[[#This Row],[Aktual]]-Table1[[#This Row],[Target]])</f>
        <v>98</v>
      </c>
      <c r="J33" s="3">
        <f>(Table1[[#This Row],[Aktual]]-Table1[[#This Row],[Target]])/Table1[[#This Row],[Target]]</f>
        <v>6.9800569800569798E-2</v>
      </c>
      <c r="K33" t="str">
        <f>IF(Table1[[#This Row],[Performance Gap (%)]]&lt;0,"Tidak mencapai target", IF(Table1[[#This Row],[Performance Gap (%)]]=0,"Mencapai target", "Melebihi Target"))</f>
        <v>Melebihi Target</v>
      </c>
      <c r="L33">
        <f>VLOOKUP(Table1[[#This Row],[Propinsi]]&amp;"_"&amp;Table1[[#This Row],[Dati 2]]&amp;"_"&amp;Table1[[#This Row],[Tanggal]],Table2[[#All],[Kompetitor area]:[Jumlah Kompetitor]],7,0)</f>
        <v>171</v>
      </c>
      <c r="M33">
        <f>Table1[[#This Row],[Aktual]]-Table1[[#This Row],[Jumlah Kompetitor]]</f>
        <v>1331</v>
      </c>
      <c r="N33" t="str">
        <f>IF(Table1[[#This Row],[vs Kompetitor]]&gt;0,"Win", "Lose")</f>
        <v>Win</v>
      </c>
    </row>
    <row r="34" spans="1:14" x14ac:dyDescent="0.25">
      <c r="A34">
        <v>33</v>
      </c>
      <c r="B34" t="s">
        <v>4</v>
      </c>
      <c r="C34" t="s">
        <v>75</v>
      </c>
      <c r="D34">
        <v>1</v>
      </c>
      <c r="E34">
        <v>2021</v>
      </c>
      <c r="F34" s="2">
        <f>DATE(Table1[[#This Row],[Tahun]],Table1[[#This Row],[Bulan]],1)</f>
        <v>44197</v>
      </c>
      <c r="G34">
        <v>412</v>
      </c>
      <c r="H34">
        <v>421</v>
      </c>
      <c r="I34" s="6">
        <f>(Table1[[#This Row],[Aktual]]-Table1[[#This Row],[Target]])</f>
        <v>-9</v>
      </c>
      <c r="J34" s="3">
        <f>(Table1[[#This Row],[Aktual]]-Table1[[#This Row],[Target]])/Table1[[#This Row],[Target]]</f>
        <v>-2.1377672209026127E-2</v>
      </c>
      <c r="K34" t="str">
        <f>IF(Table1[[#This Row],[Performance Gap (%)]]&lt;0,"Tidak mencapai target", IF(Table1[[#This Row],[Performance Gap (%)]]=0,"Mencapai target", "Melebihi Target"))</f>
        <v>Tidak mencapai target</v>
      </c>
      <c r="L34">
        <f>VLOOKUP(Table1[[#This Row],[Propinsi]]&amp;"_"&amp;Table1[[#This Row],[Dati 2]]&amp;"_"&amp;Table1[[#This Row],[Tanggal]],Table2[[#All],[Kompetitor area]:[Jumlah Kompetitor]],7,0)</f>
        <v>124</v>
      </c>
      <c r="M34">
        <f>Table1[[#This Row],[Aktual]]-Table1[[#This Row],[Jumlah Kompetitor]]</f>
        <v>288</v>
      </c>
      <c r="N34" t="str">
        <f>IF(Table1[[#This Row],[vs Kompetitor]]&gt;0,"Win", "Lose")</f>
        <v>Win</v>
      </c>
    </row>
    <row r="35" spans="1:14" x14ac:dyDescent="0.25">
      <c r="A35">
        <v>34</v>
      </c>
      <c r="B35" t="s">
        <v>4</v>
      </c>
      <c r="C35" t="s">
        <v>76</v>
      </c>
      <c r="D35">
        <v>1</v>
      </c>
      <c r="E35">
        <v>2021</v>
      </c>
      <c r="F35" s="2">
        <f>DATE(Table1[[#This Row],[Tahun]],Table1[[#This Row],[Bulan]],1)</f>
        <v>44197</v>
      </c>
      <c r="G35">
        <v>494</v>
      </c>
      <c r="H35">
        <v>480</v>
      </c>
      <c r="I35" s="6">
        <f>(Table1[[#This Row],[Aktual]]-Table1[[#This Row],[Target]])</f>
        <v>14</v>
      </c>
      <c r="J35" s="3">
        <f>(Table1[[#This Row],[Aktual]]-Table1[[#This Row],[Target]])/Table1[[#This Row],[Target]]</f>
        <v>2.9166666666666667E-2</v>
      </c>
      <c r="K35" t="str">
        <f>IF(Table1[[#This Row],[Performance Gap (%)]]&lt;0,"Tidak mencapai target", IF(Table1[[#This Row],[Performance Gap (%)]]=0,"Mencapai target", "Melebihi Target"))</f>
        <v>Melebihi Target</v>
      </c>
      <c r="L35">
        <f>VLOOKUP(Table1[[#This Row],[Propinsi]]&amp;"_"&amp;Table1[[#This Row],[Dati 2]]&amp;"_"&amp;Table1[[#This Row],[Tanggal]],Table2[[#All],[Kompetitor area]:[Jumlah Kompetitor]],7,0)</f>
        <v>72</v>
      </c>
      <c r="M35">
        <f>Table1[[#This Row],[Aktual]]-Table1[[#This Row],[Jumlah Kompetitor]]</f>
        <v>422</v>
      </c>
      <c r="N35" t="str">
        <f>IF(Table1[[#This Row],[vs Kompetitor]]&gt;0,"Win", "Lose")</f>
        <v>Win</v>
      </c>
    </row>
    <row r="36" spans="1:14" x14ac:dyDescent="0.25">
      <c r="A36">
        <v>35</v>
      </c>
      <c r="B36" t="s">
        <v>4</v>
      </c>
      <c r="C36" t="s">
        <v>77</v>
      </c>
      <c r="D36">
        <v>1</v>
      </c>
      <c r="E36">
        <v>2021</v>
      </c>
      <c r="F36" s="2">
        <f>DATE(Table1[[#This Row],[Tahun]],Table1[[#This Row],[Bulan]],1)</f>
        <v>44197</v>
      </c>
      <c r="G36">
        <v>610</v>
      </c>
      <c r="H36">
        <v>623</v>
      </c>
      <c r="I36" s="6">
        <f>(Table1[[#This Row],[Aktual]]-Table1[[#This Row],[Target]])</f>
        <v>-13</v>
      </c>
      <c r="J36" s="3">
        <f>(Table1[[#This Row],[Aktual]]-Table1[[#This Row],[Target]])/Table1[[#This Row],[Target]]</f>
        <v>-2.0866773675762441E-2</v>
      </c>
      <c r="K36" t="str">
        <f>IF(Table1[[#This Row],[Performance Gap (%)]]&lt;0,"Tidak mencapai target", IF(Table1[[#This Row],[Performance Gap (%)]]=0,"Mencapai target", "Melebihi Target"))</f>
        <v>Tidak mencapai target</v>
      </c>
      <c r="L36">
        <f>VLOOKUP(Table1[[#This Row],[Propinsi]]&amp;"_"&amp;Table1[[#This Row],[Dati 2]]&amp;"_"&amp;Table1[[#This Row],[Tanggal]],Table2[[#All],[Kompetitor area]:[Jumlah Kompetitor]],7,0)</f>
        <v>130</v>
      </c>
      <c r="M36">
        <f>Table1[[#This Row],[Aktual]]-Table1[[#This Row],[Jumlah Kompetitor]]</f>
        <v>480</v>
      </c>
      <c r="N36" t="str">
        <f>IF(Table1[[#This Row],[vs Kompetitor]]&gt;0,"Win", "Lose")</f>
        <v>Win</v>
      </c>
    </row>
    <row r="37" spans="1:14" x14ac:dyDescent="0.25">
      <c r="A37">
        <v>36</v>
      </c>
      <c r="B37" t="s">
        <v>4</v>
      </c>
      <c r="C37" t="s">
        <v>78</v>
      </c>
      <c r="D37">
        <v>1</v>
      </c>
      <c r="E37">
        <v>2021</v>
      </c>
      <c r="F37" s="2">
        <f>DATE(Table1[[#This Row],[Tahun]],Table1[[#This Row],[Bulan]],1)</f>
        <v>44197</v>
      </c>
      <c r="G37">
        <v>835</v>
      </c>
      <c r="H37">
        <v>774</v>
      </c>
      <c r="I37" s="6">
        <f>(Table1[[#This Row],[Aktual]]-Table1[[#This Row],[Target]])</f>
        <v>61</v>
      </c>
      <c r="J37" s="3">
        <f>(Table1[[#This Row],[Aktual]]-Table1[[#This Row],[Target]])/Table1[[#This Row],[Target]]</f>
        <v>7.8811369509043924E-2</v>
      </c>
      <c r="K37" t="str">
        <f>IF(Table1[[#This Row],[Performance Gap (%)]]&lt;0,"Tidak mencapai target", IF(Table1[[#This Row],[Performance Gap (%)]]=0,"Mencapai target", "Melebihi Target"))</f>
        <v>Melebihi Target</v>
      </c>
      <c r="L37">
        <f>VLOOKUP(Table1[[#This Row],[Propinsi]]&amp;"_"&amp;Table1[[#This Row],[Dati 2]]&amp;"_"&amp;Table1[[#This Row],[Tanggal]],Table2[[#All],[Kompetitor area]:[Jumlah Kompetitor]],7,0)</f>
        <v>42</v>
      </c>
      <c r="M37">
        <f>Table1[[#This Row],[Aktual]]-Table1[[#This Row],[Jumlah Kompetitor]]</f>
        <v>793</v>
      </c>
      <c r="N37" t="str">
        <f>IF(Table1[[#This Row],[vs Kompetitor]]&gt;0,"Win", "Lose")</f>
        <v>Win</v>
      </c>
    </row>
    <row r="38" spans="1:14" x14ac:dyDescent="0.25">
      <c r="A38">
        <v>37</v>
      </c>
      <c r="B38" t="s">
        <v>2</v>
      </c>
      <c r="C38" t="s">
        <v>79</v>
      </c>
      <c r="D38">
        <v>1</v>
      </c>
      <c r="E38">
        <v>2021</v>
      </c>
      <c r="F38" s="2">
        <f>DATE(Table1[[#This Row],[Tahun]],Table1[[#This Row],[Bulan]],1)</f>
        <v>44197</v>
      </c>
      <c r="G38">
        <v>401</v>
      </c>
      <c r="H38">
        <v>372</v>
      </c>
      <c r="I38" s="6">
        <f>(Table1[[#This Row],[Aktual]]-Table1[[#This Row],[Target]])</f>
        <v>29</v>
      </c>
      <c r="J38" s="3">
        <f>(Table1[[#This Row],[Aktual]]-Table1[[#This Row],[Target]])/Table1[[#This Row],[Target]]</f>
        <v>7.7956989247311828E-2</v>
      </c>
      <c r="K38" t="str">
        <f>IF(Table1[[#This Row],[Performance Gap (%)]]&lt;0,"Tidak mencapai target", IF(Table1[[#This Row],[Performance Gap (%)]]=0,"Mencapai target", "Melebihi Target"))</f>
        <v>Melebihi Target</v>
      </c>
      <c r="L38">
        <f>VLOOKUP(Table1[[#This Row],[Propinsi]]&amp;"_"&amp;Table1[[#This Row],[Dati 2]]&amp;"_"&amp;Table1[[#This Row],[Tanggal]],Table2[[#All],[Kompetitor area]:[Jumlah Kompetitor]],7,0)</f>
        <v>19</v>
      </c>
      <c r="M38">
        <f>Table1[[#This Row],[Aktual]]-Table1[[#This Row],[Jumlah Kompetitor]]</f>
        <v>382</v>
      </c>
      <c r="N38" t="str">
        <f>IF(Table1[[#This Row],[vs Kompetitor]]&gt;0,"Win", "Lose")</f>
        <v>Win</v>
      </c>
    </row>
    <row r="39" spans="1:14" x14ac:dyDescent="0.25">
      <c r="A39">
        <v>38</v>
      </c>
      <c r="B39" t="s">
        <v>2</v>
      </c>
      <c r="C39" t="s">
        <v>80</v>
      </c>
      <c r="D39">
        <v>1</v>
      </c>
      <c r="E39">
        <v>2021</v>
      </c>
      <c r="F39" s="2">
        <f>DATE(Table1[[#This Row],[Tahun]],Table1[[#This Row],[Bulan]],1)</f>
        <v>44197</v>
      </c>
      <c r="G39">
        <v>594</v>
      </c>
      <c r="H39">
        <v>561</v>
      </c>
      <c r="I39" s="6">
        <f>(Table1[[#This Row],[Aktual]]-Table1[[#This Row],[Target]])</f>
        <v>33</v>
      </c>
      <c r="J39" s="3">
        <f>(Table1[[#This Row],[Aktual]]-Table1[[#This Row],[Target]])/Table1[[#This Row],[Target]]</f>
        <v>5.8823529411764705E-2</v>
      </c>
      <c r="K39" t="str">
        <f>IF(Table1[[#This Row],[Performance Gap (%)]]&lt;0,"Tidak mencapai target", IF(Table1[[#This Row],[Performance Gap (%)]]=0,"Mencapai target", "Melebihi Target"))</f>
        <v>Melebihi Target</v>
      </c>
      <c r="L39">
        <f>VLOOKUP(Table1[[#This Row],[Propinsi]]&amp;"_"&amp;Table1[[#This Row],[Dati 2]]&amp;"_"&amp;Table1[[#This Row],[Tanggal]],Table2[[#All],[Kompetitor area]:[Jumlah Kompetitor]],7,0)</f>
        <v>57</v>
      </c>
      <c r="M39">
        <f>Table1[[#This Row],[Aktual]]-Table1[[#This Row],[Jumlah Kompetitor]]</f>
        <v>537</v>
      </c>
      <c r="N39" t="str">
        <f>IF(Table1[[#This Row],[vs Kompetitor]]&gt;0,"Win", "Lose")</f>
        <v>Win</v>
      </c>
    </row>
    <row r="40" spans="1:14" x14ac:dyDescent="0.25">
      <c r="A40">
        <v>39</v>
      </c>
      <c r="B40" t="s">
        <v>2</v>
      </c>
      <c r="C40" t="s">
        <v>81</v>
      </c>
      <c r="D40">
        <v>1</v>
      </c>
      <c r="E40">
        <v>2021</v>
      </c>
      <c r="F40" s="2">
        <f>DATE(Table1[[#This Row],[Tahun]],Table1[[#This Row],[Bulan]],1)</f>
        <v>44197</v>
      </c>
      <c r="G40">
        <v>938</v>
      </c>
      <c r="H40">
        <v>988</v>
      </c>
      <c r="I40" s="6">
        <f>(Table1[[#This Row],[Aktual]]-Table1[[#This Row],[Target]])</f>
        <v>-50</v>
      </c>
      <c r="J40" s="3">
        <f>(Table1[[#This Row],[Aktual]]-Table1[[#This Row],[Target]])/Table1[[#This Row],[Target]]</f>
        <v>-5.0607287449392711E-2</v>
      </c>
      <c r="K40" t="str">
        <f>IF(Table1[[#This Row],[Performance Gap (%)]]&lt;0,"Tidak mencapai target", IF(Table1[[#This Row],[Performance Gap (%)]]=0,"Mencapai target", "Melebihi Target"))</f>
        <v>Tidak mencapai target</v>
      </c>
      <c r="L40">
        <f>VLOOKUP(Table1[[#This Row],[Propinsi]]&amp;"_"&amp;Table1[[#This Row],[Dati 2]]&amp;"_"&amp;Table1[[#This Row],[Tanggal]],Table2[[#All],[Kompetitor area]:[Jumlah Kompetitor]],7,0)</f>
        <v>18</v>
      </c>
      <c r="M40">
        <f>Table1[[#This Row],[Aktual]]-Table1[[#This Row],[Jumlah Kompetitor]]</f>
        <v>920</v>
      </c>
      <c r="N40" t="str">
        <f>IF(Table1[[#This Row],[vs Kompetitor]]&gt;0,"Win", "Lose")</f>
        <v>Win</v>
      </c>
    </row>
    <row r="41" spans="1:14" x14ac:dyDescent="0.25">
      <c r="A41">
        <v>40</v>
      </c>
      <c r="B41" t="s">
        <v>2</v>
      </c>
      <c r="C41" t="s">
        <v>82</v>
      </c>
      <c r="D41">
        <v>1</v>
      </c>
      <c r="E41">
        <v>2021</v>
      </c>
      <c r="F41" s="2">
        <f>DATE(Table1[[#This Row],[Tahun]],Table1[[#This Row],[Bulan]],1)</f>
        <v>44197</v>
      </c>
      <c r="G41">
        <v>240</v>
      </c>
      <c r="H41">
        <v>225</v>
      </c>
      <c r="I41" s="6">
        <f>(Table1[[#This Row],[Aktual]]-Table1[[#This Row],[Target]])</f>
        <v>15</v>
      </c>
      <c r="J41" s="3">
        <f>(Table1[[#This Row],[Aktual]]-Table1[[#This Row],[Target]])/Table1[[#This Row],[Target]]</f>
        <v>6.6666666666666666E-2</v>
      </c>
      <c r="K41" t="str">
        <f>IF(Table1[[#This Row],[Performance Gap (%)]]&lt;0,"Tidak mencapai target", IF(Table1[[#This Row],[Performance Gap (%)]]=0,"Mencapai target", "Melebihi Target"))</f>
        <v>Melebihi Target</v>
      </c>
      <c r="L41">
        <f>VLOOKUP(Table1[[#This Row],[Propinsi]]&amp;"_"&amp;Table1[[#This Row],[Dati 2]]&amp;"_"&amp;Table1[[#This Row],[Tanggal]],Table2[[#All],[Kompetitor area]:[Jumlah Kompetitor]],7,0)</f>
        <v>24</v>
      </c>
      <c r="M41">
        <f>Table1[[#This Row],[Aktual]]-Table1[[#This Row],[Jumlah Kompetitor]]</f>
        <v>216</v>
      </c>
      <c r="N41" t="str">
        <f>IF(Table1[[#This Row],[vs Kompetitor]]&gt;0,"Win", "Lose")</f>
        <v>Win</v>
      </c>
    </row>
    <row r="42" spans="1:14" x14ac:dyDescent="0.25">
      <c r="A42">
        <v>41</v>
      </c>
      <c r="B42" t="s">
        <v>4</v>
      </c>
      <c r="C42" t="s">
        <v>83</v>
      </c>
      <c r="D42">
        <v>1</v>
      </c>
      <c r="E42">
        <v>2021</v>
      </c>
      <c r="F42" s="2">
        <f>DATE(Table1[[#This Row],[Tahun]],Table1[[#This Row],[Bulan]],1)</f>
        <v>44197</v>
      </c>
      <c r="G42">
        <v>128</v>
      </c>
      <c r="H42">
        <v>117</v>
      </c>
      <c r="I42" s="6">
        <f>(Table1[[#This Row],[Aktual]]-Table1[[#This Row],[Target]])</f>
        <v>11</v>
      </c>
      <c r="J42" s="3">
        <f>(Table1[[#This Row],[Aktual]]-Table1[[#This Row],[Target]])/Table1[[#This Row],[Target]]</f>
        <v>9.4017094017094016E-2</v>
      </c>
      <c r="K42" t="str">
        <f>IF(Table1[[#This Row],[Performance Gap (%)]]&lt;0,"Tidak mencapai target", IF(Table1[[#This Row],[Performance Gap (%)]]=0,"Mencapai target", "Melebihi Target"))</f>
        <v>Melebihi Target</v>
      </c>
      <c r="L42">
        <f>VLOOKUP(Table1[[#This Row],[Propinsi]]&amp;"_"&amp;Table1[[#This Row],[Dati 2]]&amp;"_"&amp;Table1[[#This Row],[Tanggal]],Table2[[#All],[Kompetitor area]:[Jumlah Kompetitor]],7,0)</f>
        <v>30</v>
      </c>
      <c r="M42">
        <f>Table1[[#This Row],[Aktual]]-Table1[[#This Row],[Jumlah Kompetitor]]</f>
        <v>98</v>
      </c>
      <c r="N42" t="str">
        <f>IF(Table1[[#This Row],[vs Kompetitor]]&gt;0,"Win", "Lose")</f>
        <v>Win</v>
      </c>
    </row>
    <row r="43" spans="1:14" x14ac:dyDescent="0.25">
      <c r="A43">
        <v>42</v>
      </c>
      <c r="B43" t="s">
        <v>4</v>
      </c>
      <c r="C43" t="s">
        <v>84</v>
      </c>
      <c r="D43">
        <v>1</v>
      </c>
      <c r="E43">
        <v>2021</v>
      </c>
      <c r="F43" s="2">
        <f>DATE(Table1[[#This Row],[Tahun]],Table1[[#This Row],[Bulan]],1)</f>
        <v>44197</v>
      </c>
      <c r="G43">
        <v>1825</v>
      </c>
      <c r="H43">
        <v>1630</v>
      </c>
      <c r="I43" s="6">
        <f>(Table1[[#This Row],[Aktual]]-Table1[[#This Row],[Target]])</f>
        <v>195</v>
      </c>
      <c r="J43" s="3">
        <f>(Table1[[#This Row],[Aktual]]-Table1[[#This Row],[Target]])/Table1[[#This Row],[Target]]</f>
        <v>0.1196319018404908</v>
      </c>
      <c r="K43" t="str">
        <f>IF(Table1[[#This Row],[Performance Gap (%)]]&lt;0,"Tidak mencapai target", IF(Table1[[#This Row],[Performance Gap (%)]]=0,"Mencapai target", "Melebihi Target"))</f>
        <v>Melebihi Target</v>
      </c>
      <c r="L43">
        <f>VLOOKUP(Table1[[#This Row],[Propinsi]]&amp;"_"&amp;Table1[[#This Row],[Dati 2]]&amp;"_"&amp;Table1[[#This Row],[Tanggal]],Table2[[#All],[Kompetitor area]:[Jumlah Kompetitor]],7,0)</f>
        <v>172</v>
      </c>
      <c r="M43">
        <f>Table1[[#This Row],[Aktual]]-Table1[[#This Row],[Jumlah Kompetitor]]</f>
        <v>1653</v>
      </c>
      <c r="N43" t="str">
        <f>IF(Table1[[#This Row],[vs Kompetitor]]&gt;0,"Win", "Lose")</f>
        <v>Win</v>
      </c>
    </row>
    <row r="44" spans="1:14" x14ac:dyDescent="0.25">
      <c r="A44">
        <v>43</v>
      </c>
      <c r="B44" t="s">
        <v>4</v>
      </c>
      <c r="C44" t="s">
        <v>85</v>
      </c>
      <c r="D44">
        <v>1</v>
      </c>
      <c r="E44">
        <v>2021</v>
      </c>
      <c r="F44" s="2">
        <f>DATE(Table1[[#This Row],[Tahun]],Table1[[#This Row],[Bulan]],1)</f>
        <v>44197</v>
      </c>
      <c r="G44">
        <v>907</v>
      </c>
      <c r="H44">
        <v>840</v>
      </c>
      <c r="I44" s="6">
        <f>(Table1[[#This Row],[Aktual]]-Table1[[#This Row],[Target]])</f>
        <v>67</v>
      </c>
      <c r="J44" s="3">
        <f>(Table1[[#This Row],[Aktual]]-Table1[[#This Row],[Target]])/Table1[[#This Row],[Target]]</f>
        <v>7.9761904761904756E-2</v>
      </c>
      <c r="K44" t="str">
        <f>IF(Table1[[#This Row],[Performance Gap (%)]]&lt;0,"Tidak mencapai target", IF(Table1[[#This Row],[Performance Gap (%)]]=0,"Mencapai target", "Melebihi Target"))</f>
        <v>Melebihi Target</v>
      </c>
      <c r="L44">
        <f>VLOOKUP(Table1[[#This Row],[Propinsi]]&amp;"_"&amp;Table1[[#This Row],[Dati 2]]&amp;"_"&amp;Table1[[#This Row],[Tanggal]],Table2[[#All],[Kompetitor area]:[Jumlah Kompetitor]],7,0)</f>
        <v>115</v>
      </c>
      <c r="M44">
        <f>Table1[[#This Row],[Aktual]]-Table1[[#This Row],[Jumlah Kompetitor]]</f>
        <v>792</v>
      </c>
      <c r="N44" t="str">
        <f>IF(Table1[[#This Row],[vs Kompetitor]]&gt;0,"Win", "Lose")</f>
        <v>Win</v>
      </c>
    </row>
    <row r="45" spans="1:14" x14ac:dyDescent="0.25">
      <c r="A45">
        <v>44</v>
      </c>
      <c r="B45" t="s">
        <v>4</v>
      </c>
      <c r="C45" t="s">
        <v>86</v>
      </c>
      <c r="D45">
        <v>1</v>
      </c>
      <c r="E45">
        <v>2021</v>
      </c>
      <c r="F45" s="2">
        <f>DATE(Table1[[#This Row],[Tahun]],Table1[[#This Row],[Bulan]],1)</f>
        <v>44197</v>
      </c>
      <c r="G45">
        <v>200</v>
      </c>
      <c r="H45">
        <v>181</v>
      </c>
      <c r="I45" s="6">
        <f>(Table1[[#This Row],[Aktual]]-Table1[[#This Row],[Target]])</f>
        <v>19</v>
      </c>
      <c r="J45" s="3">
        <f>(Table1[[#This Row],[Aktual]]-Table1[[#This Row],[Target]])/Table1[[#This Row],[Target]]</f>
        <v>0.10497237569060773</v>
      </c>
      <c r="K45" t="str">
        <f>IF(Table1[[#This Row],[Performance Gap (%)]]&lt;0,"Tidak mencapai target", IF(Table1[[#This Row],[Performance Gap (%)]]=0,"Mencapai target", "Melebihi Target"))</f>
        <v>Melebihi Target</v>
      </c>
      <c r="L45">
        <f>VLOOKUP(Table1[[#This Row],[Propinsi]]&amp;"_"&amp;Table1[[#This Row],[Dati 2]]&amp;"_"&amp;Table1[[#This Row],[Tanggal]],Table2[[#All],[Kompetitor area]:[Jumlah Kompetitor]],7,0)</f>
        <v>133</v>
      </c>
      <c r="M45">
        <f>Table1[[#This Row],[Aktual]]-Table1[[#This Row],[Jumlah Kompetitor]]</f>
        <v>67</v>
      </c>
      <c r="N45" t="str">
        <f>IF(Table1[[#This Row],[vs Kompetitor]]&gt;0,"Win", "Lose")</f>
        <v>Win</v>
      </c>
    </row>
    <row r="46" spans="1:14" x14ac:dyDescent="0.25">
      <c r="A46">
        <v>45</v>
      </c>
      <c r="B46" t="s">
        <v>4</v>
      </c>
      <c r="C46" t="s">
        <v>87</v>
      </c>
      <c r="D46">
        <v>1</v>
      </c>
      <c r="E46">
        <v>2021</v>
      </c>
      <c r="F46" s="2">
        <f>DATE(Table1[[#This Row],[Tahun]],Table1[[#This Row],[Bulan]],1)</f>
        <v>44197</v>
      </c>
      <c r="G46">
        <v>1123</v>
      </c>
      <c r="H46">
        <v>1170</v>
      </c>
      <c r="I46" s="6">
        <f>(Table1[[#This Row],[Aktual]]-Table1[[#This Row],[Target]])</f>
        <v>-47</v>
      </c>
      <c r="J46" s="3">
        <f>(Table1[[#This Row],[Aktual]]-Table1[[#This Row],[Target]])/Table1[[#This Row],[Target]]</f>
        <v>-4.0170940170940174E-2</v>
      </c>
      <c r="K46" t="str">
        <f>IF(Table1[[#This Row],[Performance Gap (%)]]&lt;0,"Tidak mencapai target", IF(Table1[[#This Row],[Performance Gap (%)]]=0,"Mencapai target", "Melebihi Target"))</f>
        <v>Tidak mencapai target</v>
      </c>
      <c r="L46">
        <f>VLOOKUP(Table1[[#This Row],[Propinsi]]&amp;"_"&amp;Table1[[#This Row],[Dati 2]]&amp;"_"&amp;Table1[[#This Row],[Tanggal]],Table2[[#All],[Kompetitor area]:[Jumlah Kompetitor]],7,0)</f>
        <v>120</v>
      </c>
      <c r="M46">
        <f>Table1[[#This Row],[Aktual]]-Table1[[#This Row],[Jumlah Kompetitor]]</f>
        <v>1003</v>
      </c>
      <c r="N46" t="str">
        <f>IF(Table1[[#This Row],[vs Kompetitor]]&gt;0,"Win", "Lose")</f>
        <v>Win</v>
      </c>
    </row>
    <row r="47" spans="1:14" x14ac:dyDescent="0.25">
      <c r="A47">
        <v>46</v>
      </c>
      <c r="B47" t="s">
        <v>4</v>
      </c>
      <c r="C47" t="s">
        <v>88</v>
      </c>
      <c r="D47">
        <v>1</v>
      </c>
      <c r="E47">
        <v>2021</v>
      </c>
      <c r="F47" s="2">
        <f>DATE(Table1[[#This Row],[Tahun]],Table1[[#This Row],[Bulan]],1)</f>
        <v>44197</v>
      </c>
      <c r="G47">
        <v>826</v>
      </c>
      <c r="H47">
        <v>802</v>
      </c>
      <c r="I47" s="6">
        <f>(Table1[[#This Row],[Aktual]]-Table1[[#This Row],[Target]])</f>
        <v>24</v>
      </c>
      <c r="J47" s="3">
        <f>(Table1[[#This Row],[Aktual]]-Table1[[#This Row],[Target]])/Table1[[#This Row],[Target]]</f>
        <v>2.9925187032418952E-2</v>
      </c>
      <c r="K47" t="str">
        <f>IF(Table1[[#This Row],[Performance Gap (%)]]&lt;0,"Tidak mencapai target", IF(Table1[[#This Row],[Performance Gap (%)]]=0,"Mencapai target", "Melebihi Target"))</f>
        <v>Melebihi Target</v>
      </c>
      <c r="L47">
        <f>VLOOKUP(Table1[[#This Row],[Propinsi]]&amp;"_"&amp;Table1[[#This Row],[Dati 2]]&amp;"_"&amp;Table1[[#This Row],[Tanggal]],Table2[[#All],[Kompetitor area]:[Jumlah Kompetitor]],7,0)</f>
        <v>69</v>
      </c>
      <c r="M47">
        <f>Table1[[#This Row],[Aktual]]-Table1[[#This Row],[Jumlah Kompetitor]]</f>
        <v>757</v>
      </c>
      <c r="N47" t="str">
        <f>IF(Table1[[#This Row],[vs Kompetitor]]&gt;0,"Win", "Lose")</f>
        <v>Win</v>
      </c>
    </row>
    <row r="48" spans="1:14" x14ac:dyDescent="0.25">
      <c r="A48">
        <v>47</v>
      </c>
      <c r="B48" t="s">
        <v>4</v>
      </c>
      <c r="C48" t="s">
        <v>89</v>
      </c>
      <c r="D48">
        <v>1</v>
      </c>
      <c r="E48">
        <v>2021</v>
      </c>
      <c r="F48" s="2">
        <f>DATE(Table1[[#This Row],[Tahun]],Table1[[#This Row],[Bulan]],1)</f>
        <v>44197</v>
      </c>
      <c r="G48">
        <v>543</v>
      </c>
      <c r="H48">
        <v>538</v>
      </c>
      <c r="I48" s="6">
        <f>(Table1[[#This Row],[Aktual]]-Table1[[#This Row],[Target]])</f>
        <v>5</v>
      </c>
      <c r="J48" s="3">
        <f>(Table1[[#This Row],[Aktual]]-Table1[[#This Row],[Target]])/Table1[[#This Row],[Target]]</f>
        <v>9.2936802973977699E-3</v>
      </c>
      <c r="K48" t="str">
        <f>IF(Table1[[#This Row],[Performance Gap (%)]]&lt;0,"Tidak mencapai target", IF(Table1[[#This Row],[Performance Gap (%)]]=0,"Mencapai target", "Melebihi Target"))</f>
        <v>Melebihi Target</v>
      </c>
      <c r="L48">
        <f>VLOOKUP(Table1[[#This Row],[Propinsi]]&amp;"_"&amp;Table1[[#This Row],[Dati 2]]&amp;"_"&amp;Table1[[#This Row],[Tanggal]],Table2[[#All],[Kompetitor area]:[Jumlah Kompetitor]],7,0)</f>
        <v>111</v>
      </c>
      <c r="M48">
        <f>Table1[[#This Row],[Aktual]]-Table1[[#This Row],[Jumlah Kompetitor]]</f>
        <v>432</v>
      </c>
      <c r="N48" t="str">
        <f>IF(Table1[[#This Row],[vs Kompetitor]]&gt;0,"Win", "Lose")</f>
        <v>Win</v>
      </c>
    </row>
    <row r="49" spans="1:14" x14ac:dyDescent="0.25">
      <c r="A49">
        <v>48</v>
      </c>
      <c r="B49" t="s">
        <v>4</v>
      </c>
      <c r="C49" t="s">
        <v>90</v>
      </c>
      <c r="D49">
        <v>1</v>
      </c>
      <c r="E49">
        <v>2021</v>
      </c>
      <c r="F49" s="2">
        <f>DATE(Table1[[#This Row],[Tahun]],Table1[[#This Row],[Bulan]],1)</f>
        <v>44197</v>
      </c>
      <c r="G49">
        <v>508</v>
      </c>
      <c r="H49">
        <v>519</v>
      </c>
      <c r="I49" s="6">
        <f>(Table1[[#This Row],[Aktual]]-Table1[[#This Row],[Target]])</f>
        <v>-11</v>
      </c>
      <c r="J49" s="3">
        <f>(Table1[[#This Row],[Aktual]]-Table1[[#This Row],[Target]])/Table1[[#This Row],[Target]]</f>
        <v>-2.119460500963391E-2</v>
      </c>
      <c r="K49" t="str">
        <f>IF(Table1[[#This Row],[Performance Gap (%)]]&lt;0,"Tidak mencapai target", IF(Table1[[#This Row],[Performance Gap (%)]]=0,"Mencapai target", "Melebihi Target"))</f>
        <v>Tidak mencapai target</v>
      </c>
      <c r="L49">
        <f>VLOOKUP(Table1[[#This Row],[Propinsi]]&amp;"_"&amp;Table1[[#This Row],[Dati 2]]&amp;"_"&amp;Table1[[#This Row],[Tanggal]],Table2[[#All],[Kompetitor area]:[Jumlah Kompetitor]],7,0)</f>
        <v>91</v>
      </c>
      <c r="M49">
        <f>Table1[[#This Row],[Aktual]]-Table1[[#This Row],[Jumlah Kompetitor]]</f>
        <v>417</v>
      </c>
      <c r="N49" t="str">
        <f>IF(Table1[[#This Row],[vs Kompetitor]]&gt;0,"Win", "Lose")</f>
        <v>Win</v>
      </c>
    </row>
    <row r="50" spans="1:14" x14ac:dyDescent="0.25">
      <c r="A50">
        <v>49</v>
      </c>
      <c r="B50" t="s">
        <v>4</v>
      </c>
      <c r="C50" t="s">
        <v>91</v>
      </c>
      <c r="D50">
        <v>1</v>
      </c>
      <c r="E50">
        <v>2021</v>
      </c>
      <c r="F50" s="2">
        <f>DATE(Table1[[#This Row],[Tahun]],Table1[[#This Row],[Bulan]],1)</f>
        <v>44197</v>
      </c>
      <c r="G50">
        <v>471</v>
      </c>
      <c r="H50">
        <v>445</v>
      </c>
      <c r="I50" s="6">
        <f>(Table1[[#This Row],[Aktual]]-Table1[[#This Row],[Target]])</f>
        <v>26</v>
      </c>
      <c r="J50" s="3">
        <f>(Table1[[#This Row],[Aktual]]-Table1[[#This Row],[Target]])/Table1[[#This Row],[Target]]</f>
        <v>5.8426966292134834E-2</v>
      </c>
      <c r="K50" t="str">
        <f>IF(Table1[[#This Row],[Performance Gap (%)]]&lt;0,"Tidak mencapai target", IF(Table1[[#This Row],[Performance Gap (%)]]=0,"Mencapai target", "Melebihi Target"))</f>
        <v>Melebihi Target</v>
      </c>
      <c r="L50">
        <f>VLOOKUP(Table1[[#This Row],[Propinsi]]&amp;"_"&amp;Table1[[#This Row],[Dati 2]]&amp;"_"&amp;Table1[[#This Row],[Tanggal]],Table2[[#All],[Kompetitor area]:[Jumlah Kompetitor]],7,0)</f>
        <v>106</v>
      </c>
      <c r="M50">
        <f>Table1[[#This Row],[Aktual]]-Table1[[#This Row],[Jumlah Kompetitor]]</f>
        <v>365</v>
      </c>
      <c r="N50" t="str">
        <f>IF(Table1[[#This Row],[vs Kompetitor]]&gt;0,"Win", "Lose")</f>
        <v>Win</v>
      </c>
    </row>
    <row r="51" spans="1:14" x14ac:dyDescent="0.25">
      <c r="A51">
        <v>50</v>
      </c>
      <c r="B51" t="s">
        <v>4</v>
      </c>
      <c r="C51" t="s">
        <v>92</v>
      </c>
      <c r="D51">
        <v>1</v>
      </c>
      <c r="E51">
        <v>2021</v>
      </c>
      <c r="F51" s="2">
        <f>DATE(Table1[[#This Row],[Tahun]],Table1[[#This Row],[Bulan]],1)</f>
        <v>44197</v>
      </c>
      <c r="G51">
        <v>606</v>
      </c>
      <c r="H51">
        <v>613</v>
      </c>
      <c r="I51" s="6">
        <f>(Table1[[#This Row],[Aktual]]-Table1[[#This Row],[Target]])</f>
        <v>-7</v>
      </c>
      <c r="J51" s="3">
        <f>(Table1[[#This Row],[Aktual]]-Table1[[#This Row],[Target]])/Table1[[#This Row],[Target]]</f>
        <v>-1.1419249592169658E-2</v>
      </c>
      <c r="K51" t="str">
        <f>IF(Table1[[#This Row],[Performance Gap (%)]]&lt;0,"Tidak mencapai target", IF(Table1[[#This Row],[Performance Gap (%)]]=0,"Mencapai target", "Melebihi Target"))</f>
        <v>Tidak mencapai target</v>
      </c>
      <c r="L51">
        <f>VLOOKUP(Table1[[#This Row],[Propinsi]]&amp;"_"&amp;Table1[[#This Row],[Dati 2]]&amp;"_"&amp;Table1[[#This Row],[Tanggal]],Table2[[#All],[Kompetitor area]:[Jumlah Kompetitor]],7,0)</f>
        <v>107</v>
      </c>
      <c r="M51">
        <f>Table1[[#This Row],[Aktual]]-Table1[[#This Row],[Jumlah Kompetitor]]</f>
        <v>499</v>
      </c>
      <c r="N51" t="str">
        <f>IF(Table1[[#This Row],[vs Kompetitor]]&gt;0,"Win", "Lose")</f>
        <v>Win</v>
      </c>
    </row>
    <row r="52" spans="1:14" x14ac:dyDescent="0.25">
      <c r="A52">
        <v>51</v>
      </c>
      <c r="B52" t="s">
        <v>4</v>
      </c>
      <c r="C52" t="s">
        <v>93</v>
      </c>
      <c r="D52">
        <v>1</v>
      </c>
      <c r="E52">
        <v>2021</v>
      </c>
      <c r="F52" s="2">
        <f>DATE(Table1[[#This Row],[Tahun]],Table1[[#This Row],[Bulan]],1)</f>
        <v>44197</v>
      </c>
      <c r="G52">
        <v>338</v>
      </c>
      <c r="H52">
        <v>332</v>
      </c>
      <c r="I52" s="6">
        <f>(Table1[[#This Row],[Aktual]]-Table1[[#This Row],[Target]])</f>
        <v>6</v>
      </c>
      <c r="J52" s="3">
        <f>(Table1[[#This Row],[Aktual]]-Table1[[#This Row],[Target]])/Table1[[#This Row],[Target]]</f>
        <v>1.8072289156626505E-2</v>
      </c>
      <c r="K52" t="str">
        <f>IF(Table1[[#This Row],[Performance Gap (%)]]&lt;0,"Tidak mencapai target", IF(Table1[[#This Row],[Performance Gap (%)]]=0,"Mencapai target", "Melebihi Target"))</f>
        <v>Melebihi Target</v>
      </c>
      <c r="L52">
        <f>VLOOKUP(Table1[[#This Row],[Propinsi]]&amp;"_"&amp;Table1[[#This Row],[Dati 2]]&amp;"_"&amp;Table1[[#This Row],[Tanggal]],Table2[[#All],[Kompetitor area]:[Jumlah Kompetitor]],7,0)</f>
        <v>47</v>
      </c>
      <c r="M52">
        <f>Table1[[#This Row],[Aktual]]-Table1[[#This Row],[Jumlah Kompetitor]]</f>
        <v>291</v>
      </c>
      <c r="N52" t="str">
        <f>IF(Table1[[#This Row],[vs Kompetitor]]&gt;0,"Win", "Lose")</f>
        <v>Win</v>
      </c>
    </row>
    <row r="53" spans="1:14" x14ac:dyDescent="0.25">
      <c r="A53">
        <v>52</v>
      </c>
      <c r="B53" t="s">
        <v>4</v>
      </c>
      <c r="C53" t="s">
        <v>94</v>
      </c>
      <c r="D53">
        <v>1</v>
      </c>
      <c r="E53">
        <v>2021</v>
      </c>
      <c r="F53" s="2">
        <f>DATE(Table1[[#This Row],[Tahun]],Table1[[#This Row],[Bulan]],1)</f>
        <v>44197</v>
      </c>
      <c r="G53">
        <v>80</v>
      </c>
      <c r="H53">
        <v>84</v>
      </c>
      <c r="I53" s="6">
        <f>(Table1[[#This Row],[Aktual]]-Table1[[#This Row],[Target]])</f>
        <v>-4</v>
      </c>
      <c r="J53" s="3">
        <f>(Table1[[#This Row],[Aktual]]-Table1[[#This Row],[Target]])/Table1[[#This Row],[Target]]</f>
        <v>-4.7619047619047616E-2</v>
      </c>
      <c r="K53" t="str">
        <f>IF(Table1[[#This Row],[Performance Gap (%)]]&lt;0,"Tidak mencapai target", IF(Table1[[#This Row],[Performance Gap (%)]]=0,"Mencapai target", "Melebihi Target"))</f>
        <v>Tidak mencapai target</v>
      </c>
      <c r="L53">
        <f>VLOOKUP(Table1[[#This Row],[Propinsi]]&amp;"_"&amp;Table1[[#This Row],[Dati 2]]&amp;"_"&amp;Table1[[#This Row],[Tanggal]],Table2[[#All],[Kompetitor area]:[Jumlah Kompetitor]],7,0)</f>
        <v>45</v>
      </c>
      <c r="M53">
        <f>Table1[[#This Row],[Aktual]]-Table1[[#This Row],[Jumlah Kompetitor]]</f>
        <v>35</v>
      </c>
      <c r="N53" t="str">
        <f>IF(Table1[[#This Row],[vs Kompetitor]]&gt;0,"Win", "Lose")</f>
        <v>Win</v>
      </c>
    </row>
    <row r="54" spans="1:14" x14ac:dyDescent="0.25">
      <c r="A54">
        <v>53</v>
      </c>
      <c r="B54" t="s">
        <v>5</v>
      </c>
      <c r="C54" t="s">
        <v>95</v>
      </c>
      <c r="D54">
        <v>1</v>
      </c>
      <c r="E54">
        <v>2021</v>
      </c>
      <c r="F54" s="2">
        <f>DATE(Table1[[#This Row],[Tahun]],Table1[[#This Row],[Bulan]],1)</f>
        <v>44197</v>
      </c>
      <c r="G54">
        <v>617</v>
      </c>
      <c r="H54">
        <v>624</v>
      </c>
      <c r="I54" s="6">
        <f>(Table1[[#This Row],[Aktual]]-Table1[[#This Row],[Target]])</f>
        <v>-7</v>
      </c>
      <c r="J54" s="3">
        <f>(Table1[[#This Row],[Aktual]]-Table1[[#This Row],[Target]])/Table1[[#This Row],[Target]]</f>
        <v>-1.1217948717948718E-2</v>
      </c>
      <c r="K54" t="str">
        <f>IF(Table1[[#This Row],[Performance Gap (%)]]&lt;0,"Tidak mencapai target", IF(Table1[[#This Row],[Performance Gap (%)]]=0,"Mencapai target", "Melebihi Target"))</f>
        <v>Tidak mencapai target</v>
      </c>
      <c r="L54">
        <f>VLOOKUP(Table1[[#This Row],[Propinsi]]&amp;"_"&amp;Table1[[#This Row],[Dati 2]]&amp;"_"&amp;Table1[[#This Row],[Tanggal]],Table2[[#All],[Kompetitor area]:[Jumlah Kompetitor]],7,0)</f>
        <v>31</v>
      </c>
      <c r="M54">
        <f>Table1[[#This Row],[Aktual]]-Table1[[#This Row],[Jumlah Kompetitor]]</f>
        <v>586</v>
      </c>
      <c r="N54" t="str">
        <f>IF(Table1[[#This Row],[vs Kompetitor]]&gt;0,"Win", "Lose")</f>
        <v>Win</v>
      </c>
    </row>
    <row r="55" spans="1:14" x14ac:dyDescent="0.25">
      <c r="A55">
        <v>54</v>
      </c>
      <c r="B55" t="s">
        <v>5</v>
      </c>
      <c r="C55" t="s">
        <v>96</v>
      </c>
      <c r="D55">
        <v>1</v>
      </c>
      <c r="E55">
        <v>2021</v>
      </c>
      <c r="F55" s="2">
        <f>DATE(Table1[[#This Row],[Tahun]],Table1[[#This Row],[Bulan]],1)</f>
        <v>44197</v>
      </c>
      <c r="G55">
        <v>139</v>
      </c>
      <c r="H55">
        <v>128</v>
      </c>
      <c r="I55" s="6">
        <f>(Table1[[#This Row],[Aktual]]-Table1[[#This Row],[Target]])</f>
        <v>11</v>
      </c>
      <c r="J55" s="3">
        <f>(Table1[[#This Row],[Aktual]]-Table1[[#This Row],[Target]])/Table1[[#This Row],[Target]]</f>
        <v>8.59375E-2</v>
      </c>
      <c r="K55" t="str">
        <f>IF(Table1[[#This Row],[Performance Gap (%)]]&lt;0,"Tidak mencapai target", IF(Table1[[#This Row],[Performance Gap (%)]]=0,"Mencapai target", "Melebihi Target"))</f>
        <v>Melebihi Target</v>
      </c>
      <c r="L55">
        <f>VLOOKUP(Table1[[#This Row],[Propinsi]]&amp;"_"&amp;Table1[[#This Row],[Dati 2]]&amp;"_"&amp;Table1[[#This Row],[Tanggal]],Table2[[#All],[Kompetitor area]:[Jumlah Kompetitor]],7,0)</f>
        <v>60</v>
      </c>
      <c r="M55">
        <f>Table1[[#This Row],[Aktual]]-Table1[[#This Row],[Jumlah Kompetitor]]</f>
        <v>79</v>
      </c>
      <c r="N55" t="str">
        <f>IF(Table1[[#This Row],[vs Kompetitor]]&gt;0,"Win", "Lose")</f>
        <v>Win</v>
      </c>
    </row>
    <row r="56" spans="1:14" x14ac:dyDescent="0.25">
      <c r="A56">
        <v>55</v>
      </c>
      <c r="B56" t="s">
        <v>5</v>
      </c>
      <c r="C56" t="s">
        <v>97</v>
      </c>
      <c r="D56">
        <v>1</v>
      </c>
      <c r="E56">
        <v>2021</v>
      </c>
      <c r="F56" s="2">
        <f>DATE(Table1[[#This Row],[Tahun]],Table1[[#This Row],[Bulan]],1)</f>
        <v>44197</v>
      </c>
      <c r="G56">
        <v>146</v>
      </c>
      <c r="H56">
        <v>132</v>
      </c>
      <c r="I56" s="6">
        <f>(Table1[[#This Row],[Aktual]]-Table1[[#This Row],[Target]])</f>
        <v>14</v>
      </c>
      <c r="J56" s="3">
        <f>(Table1[[#This Row],[Aktual]]-Table1[[#This Row],[Target]])/Table1[[#This Row],[Target]]</f>
        <v>0.10606060606060606</v>
      </c>
      <c r="K56" t="str">
        <f>IF(Table1[[#This Row],[Performance Gap (%)]]&lt;0,"Tidak mencapai target", IF(Table1[[#This Row],[Performance Gap (%)]]=0,"Mencapai target", "Melebihi Target"))</f>
        <v>Melebihi Target</v>
      </c>
      <c r="L56">
        <f>VLOOKUP(Table1[[#This Row],[Propinsi]]&amp;"_"&amp;Table1[[#This Row],[Dati 2]]&amp;"_"&amp;Table1[[#This Row],[Tanggal]],Table2[[#All],[Kompetitor area]:[Jumlah Kompetitor]],7,0)</f>
        <v>87</v>
      </c>
      <c r="M56">
        <f>Table1[[#This Row],[Aktual]]-Table1[[#This Row],[Jumlah Kompetitor]]</f>
        <v>59</v>
      </c>
      <c r="N56" t="str">
        <f>IF(Table1[[#This Row],[vs Kompetitor]]&gt;0,"Win", "Lose")</f>
        <v>Win</v>
      </c>
    </row>
    <row r="57" spans="1:14" x14ac:dyDescent="0.25">
      <c r="A57">
        <v>56</v>
      </c>
      <c r="B57" t="s">
        <v>5</v>
      </c>
      <c r="C57" t="s">
        <v>98</v>
      </c>
      <c r="D57">
        <v>1</v>
      </c>
      <c r="E57">
        <v>2021</v>
      </c>
      <c r="F57" s="2">
        <f>DATE(Table1[[#This Row],[Tahun]],Table1[[#This Row],[Bulan]],1)</f>
        <v>44197</v>
      </c>
      <c r="G57">
        <v>463</v>
      </c>
      <c r="H57">
        <v>425</v>
      </c>
      <c r="I57" s="6">
        <f>(Table1[[#This Row],[Aktual]]-Table1[[#This Row],[Target]])</f>
        <v>38</v>
      </c>
      <c r="J57" s="3">
        <f>(Table1[[#This Row],[Aktual]]-Table1[[#This Row],[Target]])/Table1[[#This Row],[Target]]</f>
        <v>8.9411764705882357E-2</v>
      </c>
      <c r="K57" t="str">
        <f>IF(Table1[[#This Row],[Performance Gap (%)]]&lt;0,"Tidak mencapai target", IF(Table1[[#This Row],[Performance Gap (%)]]=0,"Mencapai target", "Melebihi Target"))</f>
        <v>Melebihi Target</v>
      </c>
      <c r="L57">
        <f>VLOOKUP(Table1[[#This Row],[Propinsi]]&amp;"_"&amp;Table1[[#This Row],[Dati 2]]&amp;"_"&amp;Table1[[#This Row],[Tanggal]],Table2[[#All],[Kompetitor area]:[Jumlah Kompetitor]],7,0)</f>
        <v>58</v>
      </c>
      <c r="M57">
        <f>Table1[[#This Row],[Aktual]]-Table1[[#This Row],[Jumlah Kompetitor]]</f>
        <v>405</v>
      </c>
      <c r="N57" t="str">
        <f>IF(Table1[[#This Row],[vs Kompetitor]]&gt;0,"Win", "Lose")</f>
        <v>Win</v>
      </c>
    </row>
    <row r="58" spans="1:14" x14ac:dyDescent="0.25">
      <c r="A58">
        <v>57</v>
      </c>
      <c r="B58" t="s">
        <v>5</v>
      </c>
      <c r="C58" t="s">
        <v>99</v>
      </c>
      <c r="D58">
        <v>1</v>
      </c>
      <c r="E58">
        <v>2021</v>
      </c>
      <c r="F58" s="2">
        <f>DATE(Table1[[#This Row],[Tahun]],Table1[[#This Row],[Bulan]],1)</f>
        <v>44197</v>
      </c>
      <c r="G58">
        <v>683</v>
      </c>
      <c r="H58">
        <v>621</v>
      </c>
      <c r="I58" s="6">
        <f>(Table1[[#This Row],[Aktual]]-Table1[[#This Row],[Target]])</f>
        <v>62</v>
      </c>
      <c r="J58" s="3">
        <f>(Table1[[#This Row],[Aktual]]-Table1[[#This Row],[Target]])/Table1[[#This Row],[Target]]</f>
        <v>9.9838969404186795E-2</v>
      </c>
      <c r="K58" t="str">
        <f>IF(Table1[[#This Row],[Performance Gap (%)]]&lt;0,"Tidak mencapai target", IF(Table1[[#This Row],[Performance Gap (%)]]=0,"Mencapai target", "Melebihi Target"))</f>
        <v>Melebihi Target</v>
      </c>
      <c r="L58">
        <f>VLOOKUP(Table1[[#This Row],[Propinsi]]&amp;"_"&amp;Table1[[#This Row],[Dati 2]]&amp;"_"&amp;Table1[[#This Row],[Tanggal]],Table2[[#All],[Kompetitor area]:[Jumlah Kompetitor]],7,0)</f>
        <v>61</v>
      </c>
      <c r="M58">
        <f>Table1[[#This Row],[Aktual]]-Table1[[#This Row],[Jumlah Kompetitor]]</f>
        <v>622</v>
      </c>
      <c r="N58" t="str">
        <f>IF(Table1[[#This Row],[vs Kompetitor]]&gt;0,"Win", "Lose")</f>
        <v>Win</v>
      </c>
    </row>
    <row r="59" spans="1:14" x14ac:dyDescent="0.25">
      <c r="A59">
        <v>58</v>
      </c>
      <c r="B59" t="s">
        <v>5</v>
      </c>
      <c r="C59" t="s">
        <v>100</v>
      </c>
      <c r="D59">
        <v>1</v>
      </c>
      <c r="E59">
        <v>2021</v>
      </c>
      <c r="F59" s="2">
        <f>DATE(Table1[[#This Row],[Tahun]],Table1[[#This Row],[Bulan]],1)</f>
        <v>44197</v>
      </c>
      <c r="G59">
        <v>198</v>
      </c>
      <c r="H59">
        <v>187</v>
      </c>
      <c r="I59" s="6">
        <f>(Table1[[#This Row],[Aktual]]-Table1[[#This Row],[Target]])</f>
        <v>11</v>
      </c>
      <c r="J59" s="3">
        <f>(Table1[[#This Row],[Aktual]]-Table1[[#This Row],[Target]])/Table1[[#This Row],[Target]]</f>
        <v>5.8823529411764705E-2</v>
      </c>
      <c r="K59" t="str">
        <f>IF(Table1[[#This Row],[Performance Gap (%)]]&lt;0,"Tidak mencapai target", IF(Table1[[#This Row],[Performance Gap (%)]]=0,"Mencapai target", "Melebihi Target"))</f>
        <v>Melebihi Target</v>
      </c>
      <c r="L59">
        <f>VLOOKUP(Table1[[#This Row],[Propinsi]]&amp;"_"&amp;Table1[[#This Row],[Dati 2]]&amp;"_"&amp;Table1[[#This Row],[Tanggal]],Table2[[#All],[Kompetitor area]:[Jumlah Kompetitor]],7,0)</f>
        <v>146</v>
      </c>
      <c r="M59">
        <f>Table1[[#This Row],[Aktual]]-Table1[[#This Row],[Jumlah Kompetitor]]</f>
        <v>52</v>
      </c>
      <c r="N59" t="str">
        <f>IF(Table1[[#This Row],[vs Kompetitor]]&gt;0,"Win", "Lose")</f>
        <v>Win</v>
      </c>
    </row>
    <row r="60" spans="1:14" x14ac:dyDescent="0.25">
      <c r="A60">
        <v>59</v>
      </c>
      <c r="B60" t="s">
        <v>5</v>
      </c>
      <c r="C60" t="s">
        <v>101</v>
      </c>
      <c r="D60">
        <v>1</v>
      </c>
      <c r="E60">
        <v>2021</v>
      </c>
      <c r="F60" s="2">
        <f>DATE(Table1[[#This Row],[Tahun]],Table1[[#This Row],[Bulan]],1)</f>
        <v>44197</v>
      </c>
      <c r="G60">
        <v>944</v>
      </c>
      <c r="H60">
        <v>974</v>
      </c>
      <c r="I60" s="6">
        <f>(Table1[[#This Row],[Aktual]]-Table1[[#This Row],[Target]])</f>
        <v>-30</v>
      </c>
      <c r="J60" s="3">
        <f>(Table1[[#This Row],[Aktual]]-Table1[[#This Row],[Target]])/Table1[[#This Row],[Target]]</f>
        <v>-3.0800821355236138E-2</v>
      </c>
      <c r="K60" t="str">
        <f>IF(Table1[[#This Row],[Performance Gap (%)]]&lt;0,"Tidak mencapai target", IF(Table1[[#This Row],[Performance Gap (%)]]=0,"Mencapai target", "Melebihi Target"))</f>
        <v>Tidak mencapai target</v>
      </c>
      <c r="L60">
        <f>VLOOKUP(Table1[[#This Row],[Propinsi]]&amp;"_"&amp;Table1[[#This Row],[Dati 2]]&amp;"_"&amp;Table1[[#This Row],[Tanggal]],Table2[[#All],[Kompetitor area]:[Jumlah Kompetitor]],7,0)</f>
        <v>83</v>
      </c>
      <c r="M60">
        <f>Table1[[#This Row],[Aktual]]-Table1[[#This Row],[Jumlah Kompetitor]]</f>
        <v>861</v>
      </c>
      <c r="N60" t="str">
        <f>IF(Table1[[#This Row],[vs Kompetitor]]&gt;0,"Win", "Lose")</f>
        <v>Win</v>
      </c>
    </row>
    <row r="61" spans="1:14" x14ac:dyDescent="0.25">
      <c r="A61">
        <v>60</v>
      </c>
      <c r="B61" t="s">
        <v>5</v>
      </c>
      <c r="C61" t="s">
        <v>102</v>
      </c>
      <c r="D61">
        <v>1</v>
      </c>
      <c r="E61">
        <v>2021</v>
      </c>
      <c r="F61" s="2">
        <f>DATE(Table1[[#This Row],[Tahun]],Table1[[#This Row],[Bulan]],1)</f>
        <v>44197</v>
      </c>
      <c r="G61">
        <v>687</v>
      </c>
      <c r="H61">
        <v>619</v>
      </c>
      <c r="I61" s="6">
        <f>(Table1[[#This Row],[Aktual]]-Table1[[#This Row],[Target]])</f>
        <v>68</v>
      </c>
      <c r="J61" s="3">
        <f>(Table1[[#This Row],[Aktual]]-Table1[[#This Row],[Target]])/Table1[[#This Row],[Target]]</f>
        <v>0.1098546042003231</v>
      </c>
      <c r="K61" t="str">
        <f>IF(Table1[[#This Row],[Performance Gap (%)]]&lt;0,"Tidak mencapai target", IF(Table1[[#This Row],[Performance Gap (%)]]=0,"Mencapai target", "Melebihi Target"))</f>
        <v>Melebihi Target</v>
      </c>
      <c r="L61">
        <f>VLOOKUP(Table1[[#This Row],[Propinsi]]&amp;"_"&amp;Table1[[#This Row],[Dati 2]]&amp;"_"&amp;Table1[[#This Row],[Tanggal]],Table2[[#All],[Kompetitor area]:[Jumlah Kompetitor]],7,0)</f>
        <v>131</v>
      </c>
      <c r="M61">
        <f>Table1[[#This Row],[Aktual]]-Table1[[#This Row],[Jumlah Kompetitor]]</f>
        <v>556</v>
      </c>
      <c r="N61" t="str">
        <f>IF(Table1[[#This Row],[vs Kompetitor]]&gt;0,"Win", "Lose")</f>
        <v>Win</v>
      </c>
    </row>
    <row r="62" spans="1:14" x14ac:dyDescent="0.25">
      <c r="A62">
        <v>61</v>
      </c>
      <c r="B62" t="s">
        <v>5</v>
      </c>
      <c r="C62" t="s">
        <v>103</v>
      </c>
      <c r="D62">
        <v>1</v>
      </c>
      <c r="E62">
        <v>2021</v>
      </c>
      <c r="F62" s="2">
        <f>DATE(Table1[[#This Row],[Tahun]],Table1[[#This Row],[Bulan]],1)</f>
        <v>44197</v>
      </c>
      <c r="G62">
        <v>1460</v>
      </c>
      <c r="H62">
        <v>1328</v>
      </c>
      <c r="I62" s="6">
        <f>(Table1[[#This Row],[Aktual]]-Table1[[#This Row],[Target]])</f>
        <v>132</v>
      </c>
      <c r="J62" s="3">
        <f>(Table1[[#This Row],[Aktual]]-Table1[[#This Row],[Target]])/Table1[[#This Row],[Target]]</f>
        <v>9.9397590361445784E-2</v>
      </c>
      <c r="K62" t="str">
        <f>IF(Table1[[#This Row],[Performance Gap (%)]]&lt;0,"Tidak mencapai target", IF(Table1[[#This Row],[Performance Gap (%)]]=0,"Mencapai target", "Melebihi Target"))</f>
        <v>Melebihi Target</v>
      </c>
      <c r="L62">
        <f>VLOOKUP(Table1[[#This Row],[Propinsi]]&amp;"_"&amp;Table1[[#This Row],[Dati 2]]&amp;"_"&amp;Table1[[#This Row],[Tanggal]],Table2[[#All],[Kompetitor area]:[Jumlah Kompetitor]],7,0)</f>
        <v>60</v>
      </c>
      <c r="M62">
        <f>Table1[[#This Row],[Aktual]]-Table1[[#This Row],[Jumlah Kompetitor]]</f>
        <v>1400</v>
      </c>
      <c r="N62" t="str">
        <f>IF(Table1[[#This Row],[vs Kompetitor]]&gt;0,"Win", "Lose")</f>
        <v>Win</v>
      </c>
    </row>
    <row r="63" spans="1:14" x14ac:dyDescent="0.25">
      <c r="A63">
        <v>62</v>
      </c>
      <c r="B63" t="s">
        <v>5</v>
      </c>
      <c r="C63" t="s">
        <v>104</v>
      </c>
      <c r="D63">
        <v>1</v>
      </c>
      <c r="E63">
        <v>2021</v>
      </c>
      <c r="F63" s="2">
        <f>DATE(Table1[[#This Row],[Tahun]],Table1[[#This Row],[Bulan]],1)</f>
        <v>44197</v>
      </c>
      <c r="G63">
        <v>1373</v>
      </c>
      <c r="H63">
        <v>1296</v>
      </c>
      <c r="I63" s="6">
        <f>(Table1[[#This Row],[Aktual]]-Table1[[#This Row],[Target]])</f>
        <v>77</v>
      </c>
      <c r="J63" s="3">
        <f>(Table1[[#This Row],[Aktual]]-Table1[[#This Row],[Target]])/Table1[[#This Row],[Target]]</f>
        <v>5.941358024691358E-2</v>
      </c>
      <c r="K63" t="str">
        <f>IF(Table1[[#This Row],[Performance Gap (%)]]&lt;0,"Tidak mencapai target", IF(Table1[[#This Row],[Performance Gap (%)]]=0,"Mencapai target", "Melebihi Target"))</f>
        <v>Melebihi Target</v>
      </c>
      <c r="L63">
        <f>VLOOKUP(Table1[[#This Row],[Propinsi]]&amp;"_"&amp;Table1[[#This Row],[Dati 2]]&amp;"_"&amp;Table1[[#This Row],[Tanggal]],Table2[[#All],[Kompetitor area]:[Jumlah Kompetitor]],7,0)</f>
        <v>141</v>
      </c>
      <c r="M63">
        <f>Table1[[#This Row],[Aktual]]-Table1[[#This Row],[Jumlah Kompetitor]]</f>
        <v>1232</v>
      </c>
      <c r="N63" t="str">
        <f>IF(Table1[[#This Row],[vs Kompetitor]]&gt;0,"Win", "Lose")</f>
        <v>Win</v>
      </c>
    </row>
    <row r="64" spans="1:14" x14ac:dyDescent="0.25">
      <c r="A64">
        <v>63</v>
      </c>
      <c r="B64" t="s">
        <v>5</v>
      </c>
      <c r="C64" t="s">
        <v>105</v>
      </c>
      <c r="D64">
        <v>1</v>
      </c>
      <c r="E64">
        <v>2021</v>
      </c>
      <c r="F64" s="2">
        <f>DATE(Table1[[#This Row],[Tahun]],Table1[[#This Row],[Bulan]],1)</f>
        <v>44197</v>
      </c>
      <c r="G64">
        <v>523</v>
      </c>
      <c r="H64">
        <v>494</v>
      </c>
      <c r="I64" s="6">
        <f>(Table1[[#This Row],[Aktual]]-Table1[[#This Row],[Target]])</f>
        <v>29</v>
      </c>
      <c r="J64" s="3">
        <f>(Table1[[#This Row],[Aktual]]-Table1[[#This Row],[Target]])/Table1[[#This Row],[Target]]</f>
        <v>5.8704453441295545E-2</v>
      </c>
      <c r="K64" t="str">
        <f>IF(Table1[[#This Row],[Performance Gap (%)]]&lt;0,"Tidak mencapai target", IF(Table1[[#This Row],[Performance Gap (%)]]=0,"Mencapai target", "Melebihi Target"))</f>
        <v>Melebihi Target</v>
      </c>
      <c r="L64">
        <f>VLOOKUP(Table1[[#This Row],[Propinsi]]&amp;"_"&amp;Table1[[#This Row],[Dati 2]]&amp;"_"&amp;Table1[[#This Row],[Tanggal]],Table2[[#All],[Kompetitor area]:[Jumlah Kompetitor]],7,0)</f>
        <v>65</v>
      </c>
      <c r="M64">
        <f>Table1[[#This Row],[Aktual]]-Table1[[#This Row],[Jumlah Kompetitor]]</f>
        <v>458</v>
      </c>
      <c r="N64" t="str">
        <f>IF(Table1[[#This Row],[vs Kompetitor]]&gt;0,"Win", "Lose")</f>
        <v>Win</v>
      </c>
    </row>
    <row r="65" spans="1:14" x14ac:dyDescent="0.25">
      <c r="A65">
        <v>64</v>
      </c>
      <c r="B65" t="s">
        <v>5</v>
      </c>
      <c r="C65" t="s">
        <v>106</v>
      </c>
      <c r="D65">
        <v>1</v>
      </c>
      <c r="E65">
        <v>2021</v>
      </c>
      <c r="F65" s="2">
        <f>DATE(Table1[[#This Row],[Tahun]],Table1[[#This Row],[Bulan]],1)</f>
        <v>44197</v>
      </c>
      <c r="G65">
        <v>459</v>
      </c>
      <c r="H65">
        <v>479</v>
      </c>
      <c r="I65" s="6">
        <f>(Table1[[#This Row],[Aktual]]-Table1[[#This Row],[Target]])</f>
        <v>-20</v>
      </c>
      <c r="J65" s="3">
        <f>(Table1[[#This Row],[Aktual]]-Table1[[#This Row],[Target]])/Table1[[#This Row],[Target]]</f>
        <v>-4.1753653444676408E-2</v>
      </c>
      <c r="K65" t="str">
        <f>IF(Table1[[#This Row],[Performance Gap (%)]]&lt;0,"Tidak mencapai target", IF(Table1[[#This Row],[Performance Gap (%)]]=0,"Mencapai target", "Melebihi Target"))</f>
        <v>Tidak mencapai target</v>
      </c>
      <c r="L65">
        <f>VLOOKUP(Table1[[#This Row],[Propinsi]]&amp;"_"&amp;Table1[[#This Row],[Dati 2]]&amp;"_"&amp;Table1[[#This Row],[Tanggal]],Table2[[#All],[Kompetitor area]:[Jumlah Kompetitor]],7,0)</f>
        <v>57</v>
      </c>
      <c r="M65">
        <f>Table1[[#This Row],[Aktual]]-Table1[[#This Row],[Jumlah Kompetitor]]</f>
        <v>402</v>
      </c>
      <c r="N65" t="str">
        <f>IF(Table1[[#This Row],[vs Kompetitor]]&gt;0,"Win", "Lose")</f>
        <v>Win</v>
      </c>
    </row>
    <row r="66" spans="1:14" x14ac:dyDescent="0.25">
      <c r="A66">
        <v>65</v>
      </c>
      <c r="B66" t="s">
        <v>5</v>
      </c>
      <c r="C66" t="s">
        <v>107</v>
      </c>
      <c r="D66">
        <v>1</v>
      </c>
      <c r="E66">
        <v>2021</v>
      </c>
      <c r="F66" s="2">
        <f>DATE(Table1[[#This Row],[Tahun]],Table1[[#This Row],[Bulan]],1)</f>
        <v>44197</v>
      </c>
      <c r="G66">
        <v>521</v>
      </c>
      <c r="H66">
        <v>487</v>
      </c>
      <c r="I66" s="6">
        <f>(Table1[[#This Row],[Aktual]]-Table1[[#This Row],[Target]])</f>
        <v>34</v>
      </c>
      <c r="J66" s="3">
        <f>(Table1[[#This Row],[Aktual]]-Table1[[#This Row],[Target]])/Table1[[#This Row],[Target]]</f>
        <v>6.9815195071868577E-2</v>
      </c>
      <c r="K66" t="str">
        <f>IF(Table1[[#This Row],[Performance Gap (%)]]&lt;0,"Tidak mencapai target", IF(Table1[[#This Row],[Performance Gap (%)]]=0,"Mencapai target", "Melebihi Target"))</f>
        <v>Melebihi Target</v>
      </c>
      <c r="L66">
        <f>VLOOKUP(Table1[[#This Row],[Propinsi]]&amp;"_"&amp;Table1[[#This Row],[Dati 2]]&amp;"_"&amp;Table1[[#This Row],[Tanggal]],Table2[[#All],[Kompetitor area]:[Jumlah Kompetitor]],7,0)</f>
        <v>111</v>
      </c>
      <c r="M66">
        <f>Table1[[#This Row],[Aktual]]-Table1[[#This Row],[Jumlah Kompetitor]]</f>
        <v>410</v>
      </c>
      <c r="N66" t="str">
        <f>IF(Table1[[#This Row],[vs Kompetitor]]&gt;0,"Win", "Lose")</f>
        <v>Win</v>
      </c>
    </row>
    <row r="67" spans="1:14" x14ac:dyDescent="0.25">
      <c r="A67">
        <v>66</v>
      </c>
      <c r="B67" t="s">
        <v>5</v>
      </c>
      <c r="C67" t="s">
        <v>108</v>
      </c>
      <c r="D67">
        <v>1</v>
      </c>
      <c r="E67">
        <v>2021</v>
      </c>
      <c r="F67" s="2">
        <f>DATE(Table1[[#This Row],[Tahun]],Table1[[#This Row],[Bulan]],1)</f>
        <v>44197</v>
      </c>
      <c r="G67">
        <v>1079</v>
      </c>
      <c r="H67">
        <v>964</v>
      </c>
      <c r="I67" s="6">
        <f>(Table1[[#This Row],[Aktual]]-Table1[[#This Row],[Target]])</f>
        <v>115</v>
      </c>
      <c r="J67" s="3">
        <f>(Table1[[#This Row],[Aktual]]-Table1[[#This Row],[Target]])/Table1[[#This Row],[Target]]</f>
        <v>0.11929460580912864</v>
      </c>
      <c r="K67" t="str">
        <f>IF(Table1[[#This Row],[Performance Gap (%)]]&lt;0,"Tidak mencapai target", IF(Table1[[#This Row],[Performance Gap (%)]]=0,"Mencapai target", "Melebihi Target"))</f>
        <v>Melebihi Target</v>
      </c>
      <c r="L67">
        <f>VLOOKUP(Table1[[#This Row],[Propinsi]]&amp;"_"&amp;Table1[[#This Row],[Dati 2]]&amp;"_"&amp;Table1[[#This Row],[Tanggal]],Table2[[#All],[Kompetitor area]:[Jumlah Kompetitor]],7,0)</f>
        <v>82</v>
      </c>
      <c r="M67">
        <f>Table1[[#This Row],[Aktual]]-Table1[[#This Row],[Jumlah Kompetitor]]</f>
        <v>997</v>
      </c>
      <c r="N67" t="str">
        <f>IF(Table1[[#This Row],[vs Kompetitor]]&gt;0,"Win", "Lose")</f>
        <v>Win</v>
      </c>
    </row>
    <row r="68" spans="1:14" x14ac:dyDescent="0.25">
      <c r="A68">
        <v>67</v>
      </c>
      <c r="B68" t="s">
        <v>5</v>
      </c>
      <c r="C68" t="s">
        <v>109</v>
      </c>
      <c r="D68">
        <v>1</v>
      </c>
      <c r="E68">
        <v>2021</v>
      </c>
      <c r="F68" s="2">
        <f>DATE(Table1[[#This Row],[Tahun]],Table1[[#This Row],[Bulan]],1)</f>
        <v>44197</v>
      </c>
      <c r="G68">
        <v>955</v>
      </c>
      <c r="H68">
        <v>1016</v>
      </c>
      <c r="I68" s="6">
        <f>(Table1[[#This Row],[Aktual]]-Table1[[#This Row],[Target]])</f>
        <v>-61</v>
      </c>
      <c r="J68" s="3">
        <f>(Table1[[#This Row],[Aktual]]-Table1[[#This Row],[Target]])/Table1[[#This Row],[Target]]</f>
        <v>-6.0039370078740155E-2</v>
      </c>
      <c r="K68" t="str">
        <f>IF(Table1[[#This Row],[Performance Gap (%)]]&lt;0,"Tidak mencapai target", IF(Table1[[#This Row],[Performance Gap (%)]]=0,"Mencapai target", "Melebihi Target"))</f>
        <v>Tidak mencapai target</v>
      </c>
      <c r="L68">
        <f>VLOOKUP(Table1[[#This Row],[Propinsi]]&amp;"_"&amp;Table1[[#This Row],[Dati 2]]&amp;"_"&amp;Table1[[#This Row],[Tanggal]],Table2[[#All],[Kompetitor area]:[Jumlah Kompetitor]],7,0)</f>
        <v>142</v>
      </c>
      <c r="M68">
        <f>Table1[[#This Row],[Aktual]]-Table1[[#This Row],[Jumlah Kompetitor]]</f>
        <v>813</v>
      </c>
      <c r="N68" t="str">
        <f>IF(Table1[[#This Row],[vs Kompetitor]]&gt;0,"Win", "Lose")</f>
        <v>Win</v>
      </c>
    </row>
    <row r="69" spans="1:14" x14ac:dyDescent="0.25">
      <c r="A69">
        <v>68</v>
      </c>
      <c r="B69" t="s">
        <v>5</v>
      </c>
      <c r="C69" t="s">
        <v>110</v>
      </c>
      <c r="D69">
        <v>1</v>
      </c>
      <c r="E69">
        <v>2021</v>
      </c>
      <c r="F69" s="2">
        <f>DATE(Table1[[#This Row],[Tahun]],Table1[[#This Row],[Bulan]],1)</f>
        <v>44197</v>
      </c>
      <c r="G69">
        <v>635</v>
      </c>
      <c r="H69">
        <v>578</v>
      </c>
      <c r="I69" s="6">
        <f>(Table1[[#This Row],[Aktual]]-Table1[[#This Row],[Target]])</f>
        <v>57</v>
      </c>
      <c r="J69" s="3">
        <f>(Table1[[#This Row],[Aktual]]-Table1[[#This Row],[Target]])/Table1[[#This Row],[Target]]</f>
        <v>9.8615916955017299E-2</v>
      </c>
      <c r="K69" t="str">
        <f>IF(Table1[[#This Row],[Performance Gap (%)]]&lt;0,"Tidak mencapai target", IF(Table1[[#This Row],[Performance Gap (%)]]=0,"Mencapai target", "Melebihi Target"))</f>
        <v>Melebihi Target</v>
      </c>
      <c r="L69">
        <f>VLOOKUP(Table1[[#This Row],[Propinsi]]&amp;"_"&amp;Table1[[#This Row],[Dati 2]]&amp;"_"&amp;Table1[[#This Row],[Tanggal]],Table2[[#All],[Kompetitor area]:[Jumlah Kompetitor]],7,0)</f>
        <v>62</v>
      </c>
      <c r="M69">
        <f>Table1[[#This Row],[Aktual]]-Table1[[#This Row],[Jumlah Kompetitor]]</f>
        <v>573</v>
      </c>
      <c r="N69" t="str">
        <f>IF(Table1[[#This Row],[vs Kompetitor]]&gt;0,"Win", "Lose")</f>
        <v>Win</v>
      </c>
    </row>
    <row r="70" spans="1:14" x14ac:dyDescent="0.25">
      <c r="A70">
        <v>69</v>
      </c>
      <c r="B70" t="s">
        <v>5</v>
      </c>
      <c r="C70" t="s">
        <v>111</v>
      </c>
      <c r="D70">
        <v>1</v>
      </c>
      <c r="E70">
        <v>2021</v>
      </c>
      <c r="F70" s="2">
        <f>DATE(Table1[[#This Row],[Tahun]],Table1[[#This Row],[Bulan]],1)</f>
        <v>44197</v>
      </c>
      <c r="G70">
        <v>500</v>
      </c>
      <c r="H70">
        <v>516</v>
      </c>
      <c r="I70" s="6">
        <f>(Table1[[#This Row],[Aktual]]-Table1[[#This Row],[Target]])</f>
        <v>-16</v>
      </c>
      <c r="J70" s="3">
        <f>(Table1[[#This Row],[Aktual]]-Table1[[#This Row],[Target]])/Table1[[#This Row],[Target]]</f>
        <v>-3.1007751937984496E-2</v>
      </c>
      <c r="K70" t="str">
        <f>IF(Table1[[#This Row],[Performance Gap (%)]]&lt;0,"Tidak mencapai target", IF(Table1[[#This Row],[Performance Gap (%)]]=0,"Mencapai target", "Melebihi Target"))</f>
        <v>Tidak mencapai target</v>
      </c>
      <c r="L70">
        <f>VLOOKUP(Table1[[#This Row],[Propinsi]]&amp;"_"&amp;Table1[[#This Row],[Dati 2]]&amp;"_"&amp;Table1[[#This Row],[Tanggal]],Table2[[#All],[Kompetitor area]:[Jumlah Kompetitor]],7,0)</f>
        <v>73</v>
      </c>
      <c r="M70">
        <f>Table1[[#This Row],[Aktual]]-Table1[[#This Row],[Jumlah Kompetitor]]</f>
        <v>427</v>
      </c>
      <c r="N70" t="str">
        <f>IF(Table1[[#This Row],[vs Kompetitor]]&gt;0,"Win", "Lose")</f>
        <v>Win</v>
      </c>
    </row>
    <row r="71" spans="1:14" x14ac:dyDescent="0.25">
      <c r="A71">
        <v>70</v>
      </c>
      <c r="B71" t="s">
        <v>5</v>
      </c>
      <c r="C71" t="s">
        <v>112</v>
      </c>
      <c r="D71">
        <v>1</v>
      </c>
      <c r="E71">
        <v>2021</v>
      </c>
      <c r="F71" s="2">
        <f>DATE(Table1[[#This Row],[Tahun]],Table1[[#This Row],[Bulan]],1)</f>
        <v>44197</v>
      </c>
      <c r="G71">
        <v>306</v>
      </c>
      <c r="H71">
        <v>292</v>
      </c>
      <c r="I71" s="6">
        <f>(Table1[[#This Row],[Aktual]]-Table1[[#This Row],[Target]])</f>
        <v>14</v>
      </c>
      <c r="J71" s="3">
        <f>(Table1[[#This Row],[Aktual]]-Table1[[#This Row],[Target]])/Table1[[#This Row],[Target]]</f>
        <v>4.7945205479452052E-2</v>
      </c>
      <c r="K71" t="str">
        <f>IF(Table1[[#This Row],[Performance Gap (%)]]&lt;0,"Tidak mencapai target", IF(Table1[[#This Row],[Performance Gap (%)]]=0,"Mencapai target", "Melebihi Target"))</f>
        <v>Melebihi Target</v>
      </c>
      <c r="L71">
        <f>VLOOKUP(Table1[[#This Row],[Propinsi]]&amp;"_"&amp;Table1[[#This Row],[Dati 2]]&amp;"_"&amp;Table1[[#This Row],[Tanggal]],Table2[[#All],[Kompetitor area]:[Jumlah Kompetitor]],7,0)</f>
        <v>43</v>
      </c>
      <c r="M71">
        <f>Table1[[#This Row],[Aktual]]-Table1[[#This Row],[Jumlah Kompetitor]]</f>
        <v>263</v>
      </c>
      <c r="N71" t="str">
        <f>IF(Table1[[#This Row],[vs Kompetitor]]&gt;0,"Win", "Lose")</f>
        <v>Win</v>
      </c>
    </row>
    <row r="72" spans="1:14" x14ac:dyDescent="0.25">
      <c r="A72">
        <v>71</v>
      </c>
      <c r="B72" t="s">
        <v>5</v>
      </c>
      <c r="C72" t="s">
        <v>113</v>
      </c>
      <c r="D72">
        <v>1</v>
      </c>
      <c r="E72">
        <v>2021</v>
      </c>
      <c r="F72" s="2">
        <f>DATE(Table1[[#This Row],[Tahun]],Table1[[#This Row],[Bulan]],1)</f>
        <v>44197</v>
      </c>
      <c r="G72">
        <v>746</v>
      </c>
      <c r="H72">
        <v>691</v>
      </c>
      <c r="I72" s="6">
        <f>(Table1[[#This Row],[Aktual]]-Table1[[#This Row],[Target]])</f>
        <v>55</v>
      </c>
      <c r="J72" s="3">
        <f>(Table1[[#This Row],[Aktual]]-Table1[[#This Row],[Target]])/Table1[[#This Row],[Target]]</f>
        <v>7.9594790159189577E-2</v>
      </c>
      <c r="K72" t="str">
        <f>IF(Table1[[#This Row],[Performance Gap (%)]]&lt;0,"Tidak mencapai target", IF(Table1[[#This Row],[Performance Gap (%)]]=0,"Mencapai target", "Melebihi Target"))</f>
        <v>Melebihi Target</v>
      </c>
      <c r="L72">
        <f>VLOOKUP(Table1[[#This Row],[Propinsi]]&amp;"_"&amp;Table1[[#This Row],[Dati 2]]&amp;"_"&amp;Table1[[#This Row],[Tanggal]],Table2[[#All],[Kompetitor area]:[Jumlah Kompetitor]],7,0)</f>
        <v>9</v>
      </c>
      <c r="M72">
        <f>Table1[[#This Row],[Aktual]]-Table1[[#This Row],[Jumlah Kompetitor]]</f>
        <v>737</v>
      </c>
      <c r="N72" t="str">
        <f>IF(Table1[[#This Row],[vs Kompetitor]]&gt;0,"Win", "Lose")</f>
        <v>Win</v>
      </c>
    </row>
    <row r="73" spans="1:14" x14ac:dyDescent="0.25">
      <c r="A73">
        <v>72</v>
      </c>
      <c r="B73" t="s">
        <v>5</v>
      </c>
      <c r="C73" t="s">
        <v>114</v>
      </c>
      <c r="D73">
        <v>1</v>
      </c>
      <c r="E73">
        <v>2021</v>
      </c>
      <c r="F73" s="2">
        <f>DATE(Table1[[#This Row],[Tahun]],Table1[[#This Row],[Bulan]],1)</f>
        <v>44197</v>
      </c>
      <c r="G73">
        <v>514</v>
      </c>
      <c r="H73">
        <v>525</v>
      </c>
      <c r="I73" s="6">
        <f>(Table1[[#This Row],[Aktual]]-Table1[[#This Row],[Target]])</f>
        <v>-11</v>
      </c>
      <c r="J73" s="3">
        <f>(Table1[[#This Row],[Aktual]]-Table1[[#This Row],[Target]])/Table1[[#This Row],[Target]]</f>
        <v>-2.0952380952380951E-2</v>
      </c>
      <c r="K73" t="str">
        <f>IF(Table1[[#This Row],[Performance Gap (%)]]&lt;0,"Tidak mencapai target", IF(Table1[[#This Row],[Performance Gap (%)]]=0,"Mencapai target", "Melebihi Target"))</f>
        <v>Tidak mencapai target</v>
      </c>
      <c r="L73">
        <f>VLOOKUP(Table1[[#This Row],[Propinsi]]&amp;"_"&amp;Table1[[#This Row],[Dati 2]]&amp;"_"&amp;Table1[[#This Row],[Tanggal]],Table2[[#All],[Kompetitor area]:[Jumlah Kompetitor]],7,0)</f>
        <v>28</v>
      </c>
      <c r="M73">
        <f>Table1[[#This Row],[Aktual]]-Table1[[#This Row],[Jumlah Kompetitor]]</f>
        <v>486</v>
      </c>
      <c r="N73" t="str">
        <f>IF(Table1[[#This Row],[vs Kompetitor]]&gt;0,"Win", "Lose")</f>
        <v>Win</v>
      </c>
    </row>
    <row r="74" spans="1:14" x14ac:dyDescent="0.25">
      <c r="A74">
        <v>73</v>
      </c>
      <c r="B74" t="s">
        <v>5</v>
      </c>
      <c r="C74" t="s">
        <v>115</v>
      </c>
      <c r="D74">
        <v>1</v>
      </c>
      <c r="E74">
        <v>2021</v>
      </c>
      <c r="F74" s="2">
        <f>DATE(Table1[[#This Row],[Tahun]],Table1[[#This Row],[Bulan]],1)</f>
        <v>44197</v>
      </c>
      <c r="G74">
        <v>483</v>
      </c>
      <c r="H74">
        <v>483</v>
      </c>
      <c r="I74" s="6">
        <f>(Table1[[#This Row],[Aktual]]-Table1[[#This Row],[Target]])</f>
        <v>0</v>
      </c>
      <c r="J74" s="3">
        <f>(Table1[[#This Row],[Aktual]]-Table1[[#This Row],[Target]])/Table1[[#This Row],[Target]]</f>
        <v>0</v>
      </c>
      <c r="K74" t="str">
        <f>IF(Table1[[#This Row],[Performance Gap (%)]]&lt;0,"Tidak mencapai target", IF(Table1[[#This Row],[Performance Gap (%)]]=0,"Mencapai target", "Melebihi Target"))</f>
        <v>Mencapai target</v>
      </c>
      <c r="L74">
        <f>VLOOKUP(Table1[[#This Row],[Propinsi]]&amp;"_"&amp;Table1[[#This Row],[Dati 2]]&amp;"_"&amp;Table1[[#This Row],[Tanggal]],Table2[[#All],[Kompetitor area]:[Jumlah Kompetitor]],7,0)</f>
        <v>19</v>
      </c>
      <c r="M74">
        <f>Table1[[#This Row],[Aktual]]-Table1[[#This Row],[Jumlah Kompetitor]]</f>
        <v>464</v>
      </c>
      <c r="N74" t="str">
        <f>IF(Table1[[#This Row],[vs Kompetitor]]&gt;0,"Win", "Lose")</f>
        <v>Win</v>
      </c>
    </row>
    <row r="75" spans="1:14" x14ac:dyDescent="0.25">
      <c r="A75">
        <v>74</v>
      </c>
      <c r="B75" t="s">
        <v>5</v>
      </c>
      <c r="C75" t="s">
        <v>116</v>
      </c>
      <c r="D75">
        <v>1</v>
      </c>
      <c r="E75">
        <v>2021</v>
      </c>
      <c r="F75" s="2">
        <f>DATE(Table1[[#This Row],[Tahun]],Table1[[#This Row],[Bulan]],1)</f>
        <v>44197</v>
      </c>
      <c r="G75">
        <v>941</v>
      </c>
      <c r="H75">
        <v>848</v>
      </c>
      <c r="I75" s="6">
        <f>(Table1[[#This Row],[Aktual]]-Table1[[#This Row],[Target]])</f>
        <v>93</v>
      </c>
      <c r="J75" s="3">
        <f>(Table1[[#This Row],[Aktual]]-Table1[[#This Row],[Target]])/Table1[[#This Row],[Target]]</f>
        <v>0.10966981132075472</v>
      </c>
      <c r="K75" t="str">
        <f>IF(Table1[[#This Row],[Performance Gap (%)]]&lt;0,"Tidak mencapai target", IF(Table1[[#This Row],[Performance Gap (%)]]=0,"Mencapai target", "Melebihi Target"))</f>
        <v>Melebihi Target</v>
      </c>
      <c r="L75">
        <f>VLOOKUP(Table1[[#This Row],[Propinsi]]&amp;"_"&amp;Table1[[#This Row],[Dati 2]]&amp;"_"&amp;Table1[[#This Row],[Tanggal]],Table2[[#All],[Kompetitor area]:[Jumlah Kompetitor]],7,0)</f>
        <v>37</v>
      </c>
      <c r="M75">
        <f>Table1[[#This Row],[Aktual]]-Table1[[#This Row],[Jumlah Kompetitor]]</f>
        <v>904</v>
      </c>
      <c r="N75" t="str">
        <f>IF(Table1[[#This Row],[vs Kompetitor]]&gt;0,"Win", "Lose")</f>
        <v>Win</v>
      </c>
    </row>
    <row r="76" spans="1:14" x14ac:dyDescent="0.25">
      <c r="A76">
        <v>75</v>
      </c>
      <c r="B76" t="s">
        <v>5</v>
      </c>
      <c r="C76" t="s">
        <v>117</v>
      </c>
      <c r="D76">
        <v>1</v>
      </c>
      <c r="E76">
        <v>2021</v>
      </c>
      <c r="F76" s="2">
        <f>DATE(Table1[[#This Row],[Tahun]],Table1[[#This Row],[Bulan]],1)</f>
        <v>44197</v>
      </c>
      <c r="G76">
        <v>1024</v>
      </c>
      <c r="H76">
        <v>1004</v>
      </c>
      <c r="I76" s="6">
        <f>(Table1[[#This Row],[Aktual]]-Table1[[#This Row],[Target]])</f>
        <v>20</v>
      </c>
      <c r="J76" s="3">
        <f>(Table1[[#This Row],[Aktual]]-Table1[[#This Row],[Target]])/Table1[[#This Row],[Target]]</f>
        <v>1.9920318725099601E-2</v>
      </c>
      <c r="K76" t="str">
        <f>IF(Table1[[#This Row],[Performance Gap (%)]]&lt;0,"Tidak mencapai target", IF(Table1[[#This Row],[Performance Gap (%)]]=0,"Mencapai target", "Melebihi Target"))</f>
        <v>Melebihi Target</v>
      </c>
      <c r="L76">
        <f>VLOOKUP(Table1[[#This Row],[Propinsi]]&amp;"_"&amp;Table1[[#This Row],[Dati 2]]&amp;"_"&amp;Table1[[#This Row],[Tanggal]],Table2[[#All],[Kompetitor area]:[Jumlah Kompetitor]],7,0)</f>
        <v>19</v>
      </c>
      <c r="M76">
        <f>Table1[[#This Row],[Aktual]]-Table1[[#This Row],[Jumlah Kompetitor]]</f>
        <v>1005</v>
      </c>
      <c r="N76" t="str">
        <f>IF(Table1[[#This Row],[vs Kompetitor]]&gt;0,"Win", "Lose")</f>
        <v>Win</v>
      </c>
    </row>
    <row r="77" spans="1:14" x14ac:dyDescent="0.25">
      <c r="A77">
        <v>76</v>
      </c>
      <c r="B77" t="s">
        <v>5</v>
      </c>
      <c r="C77" t="s">
        <v>118</v>
      </c>
      <c r="D77">
        <v>1</v>
      </c>
      <c r="E77">
        <v>2021</v>
      </c>
      <c r="F77" s="2">
        <f>DATE(Table1[[#This Row],[Tahun]],Table1[[#This Row],[Bulan]],1)</f>
        <v>44197</v>
      </c>
      <c r="G77">
        <v>638</v>
      </c>
      <c r="H77">
        <v>645</v>
      </c>
      <c r="I77" s="6">
        <f>(Table1[[#This Row],[Aktual]]-Table1[[#This Row],[Target]])</f>
        <v>-7</v>
      </c>
      <c r="J77" s="3">
        <f>(Table1[[#This Row],[Aktual]]-Table1[[#This Row],[Target]])/Table1[[#This Row],[Target]]</f>
        <v>-1.0852713178294573E-2</v>
      </c>
      <c r="K77" t="str">
        <f>IF(Table1[[#This Row],[Performance Gap (%)]]&lt;0,"Tidak mencapai target", IF(Table1[[#This Row],[Performance Gap (%)]]=0,"Mencapai target", "Melebihi Target"))</f>
        <v>Tidak mencapai target</v>
      </c>
      <c r="L77">
        <f>VLOOKUP(Table1[[#This Row],[Propinsi]]&amp;"_"&amp;Table1[[#This Row],[Dati 2]]&amp;"_"&amp;Table1[[#This Row],[Tanggal]],Table2[[#All],[Kompetitor area]:[Jumlah Kompetitor]],7,0)</f>
        <v>124</v>
      </c>
      <c r="M77">
        <f>Table1[[#This Row],[Aktual]]-Table1[[#This Row],[Jumlah Kompetitor]]</f>
        <v>514</v>
      </c>
      <c r="N77" t="str">
        <f>IF(Table1[[#This Row],[vs Kompetitor]]&gt;0,"Win", "Lose")</f>
        <v>Win</v>
      </c>
    </row>
    <row r="78" spans="1:14" x14ac:dyDescent="0.25">
      <c r="A78">
        <v>77</v>
      </c>
      <c r="B78" t="s">
        <v>5</v>
      </c>
      <c r="C78" t="s">
        <v>119</v>
      </c>
      <c r="D78">
        <v>1</v>
      </c>
      <c r="E78">
        <v>2021</v>
      </c>
      <c r="F78" s="2">
        <f>DATE(Table1[[#This Row],[Tahun]],Table1[[#This Row],[Bulan]],1)</f>
        <v>44197</v>
      </c>
      <c r="G78">
        <v>709</v>
      </c>
      <c r="H78">
        <v>747</v>
      </c>
      <c r="I78" s="6">
        <f>(Table1[[#This Row],[Aktual]]-Table1[[#This Row],[Target]])</f>
        <v>-38</v>
      </c>
      <c r="J78" s="3">
        <f>(Table1[[#This Row],[Aktual]]-Table1[[#This Row],[Target]])/Table1[[#This Row],[Target]]</f>
        <v>-5.0870147255689425E-2</v>
      </c>
      <c r="K78" t="str">
        <f>IF(Table1[[#This Row],[Performance Gap (%)]]&lt;0,"Tidak mencapai target", IF(Table1[[#This Row],[Performance Gap (%)]]=0,"Mencapai target", "Melebihi Target"))</f>
        <v>Tidak mencapai target</v>
      </c>
      <c r="L78">
        <f>VLOOKUP(Table1[[#This Row],[Propinsi]]&amp;"_"&amp;Table1[[#This Row],[Dati 2]]&amp;"_"&amp;Table1[[#This Row],[Tanggal]],Table2[[#All],[Kompetitor area]:[Jumlah Kompetitor]],7,0)</f>
        <v>83</v>
      </c>
      <c r="M78">
        <f>Table1[[#This Row],[Aktual]]-Table1[[#This Row],[Jumlah Kompetitor]]</f>
        <v>626</v>
      </c>
      <c r="N78" t="str">
        <f>IF(Table1[[#This Row],[vs Kompetitor]]&gt;0,"Win", "Lose")</f>
        <v>Win</v>
      </c>
    </row>
    <row r="79" spans="1:14" x14ac:dyDescent="0.25">
      <c r="A79">
        <v>78</v>
      </c>
      <c r="B79" t="s">
        <v>5</v>
      </c>
      <c r="C79" t="s">
        <v>120</v>
      </c>
      <c r="D79">
        <v>1</v>
      </c>
      <c r="E79">
        <v>2021</v>
      </c>
      <c r="F79" s="2">
        <f>DATE(Table1[[#This Row],[Tahun]],Table1[[#This Row],[Bulan]],1)</f>
        <v>44197</v>
      </c>
      <c r="G79">
        <v>699</v>
      </c>
      <c r="H79">
        <v>636</v>
      </c>
      <c r="I79" s="6">
        <f>(Table1[[#This Row],[Aktual]]-Table1[[#This Row],[Target]])</f>
        <v>63</v>
      </c>
      <c r="J79" s="3">
        <f>(Table1[[#This Row],[Aktual]]-Table1[[#This Row],[Target]])/Table1[[#This Row],[Target]]</f>
        <v>9.9056603773584911E-2</v>
      </c>
      <c r="K79" t="str">
        <f>IF(Table1[[#This Row],[Performance Gap (%)]]&lt;0,"Tidak mencapai target", IF(Table1[[#This Row],[Performance Gap (%)]]=0,"Mencapai target", "Melebihi Target"))</f>
        <v>Melebihi Target</v>
      </c>
      <c r="L79">
        <f>VLOOKUP(Table1[[#This Row],[Propinsi]]&amp;"_"&amp;Table1[[#This Row],[Dati 2]]&amp;"_"&amp;Table1[[#This Row],[Tanggal]],Table2[[#All],[Kompetitor area]:[Jumlah Kompetitor]],7,0)</f>
        <v>46</v>
      </c>
      <c r="M79">
        <f>Table1[[#This Row],[Aktual]]-Table1[[#This Row],[Jumlah Kompetitor]]</f>
        <v>653</v>
      </c>
      <c r="N79" t="str">
        <f>IF(Table1[[#This Row],[vs Kompetitor]]&gt;0,"Win", "Lose")</f>
        <v>Win</v>
      </c>
    </row>
    <row r="80" spans="1:14" x14ac:dyDescent="0.25">
      <c r="A80">
        <v>79</v>
      </c>
      <c r="B80" t="s">
        <v>5</v>
      </c>
      <c r="C80" t="s">
        <v>121</v>
      </c>
      <c r="D80">
        <v>1</v>
      </c>
      <c r="E80">
        <v>2021</v>
      </c>
      <c r="F80" s="2">
        <f>DATE(Table1[[#This Row],[Tahun]],Table1[[#This Row],[Bulan]],1)</f>
        <v>44197</v>
      </c>
      <c r="G80">
        <v>859</v>
      </c>
      <c r="H80">
        <v>843</v>
      </c>
      <c r="I80" s="6">
        <f>(Table1[[#This Row],[Aktual]]-Table1[[#This Row],[Target]])</f>
        <v>16</v>
      </c>
      <c r="J80" s="3">
        <f>(Table1[[#This Row],[Aktual]]-Table1[[#This Row],[Target]])/Table1[[#This Row],[Target]]</f>
        <v>1.8979833926453145E-2</v>
      </c>
      <c r="K80" t="str">
        <f>IF(Table1[[#This Row],[Performance Gap (%)]]&lt;0,"Tidak mencapai target", IF(Table1[[#This Row],[Performance Gap (%)]]=0,"Mencapai target", "Melebihi Target"))</f>
        <v>Melebihi Target</v>
      </c>
      <c r="L80">
        <f>VLOOKUP(Table1[[#This Row],[Propinsi]]&amp;"_"&amp;Table1[[#This Row],[Dati 2]]&amp;"_"&amp;Table1[[#This Row],[Tanggal]],Table2[[#All],[Kompetitor area]:[Jumlah Kompetitor]],7,0)</f>
        <v>843</v>
      </c>
      <c r="M80">
        <f>Table1[[#This Row],[Aktual]]-Table1[[#This Row],[Jumlah Kompetitor]]</f>
        <v>16</v>
      </c>
      <c r="N80" t="str">
        <f>IF(Table1[[#This Row],[vs Kompetitor]]&gt;0,"Win", "Lose")</f>
        <v>Win</v>
      </c>
    </row>
    <row r="81" spans="1:14" x14ac:dyDescent="0.25">
      <c r="A81">
        <v>80</v>
      </c>
      <c r="B81" t="s">
        <v>5</v>
      </c>
      <c r="C81" t="s">
        <v>122</v>
      </c>
      <c r="D81">
        <v>1</v>
      </c>
      <c r="E81">
        <v>2021</v>
      </c>
      <c r="F81" s="2">
        <f>DATE(Table1[[#This Row],[Tahun]],Table1[[#This Row],[Bulan]],1)</f>
        <v>44197</v>
      </c>
      <c r="G81">
        <v>474</v>
      </c>
      <c r="H81">
        <v>479</v>
      </c>
      <c r="I81" s="6">
        <f>(Table1[[#This Row],[Aktual]]-Table1[[#This Row],[Target]])</f>
        <v>-5</v>
      </c>
      <c r="J81" s="3">
        <f>(Table1[[#This Row],[Aktual]]-Table1[[#This Row],[Target]])/Table1[[#This Row],[Target]]</f>
        <v>-1.0438413361169102E-2</v>
      </c>
      <c r="K81" t="str">
        <f>IF(Table1[[#This Row],[Performance Gap (%)]]&lt;0,"Tidak mencapai target", IF(Table1[[#This Row],[Performance Gap (%)]]=0,"Mencapai target", "Melebihi Target"))</f>
        <v>Tidak mencapai target</v>
      </c>
      <c r="L81">
        <f>VLOOKUP(Table1[[#This Row],[Propinsi]]&amp;"_"&amp;Table1[[#This Row],[Dati 2]]&amp;"_"&amp;Table1[[#This Row],[Tanggal]],Table2[[#All],[Kompetitor area]:[Jumlah Kompetitor]],7,0)</f>
        <v>479</v>
      </c>
      <c r="M81">
        <f>Table1[[#This Row],[Aktual]]-Table1[[#This Row],[Jumlah Kompetitor]]</f>
        <v>-5</v>
      </c>
      <c r="N81" t="str">
        <f>IF(Table1[[#This Row],[vs Kompetitor]]&gt;0,"Win", "Lose")</f>
        <v>Lose</v>
      </c>
    </row>
    <row r="82" spans="1:14" x14ac:dyDescent="0.25">
      <c r="A82">
        <v>81</v>
      </c>
      <c r="B82" t="s">
        <v>5</v>
      </c>
      <c r="C82" t="s">
        <v>123</v>
      </c>
      <c r="D82">
        <v>1</v>
      </c>
      <c r="E82">
        <v>2021</v>
      </c>
      <c r="F82" s="2">
        <f>DATE(Table1[[#This Row],[Tahun]],Table1[[#This Row],[Bulan]],1)</f>
        <v>44197</v>
      </c>
      <c r="G82">
        <v>483</v>
      </c>
      <c r="H82">
        <v>493</v>
      </c>
      <c r="I82" s="6">
        <f>(Table1[[#This Row],[Aktual]]-Table1[[#This Row],[Target]])</f>
        <v>-10</v>
      </c>
      <c r="J82" s="3">
        <f>(Table1[[#This Row],[Aktual]]-Table1[[#This Row],[Target]])/Table1[[#This Row],[Target]]</f>
        <v>-2.0283975659229209E-2</v>
      </c>
      <c r="K82" t="str">
        <f>IF(Table1[[#This Row],[Performance Gap (%)]]&lt;0,"Tidak mencapai target", IF(Table1[[#This Row],[Performance Gap (%)]]=0,"Mencapai target", "Melebihi Target"))</f>
        <v>Tidak mencapai target</v>
      </c>
      <c r="L82">
        <f>VLOOKUP(Table1[[#This Row],[Propinsi]]&amp;"_"&amp;Table1[[#This Row],[Dati 2]]&amp;"_"&amp;Table1[[#This Row],[Tanggal]],Table2[[#All],[Kompetitor area]:[Jumlah Kompetitor]],7,0)</f>
        <v>493</v>
      </c>
      <c r="M82">
        <f>Table1[[#This Row],[Aktual]]-Table1[[#This Row],[Jumlah Kompetitor]]</f>
        <v>-10</v>
      </c>
      <c r="N82" t="str">
        <f>IF(Table1[[#This Row],[vs Kompetitor]]&gt;0,"Win", "Lose")</f>
        <v>Lose</v>
      </c>
    </row>
    <row r="83" spans="1:14" x14ac:dyDescent="0.25">
      <c r="A83">
        <v>82</v>
      </c>
      <c r="B83" t="s">
        <v>5</v>
      </c>
      <c r="C83" t="s">
        <v>124</v>
      </c>
      <c r="D83">
        <v>1</v>
      </c>
      <c r="E83">
        <v>2021</v>
      </c>
      <c r="F83" s="2">
        <f>DATE(Table1[[#This Row],[Tahun]],Table1[[#This Row],[Bulan]],1)</f>
        <v>44197</v>
      </c>
      <c r="G83">
        <v>599</v>
      </c>
      <c r="H83">
        <v>576</v>
      </c>
      <c r="I83" s="6">
        <f>(Table1[[#This Row],[Aktual]]-Table1[[#This Row],[Target]])</f>
        <v>23</v>
      </c>
      <c r="J83" s="3">
        <f>(Table1[[#This Row],[Aktual]]-Table1[[#This Row],[Target]])/Table1[[#This Row],[Target]]</f>
        <v>3.9930555555555552E-2</v>
      </c>
      <c r="K83" t="str">
        <f>IF(Table1[[#This Row],[Performance Gap (%)]]&lt;0,"Tidak mencapai target", IF(Table1[[#This Row],[Performance Gap (%)]]=0,"Mencapai target", "Melebihi Target"))</f>
        <v>Melebihi Target</v>
      </c>
      <c r="L83">
        <f>VLOOKUP(Table1[[#This Row],[Propinsi]]&amp;"_"&amp;Table1[[#This Row],[Dati 2]]&amp;"_"&amp;Table1[[#This Row],[Tanggal]],Table2[[#All],[Kompetitor area]:[Jumlah Kompetitor]],7,0)</f>
        <v>576</v>
      </c>
      <c r="M83">
        <f>Table1[[#This Row],[Aktual]]-Table1[[#This Row],[Jumlah Kompetitor]]</f>
        <v>23</v>
      </c>
      <c r="N83" t="str">
        <f>IF(Table1[[#This Row],[vs Kompetitor]]&gt;0,"Win", "Lose")</f>
        <v>Win</v>
      </c>
    </row>
    <row r="84" spans="1:14" x14ac:dyDescent="0.25">
      <c r="A84">
        <v>83</v>
      </c>
      <c r="B84" t="s">
        <v>5</v>
      </c>
      <c r="C84" t="s">
        <v>125</v>
      </c>
      <c r="D84">
        <v>1</v>
      </c>
      <c r="E84">
        <v>2021</v>
      </c>
      <c r="F84" s="2">
        <f>DATE(Table1[[#This Row],[Tahun]],Table1[[#This Row],[Bulan]],1)</f>
        <v>44197</v>
      </c>
      <c r="G84">
        <v>383</v>
      </c>
      <c r="H84">
        <v>391</v>
      </c>
      <c r="I84" s="6">
        <f>(Table1[[#This Row],[Aktual]]-Table1[[#This Row],[Target]])</f>
        <v>-8</v>
      </c>
      <c r="J84" s="3">
        <f>(Table1[[#This Row],[Aktual]]-Table1[[#This Row],[Target]])/Table1[[#This Row],[Target]]</f>
        <v>-2.0460358056265986E-2</v>
      </c>
      <c r="K84" t="str">
        <f>IF(Table1[[#This Row],[Performance Gap (%)]]&lt;0,"Tidak mencapai target", IF(Table1[[#This Row],[Performance Gap (%)]]=0,"Mencapai target", "Melebihi Target"))</f>
        <v>Tidak mencapai target</v>
      </c>
      <c r="L84">
        <f>VLOOKUP(Table1[[#This Row],[Propinsi]]&amp;"_"&amp;Table1[[#This Row],[Dati 2]]&amp;"_"&amp;Table1[[#This Row],[Tanggal]],Table2[[#All],[Kompetitor area]:[Jumlah Kompetitor]],7,0)</f>
        <v>391</v>
      </c>
      <c r="M84">
        <f>Table1[[#This Row],[Aktual]]-Table1[[#This Row],[Jumlah Kompetitor]]</f>
        <v>-8</v>
      </c>
      <c r="N84" t="str">
        <f>IF(Table1[[#This Row],[vs Kompetitor]]&gt;0,"Win", "Lose")</f>
        <v>Lose</v>
      </c>
    </row>
    <row r="85" spans="1:14" x14ac:dyDescent="0.25">
      <c r="A85">
        <v>84</v>
      </c>
      <c r="B85" t="s">
        <v>7</v>
      </c>
      <c r="C85" t="s">
        <v>126</v>
      </c>
      <c r="D85">
        <v>1</v>
      </c>
      <c r="E85">
        <v>2021</v>
      </c>
      <c r="F85" s="2">
        <f>DATE(Table1[[#This Row],[Tahun]],Table1[[#This Row],[Bulan]],1)</f>
        <v>44197</v>
      </c>
      <c r="G85">
        <v>901</v>
      </c>
      <c r="H85">
        <v>939</v>
      </c>
      <c r="I85" s="6">
        <f>(Table1[[#This Row],[Aktual]]-Table1[[#This Row],[Target]])</f>
        <v>-38</v>
      </c>
      <c r="J85" s="3">
        <f>(Table1[[#This Row],[Aktual]]-Table1[[#This Row],[Target]])/Table1[[#This Row],[Target]]</f>
        <v>-4.0468583599574018E-2</v>
      </c>
      <c r="K85" t="str">
        <f>IF(Table1[[#This Row],[Performance Gap (%)]]&lt;0,"Tidak mencapai target", IF(Table1[[#This Row],[Performance Gap (%)]]=0,"Mencapai target", "Melebihi Target"))</f>
        <v>Tidak mencapai target</v>
      </c>
      <c r="L85">
        <f>VLOOKUP(Table1[[#This Row],[Propinsi]]&amp;"_"&amp;Table1[[#This Row],[Dati 2]]&amp;"_"&amp;Table1[[#This Row],[Tanggal]],Table2[[#All],[Kompetitor area]:[Jumlah Kompetitor]],7,0)</f>
        <v>939</v>
      </c>
      <c r="M85">
        <f>Table1[[#This Row],[Aktual]]-Table1[[#This Row],[Jumlah Kompetitor]]</f>
        <v>-38</v>
      </c>
      <c r="N85" t="str">
        <f>IF(Table1[[#This Row],[vs Kompetitor]]&gt;0,"Win", "Lose")</f>
        <v>Lose</v>
      </c>
    </row>
    <row r="86" spans="1:14" x14ac:dyDescent="0.25">
      <c r="A86">
        <v>85</v>
      </c>
      <c r="B86" t="s">
        <v>7</v>
      </c>
      <c r="C86" t="s">
        <v>127</v>
      </c>
      <c r="D86">
        <v>1</v>
      </c>
      <c r="E86">
        <v>2021</v>
      </c>
      <c r="F86" s="2">
        <f>DATE(Table1[[#This Row],[Tahun]],Table1[[#This Row],[Bulan]],1)</f>
        <v>44197</v>
      </c>
      <c r="G86">
        <v>666</v>
      </c>
      <c r="H86">
        <v>600</v>
      </c>
      <c r="I86" s="6">
        <f>(Table1[[#This Row],[Aktual]]-Table1[[#This Row],[Target]])</f>
        <v>66</v>
      </c>
      <c r="J86" s="3">
        <f>(Table1[[#This Row],[Aktual]]-Table1[[#This Row],[Target]])/Table1[[#This Row],[Target]]</f>
        <v>0.11</v>
      </c>
      <c r="K86" t="str">
        <f>IF(Table1[[#This Row],[Performance Gap (%)]]&lt;0,"Tidak mencapai target", IF(Table1[[#This Row],[Performance Gap (%)]]=0,"Mencapai target", "Melebihi Target"))</f>
        <v>Melebihi Target</v>
      </c>
      <c r="L86">
        <f>VLOOKUP(Table1[[#This Row],[Propinsi]]&amp;"_"&amp;Table1[[#This Row],[Dati 2]]&amp;"_"&amp;Table1[[#This Row],[Tanggal]],Table2[[#All],[Kompetitor area]:[Jumlah Kompetitor]],7,0)</f>
        <v>600</v>
      </c>
      <c r="M86">
        <f>Table1[[#This Row],[Aktual]]-Table1[[#This Row],[Jumlah Kompetitor]]</f>
        <v>66</v>
      </c>
      <c r="N86" t="str">
        <f>IF(Table1[[#This Row],[vs Kompetitor]]&gt;0,"Win", "Lose")</f>
        <v>Win</v>
      </c>
    </row>
    <row r="87" spans="1:14" x14ac:dyDescent="0.25">
      <c r="A87">
        <v>86</v>
      </c>
      <c r="B87" t="s">
        <v>7</v>
      </c>
      <c r="C87" t="s">
        <v>128</v>
      </c>
      <c r="D87">
        <v>1</v>
      </c>
      <c r="E87">
        <v>2021</v>
      </c>
      <c r="F87" s="2">
        <f>DATE(Table1[[#This Row],[Tahun]],Table1[[#This Row],[Bulan]],1)</f>
        <v>44197</v>
      </c>
      <c r="G87">
        <v>409</v>
      </c>
      <c r="H87">
        <v>418</v>
      </c>
      <c r="I87" s="6">
        <f>(Table1[[#This Row],[Aktual]]-Table1[[#This Row],[Target]])</f>
        <v>-9</v>
      </c>
      <c r="J87" s="3">
        <f>(Table1[[#This Row],[Aktual]]-Table1[[#This Row],[Target]])/Table1[[#This Row],[Target]]</f>
        <v>-2.1531100478468901E-2</v>
      </c>
      <c r="K87" t="str">
        <f>IF(Table1[[#This Row],[Performance Gap (%)]]&lt;0,"Tidak mencapai target", IF(Table1[[#This Row],[Performance Gap (%)]]=0,"Mencapai target", "Melebihi Target"))</f>
        <v>Tidak mencapai target</v>
      </c>
      <c r="L87">
        <f>VLOOKUP(Table1[[#This Row],[Propinsi]]&amp;"_"&amp;Table1[[#This Row],[Dati 2]]&amp;"_"&amp;Table1[[#This Row],[Tanggal]],Table2[[#All],[Kompetitor area]:[Jumlah Kompetitor]],7,0)</f>
        <v>418</v>
      </c>
      <c r="M87">
        <f>Table1[[#This Row],[Aktual]]-Table1[[#This Row],[Jumlah Kompetitor]]</f>
        <v>-9</v>
      </c>
      <c r="N87" t="str">
        <f>IF(Table1[[#This Row],[vs Kompetitor]]&gt;0,"Win", "Lose")</f>
        <v>Lose</v>
      </c>
    </row>
    <row r="88" spans="1:14" x14ac:dyDescent="0.25">
      <c r="A88">
        <v>87</v>
      </c>
      <c r="B88" t="s">
        <v>7</v>
      </c>
      <c r="C88" t="s">
        <v>129</v>
      </c>
      <c r="D88">
        <v>1</v>
      </c>
      <c r="E88">
        <v>2021</v>
      </c>
      <c r="F88" s="2">
        <f>DATE(Table1[[#This Row],[Tahun]],Table1[[#This Row],[Bulan]],1)</f>
        <v>44197</v>
      </c>
      <c r="G88">
        <v>217</v>
      </c>
      <c r="H88">
        <v>222</v>
      </c>
      <c r="I88" s="6">
        <f>(Table1[[#This Row],[Aktual]]-Table1[[#This Row],[Target]])</f>
        <v>-5</v>
      </c>
      <c r="J88" s="3">
        <f>(Table1[[#This Row],[Aktual]]-Table1[[#This Row],[Target]])/Table1[[#This Row],[Target]]</f>
        <v>-2.2522522522522521E-2</v>
      </c>
      <c r="K88" t="str">
        <f>IF(Table1[[#This Row],[Performance Gap (%)]]&lt;0,"Tidak mencapai target", IF(Table1[[#This Row],[Performance Gap (%)]]=0,"Mencapai target", "Melebihi Target"))</f>
        <v>Tidak mencapai target</v>
      </c>
      <c r="L88">
        <f>VLOOKUP(Table1[[#This Row],[Propinsi]]&amp;"_"&amp;Table1[[#This Row],[Dati 2]]&amp;"_"&amp;Table1[[#This Row],[Tanggal]],Table2[[#All],[Kompetitor area]:[Jumlah Kompetitor]],7,0)</f>
        <v>222</v>
      </c>
      <c r="M88">
        <f>Table1[[#This Row],[Aktual]]-Table1[[#This Row],[Jumlah Kompetitor]]</f>
        <v>-5</v>
      </c>
      <c r="N88" t="str">
        <f>IF(Table1[[#This Row],[vs Kompetitor]]&gt;0,"Win", "Lose")</f>
        <v>Lose</v>
      </c>
    </row>
    <row r="89" spans="1:14" x14ac:dyDescent="0.25">
      <c r="A89">
        <v>88</v>
      </c>
      <c r="B89" t="s">
        <v>7</v>
      </c>
      <c r="C89" t="s">
        <v>130</v>
      </c>
      <c r="D89">
        <v>1</v>
      </c>
      <c r="E89">
        <v>2021</v>
      </c>
      <c r="F89" s="2">
        <f>DATE(Table1[[#This Row],[Tahun]],Table1[[#This Row],[Bulan]],1)</f>
        <v>44197</v>
      </c>
      <c r="G89">
        <v>141</v>
      </c>
      <c r="H89">
        <v>140</v>
      </c>
      <c r="I89" s="6">
        <f>(Table1[[#This Row],[Aktual]]-Table1[[#This Row],[Target]])</f>
        <v>1</v>
      </c>
      <c r="J89" s="3">
        <f>(Table1[[#This Row],[Aktual]]-Table1[[#This Row],[Target]])/Table1[[#This Row],[Target]]</f>
        <v>7.1428571428571426E-3</v>
      </c>
      <c r="K89" t="str">
        <f>IF(Table1[[#This Row],[Performance Gap (%)]]&lt;0,"Tidak mencapai target", IF(Table1[[#This Row],[Performance Gap (%)]]=0,"Mencapai target", "Melebihi Target"))</f>
        <v>Melebihi Target</v>
      </c>
      <c r="L89">
        <f>VLOOKUP(Table1[[#This Row],[Propinsi]]&amp;"_"&amp;Table1[[#This Row],[Dati 2]]&amp;"_"&amp;Table1[[#This Row],[Tanggal]],Table2[[#All],[Kompetitor area]:[Jumlah Kompetitor]],7,0)</f>
        <v>140</v>
      </c>
      <c r="M89">
        <f>Table1[[#This Row],[Aktual]]-Table1[[#This Row],[Jumlah Kompetitor]]</f>
        <v>1</v>
      </c>
      <c r="N89" t="str">
        <f>IF(Table1[[#This Row],[vs Kompetitor]]&gt;0,"Win", "Lose")</f>
        <v>Win</v>
      </c>
    </row>
    <row r="90" spans="1:14" x14ac:dyDescent="0.25">
      <c r="A90">
        <v>89</v>
      </c>
      <c r="B90" t="s">
        <v>7</v>
      </c>
      <c r="C90" t="s">
        <v>131</v>
      </c>
      <c r="D90">
        <v>1</v>
      </c>
      <c r="E90">
        <v>2021</v>
      </c>
      <c r="F90" s="2">
        <f>DATE(Table1[[#This Row],[Tahun]],Table1[[#This Row],[Bulan]],1)</f>
        <v>44197</v>
      </c>
      <c r="G90">
        <v>135</v>
      </c>
      <c r="H90">
        <v>133</v>
      </c>
      <c r="I90" s="6">
        <f>(Table1[[#This Row],[Aktual]]-Table1[[#This Row],[Target]])</f>
        <v>2</v>
      </c>
      <c r="J90" s="3">
        <f>(Table1[[#This Row],[Aktual]]-Table1[[#This Row],[Target]])/Table1[[#This Row],[Target]]</f>
        <v>1.5037593984962405E-2</v>
      </c>
      <c r="K90" t="str">
        <f>IF(Table1[[#This Row],[Performance Gap (%)]]&lt;0,"Tidak mencapai target", IF(Table1[[#This Row],[Performance Gap (%)]]=0,"Mencapai target", "Melebihi Target"))</f>
        <v>Melebihi Target</v>
      </c>
      <c r="L90">
        <f>VLOOKUP(Table1[[#This Row],[Propinsi]]&amp;"_"&amp;Table1[[#This Row],[Dati 2]]&amp;"_"&amp;Table1[[#This Row],[Tanggal]],Table2[[#All],[Kompetitor area]:[Jumlah Kompetitor]],7,0)</f>
        <v>133</v>
      </c>
      <c r="M90">
        <f>Table1[[#This Row],[Aktual]]-Table1[[#This Row],[Jumlah Kompetitor]]</f>
        <v>2</v>
      </c>
      <c r="N90" t="str">
        <f>IF(Table1[[#This Row],[vs Kompetitor]]&gt;0,"Win", "Lose")</f>
        <v>Win</v>
      </c>
    </row>
    <row r="91" spans="1:14" x14ac:dyDescent="0.25">
      <c r="A91">
        <v>90</v>
      </c>
      <c r="B91" t="s">
        <v>7</v>
      </c>
      <c r="C91" t="s">
        <v>132</v>
      </c>
      <c r="D91">
        <v>1</v>
      </c>
      <c r="E91">
        <v>2021</v>
      </c>
      <c r="F91" s="2">
        <f>DATE(Table1[[#This Row],[Tahun]],Table1[[#This Row],[Bulan]],1)</f>
        <v>44197</v>
      </c>
      <c r="G91">
        <v>189</v>
      </c>
      <c r="H91">
        <v>184</v>
      </c>
      <c r="I91" s="6">
        <f>(Table1[[#This Row],[Aktual]]-Table1[[#This Row],[Target]])</f>
        <v>5</v>
      </c>
      <c r="J91" s="3">
        <f>(Table1[[#This Row],[Aktual]]-Table1[[#This Row],[Target]])/Table1[[#This Row],[Target]]</f>
        <v>2.717391304347826E-2</v>
      </c>
      <c r="K91" t="str">
        <f>IF(Table1[[#This Row],[Performance Gap (%)]]&lt;0,"Tidak mencapai target", IF(Table1[[#This Row],[Performance Gap (%)]]=0,"Mencapai target", "Melebihi Target"))</f>
        <v>Melebihi Target</v>
      </c>
      <c r="L91">
        <f>VLOOKUP(Table1[[#This Row],[Propinsi]]&amp;"_"&amp;Table1[[#This Row],[Dati 2]]&amp;"_"&amp;Table1[[#This Row],[Tanggal]],Table2[[#All],[Kompetitor area]:[Jumlah Kompetitor]],7,0)</f>
        <v>184</v>
      </c>
      <c r="M91">
        <f>Table1[[#This Row],[Aktual]]-Table1[[#This Row],[Jumlah Kompetitor]]</f>
        <v>5</v>
      </c>
      <c r="N91" t="str">
        <f>IF(Table1[[#This Row],[vs Kompetitor]]&gt;0,"Win", "Lose")</f>
        <v>Win</v>
      </c>
    </row>
    <row r="92" spans="1:14" x14ac:dyDescent="0.25">
      <c r="A92">
        <v>91</v>
      </c>
      <c r="B92" t="s">
        <v>7</v>
      </c>
      <c r="C92" t="s">
        <v>133</v>
      </c>
      <c r="D92">
        <v>1</v>
      </c>
      <c r="E92">
        <v>2021</v>
      </c>
      <c r="F92" s="2">
        <f>DATE(Table1[[#This Row],[Tahun]],Table1[[#This Row],[Bulan]],1)</f>
        <v>44197</v>
      </c>
      <c r="G92">
        <v>202</v>
      </c>
      <c r="H92">
        <v>189</v>
      </c>
      <c r="I92" s="6">
        <f>(Table1[[#This Row],[Aktual]]-Table1[[#This Row],[Target]])</f>
        <v>13</v>
      </c>
      <c r="J92" s="3">
        <f>(Table1[[#This Row],[Aktual]]-Table1[[#This Row],[Target]])/Table1[[#This Row],[Target]]</f>
        <v>6.8783068783068779E-2</v>
      </c>
      <c r="K92" t="str">
        <f>IF(Table1[[#This Row],[Performance Gap (%)]]&lt;0,"Tidak mencapai target", IF(Table1[[#This Row],[Performance Gap (%)]]=0,"Mencapai target", "Melebihi Target"))</f>
        <v>Melebihi Target</v>
      </c>
      <c r="L92">
        <f>VLOOKUP(Table1[[#This Row],[Propinsi]]&amp;"_"&amp;Table1[[#This Row],[Dati 2]]&amp;"_"&amp;Table1[[#This Row],[Tanggal]],Table2[[#All],[Kompetitor area]:[Jumlah Kompetitor]],7,0)</f>
        <v>189</v>
      </c>
      <c r="M92">
        <f>Table1[[#This Row],[Aktual]]-Table1[[#This Row],[Jumlah Kompetitor]]</f>
        <v>13</v>
      </c>
      <c r="N92" t="str">
        <f>IF(Table1[[#This Row],[vs Kompetitor]]&gt;0,"Win", "Lose")</f>
        <v>Win</v>
      </c>
    </row>
    <row r="93" spans="1:14" x14ac:dyDescent="0.25">
      <c r="A93">
        <v>92</v>
      </c>
      <c r="B93" t="s">
        <v>7</v>
      </c>
      <c r="C93" t="s">
        <v>134</v>
      </c>
      <c r="D93">
        <v>1</v>
      </c>
      <c r="E93">
        <v>2021</v>
      </c>
      <c r="F93" s="2">
        <f>DATE(Table1[[#This Row],[Tahun]],Table1[[#This Row],[Bulan]],1)</f>
        <v>44197</v>
      </c>
      <c r="G93">
        <v>90</v>
      </c>
      <c r="H93">
        <v>95</v>
      </c>
      <c r="I93" s="6">
        <f>(Table1[[#This Row],[Aktual]]-Table1[[#This Row],[Target]])</f>
        <v>-5</v>
      </c>
      <c r="J93" s="3">
        <f>(Table1[[#This Row],[Aktual]]-Table1[[#This Row],[Target]])/Table1[[#This Row],[Target]]</f>
        <v>-5.2631578947368418E-2</v>
      </c>
      <c r="K93" t="str">
        <f>IF(Table1[[#This Row],[Performance Gap (%)]]&lt;0,"Tidak mencapai target", IF(Table1[[#This Row],[Performance Gap (%)]]=0,"Mencapai target", "Melebihi Target"))</f>
        <v>Tidak mencapai target</v>
      </c>
      <c r="L93">
        <f>VLOOKUP(Table1[[#This Row],[Propinsi]]&amp;"_"&amp;Table1[[#This Row],[Dati 2]]&amp;"_"&amp;Table1[[#This Row],[Tanggal]],Table2[[#All],[Kompetitor area]:[Jumlah Kompetitor]],7,0)</f>
        <v>95</v>
      </c>
      <c r="M93">
        <f>Table1[[#This Row],[Aktual]]-Table1[[#This Row],[Jumlah Kompetitor]]</f>
        <v>-5</v>
      </c>
      <c r="N93" t="str">
        <f>IF(Table1[[#This Row],[vs Kompetitor]]&gt;0,"Win", "Lose")</f>
        <v>Lose</v>
      </c>
    </row>
    <row r="94" spans="1:14" x14ac:dyDescent="0.25">
      <c r="A94">
        <v>93</v>
      </c>
      <c r="B94" t="s">
        <v>7</v>
      </c>
      <c r="C94" t="s">
        <v>135</v>
      </c>
      <c r="D94">
        <v>1</v>
      </c>
      <c r="E94">
        <v>2021</v>
      </c>
      <c r="F94" s="2">
        <f>DATE(Table1[[#This Row],[Tahun]],Table1[[#This Row],[Bulan]],1)</f>
        <v>44197</v>
      </c>
      <c r="G94">
        <v>303</v>
      </c>
      <c r="H94">
        <v>271</v>
      </c>
      <c r="I94" s="6">
        <f>(Table1[[#This Row],[Aktual]]-Table1[[#This Row],[Target]])</f>
        <v>32</v>
      </c>
      <c r="J94" s="3">
        <f>(Table1[[#This Row],[Aktual]]-Table1[[#This Row],[Target]])/Table1[[#This Row],[Target]]</f>
        <v>0.11808118081180811</v>
      </c>
      <c r="K94" t="str">
        <f>IF(Table1[[#This Row],[Performance Gap (%)]]&lt;0,"Tidak mencapai target", IF(Table1[[#This Row],[Performance Gap (%)]]=0,"Mencapai target", "Melebihi Target"))</f>
        <v>Melebihi Target</v>
      </c>
      <c r="L94">
        <f>VLOOKUP(Table1[[#This Row],[Propinsi]]&amp;"_"&amp;Table1[[#This Row],[Dati 2]]&amp;"_"&amp;Table1[[#This Row],[Tanggal]],Table2[[#All],[Kompetitor area]:[Jumlah Kompetitor]],7,0)</f>
        <v>271</v>
      </c>
      <c r="M94">
        <f>Table1[[#This Row],[Aktual]]-Table1[[#This Row],[Jumlah Kompetitor]]</f>
        <v>32</v>
      </c>
      <c r="N94" t="str">
        <f>IF(Table1[[#This Row],[vs Kompetitor]]&gt;0,"Win", "Lose")</f>
        <v>Win</v>
      </c>
    </row>
    <row r="95" spans="1:14" x14ac:dyDescent="0.25">
      <c r="A95">
        <v>94</v>
      </c>
      <c r="B95" t="s">
        <v>7</v>
      </c>
      <c r="C95" t="s">
        <v>136</v>
      </c>
      <c r="D95">
        <v>1</v>
      </c>
      <c r="E95">
        <v>2021</v>
      </c>
      <c r="F95" s="2">
        <f>DATE(Table1[[#This Row],[Tahun]],Table1[[#This Row],[Bulan]],1)</f>
        <v>44197</v>
      </c>
      <c r="G95">
        <v>136</v>
      </c>
      <c r="H95">
        <v>126</v>
      </c>
      <c r="I95" s="6">
        <f>(Table1[[#This Row],[Aktual]]-Table1[[#This Row],[Target]])</f>
        <v>10</v>
      </c>
      <c r="J95" s="3">
        <f>(Table1[[#This Row],[Aktual]]-Table1[[#This Row],[Target]])/Table1[[#This Row],[Target]]</f>
        <v>7.9365079365079361E-2</v>
      </c>
      <c r="K95" t="str">
        <f>IF(Table1[[#This Row],[Performance Gap (%)]]&lt;0,"Tidak mencapai target", IF(Table1[[#This Row],[Performance Gap (%)]]=0,"Mencapai target", "Melebihi Target"))</f>
        <v>Melebihi Target</v>
      </c>
      <c r="L95">
        <f>VLOOKUP(Table1[[#This Row],[Propinsi]]&amp;"_"&amp;Table1[[#This Row],[Dati 2]]&amp;"_"&amp;Table1[[#This Row],[Tanggal]],Table2[[#All],[Kompetitor area]:[Jumlah Kompetitor]],7,0)</f>
        <v>126</v>
      </c>
      <c r="M95">
        <f>Table1[[#This Row],[Aktual]]-Table1[[#This Row],[Jumlah Kompetitor]]</f>
        <v>10</v>
      </c>
      <c r="N95" t="str">
        <f>IF(Table1[[#This Row],[vs Kompetitor]]&gt;0,"Win", "Lose")</f>
        <v>Win</v>
      </c>
    </row>
    <row r="96" spans="1:14" x14ac:dyDescent="0.25">
      <c r="A96">
        <v>95</v>
      </c>
      <c r="B96" t="s">
        <v>7</v>
      </c>
      <c r="C96" t="s">
        <v>137</v>
      </c>
      <c r="D96">
        <v>1</v>
      </c>
      <c r="E96">
        <v>2021</v>
      </c>
      <c r="F96" s="2">
        <f>DATE(Table1[[#This Row],[Tahun]],Table1[[#This Row],[Bulan]],1)</f>
        <v>44197</v>
      </c>
      <c r="G96">
        <v>83</v>
      </c>
      <c r="H96">
        <v>79</v>
      </c>
      <c r="I96" s="6">
        <f>(Table1[[#This Row],[Aktual]]-Table1[[#This Row],[Target]])</f>
        <v>4</v>
      </c>
      <c r="J96" s="3">
        <f>(Table1[[#This Row],[Aktual]]-Table1[[#This Row],[Target]])/Table1[[#This Row],[Target]]</f>
        <v>5.0632911392405063E-2</v>
      </c>
      <c r="K96" t="str">
        <f>IF(Table1[[#This Row],[Performance Gap (%)]]&lt;0,"Tidak mencapai target", IF(Table1[[#This Row],[Performance Gap (%)]]=0,"Mencapai target", "Melebihi Target"))</f>
        <v>Melebihi Target</v>
      </c>
      <c r="L96">
        <f>VLOOKUP(Table1[[#This Row],[Propinsi]]&amp;"_"&amp;Table1[[#This Row],[Dati 2]]&amp;"_"&amp;Table1[[#This Row],[Tanggal]],Table2[[#All],[Kompetitor area]:[Jumlah Kompetitor]],7,0)</f>
        <v>79</v>
      </c>
      <c r="M96">
        <f>Table1[[#This Row],[Aktual]]-Table1[[#This Row],[Jumlah Kompetitor]]</f>
        <v>4</v>
      </c>
      <c r="N96" t="str">
        <f>IF(Table1[[#This Row],[vs Kompetitor]]&gt;0,"Win", "Lose")</f>
        <v>Win</v>
      </c>
    </row>
    <row r="97" spans="1:14" x14ac:dyDescent="0.25">
      <c r="A97">
        <v>96</v>
      </c>
      <c r="B97" t="s">
        <v>7</v>
      </c>
      <c r="C97" t="s">
        <v>138</v>
      </c>
      <c r="D97">
        <v>1</v>
      </c>
      <c r="E97">
        <v>2021</v>
      </c>
      <c r="F97" s="2">
        <f>DATE(Table1[[#This Row],[Tahun]],Table1[[#This Row],[Bulan]],1)</f>
        <v>44197</v>
      </c>
      <c r="G97">
        <v>170</v>
      </c>
      <c r="H97">
        <v>158</v>
      </c>
      <c r="I97" s="6">
        <f>(Table1[[#This Row],[Aktual]]-Table1[[#This Row],[Target]])</f>
        <v>12</v>
      </c>
      <c r="J97" s="3">
        <f>(Table1[[#This Row],[Aktual]]-Table1[[#This Row],[Target]])/Table1[[#This Row],[Target]]</f>
        <v>7.5949367088607597E-2</v>
      </c>
      <c r="K97" t="str">
        <f>IF(Table1[[#This Row],[Performance Gap (%)]]&lt;0,"Tidak mencapai target", IF(Table1[[#This Row],[Performance Gap (%)]]=0,"Mencapai target", "Melebihi Target"))</f>
        <v>Melebihi Target</v>
      </c>
      <c r="L97">
        <f>VLOOKUP(Table1[[#This Row],[Propinsi]]&amp;"_"&amp;Table1[[#This Row],[Dati 2]]&amp;"_"&amp;Table1[[#This Row],[Tanggal]],Table2[[#All],[Kompetitor area]:[Jumlah Kompetitor]],7,0)</f>
        <v>158</v>
      </c>
      <c r="M97">
        <f>Table1[[#This Row],[Aktual]]-Table1[[#This Row],[Jumlah Kompetitor]]</f>
        <v>12</v>
      </c>
      <c r="N97" t="str">
        <f>IF(Table1[[#This Row],[vs Kompetitor]]&gt;0,"Win", "Lose")</f>
        <v>Win</v>
      </c>
    </row>
    <row r="98" spans="1:14" x14ac:dyDescent="0.25">
      <c r="A98">
        <v>97</v>
      </c>
      <c r="B98" t="s">
        <v>7</v>
      </c>
      <c r="C98" t="s">
        <v>139</v>
      </c>
      <c r="D98">
        <v>1</v>
      </c>
      <c r="E98">
        <v>2021</v>
      </c>
      <c r="F98" s="2">
        <f>DATE(Table1[[#This Row],[Tahun]],Table1[[#This Row],[Bulan]],1)</f>
        <v>44197</v>
      </c>
      <c r="G98">
        <v>222</v>
      </c>
      <c r="H98">
        <v>212</v>
      </c>
      <c r="I98" s="6">
        <f>(Table1[[#This Row],[Aktual]]-Table1[[#This Row],[Target]])</f>
        <v>10</v>
      </c>
      <c r="J98" s="3">
        <f>(Table1[[#This Row],[Aktual]]-Table1[[#This Row],[Target]])/Table1[[#This Row],[Target]]</f>
        <v>4.716981132075472E-2</v>
      </c>
      <c r="K98" t="str">
        <f>IF(Table1[[#This Row],[Performance Gap (%)]]&lt;0,"Tidak mencapai target", IF(Table1[[#This Row],[Performance Gap (%)]]=0,"Mencapai target", "Melebihi Target"))</f>
        <v>Melebihi Target</v>
      </c>
      <c r="L98">
        <f>VLOOKUP(Table1[[#This Row],[Propinsi]]&amp;"_"&amp;Table1[[#This Row],[Dati 2]]&amp;"_"&amp;Table1[[#This Row],[Tanggal]],Table2[[#All],[Kompetitor area]:[Jumlah Kompetitor]],7,0)</f>
        <v>212</v>
      </c>
      <c r="M98">
        <f>Table1[[#This Row],[Aktual]]-Table1[[#This Row],[Jumlah Kompetitor]]</f>
        <v>10</v>
      </c>
      <c r="N98" t="str">
        <f>IF(Table1[[#This Row],[vs Kompetitor]]&gt;0,"Win", "Lose")</f>
        <v>Win</v>
      </c>
    </row>
    <row r="99" spans="1:14" x14ac:dyDescent="0.25">
      <c r="A99">
        <v>98</v>
      </c>
      <c r="B99" t="s">
        <v>7</v>
      </c>
      <c r="C99" t="s">
        <v>140</v>
      </c>
      <c r="D99">
        <v>1</v>
      </c>
      <c r="E99">
        <v>2021</v>
      </c>
      <c r="F99" s="2">
        <f>DATE(Table1[[#This Row],[Tahun]],Table1[[#This Row],[Bulan]],1)</f>
        <v>44197</v>
      </c>
      <c r="G99">
        <v>184</v>
      </c>
      <c r="H99">
        <v>172</v>
      </c>
      <c r="I99" s="6">
        <f>(Table1[[#This Row],[Aktual]]-Table1[[#This Row],[Target]])</f>
        <v>12</v>
      </c>
      <c r="J99" s="3">
        <f>(Table1[[#This Row],[Aktual]]-Table1[[#This Row],[Target]])/Table1[[#This Row],[Target]]</f>
        <v>6.9767441860465115E-2</v>
      </c>
      <c r="K99" t="str">
        <f>IF(Table1[[#This Row],[Performance Gap (%)]]&lt;0,"Tidak mencapai target", IF(Table1[[#This Row],[Performance Gap (%)]]=0,"Mencapai target", "Melebihi Target"))</f>
        <v>Melebihi Target</v>
      </c>
      <c r="L99">
        <f>VLOOKUP(Table1[[#This Row],[Propinsi]]&amp;"_"&amp;Table1[[#This Row],[Dati 2]]&amp;"_"&amp;Table1[[#This Row],[Tanggal]],Table2[[#All],[Kompetitor area]:[Jumlah Kompetitor]],7,0)</f>
        <v>172</v>
      </c>
      <c r="M99">
        <f>Table1[[#This Row],[Aktual]]-Table1[[#This Row],[Jumlah Kompetitor]]</f>
        <v>12</v>
      </c>
      <c r="N99" t="str">
        <f>IF(Table1[[#This Row],[vs Kompetitor]]&gt;0,"Win", "Lose")</f>
        <v>Win</v>
      </c>
    </row>
    <row r="100" spans="1:14" x14ac:dyDescent="0.25">
      <c r="A100">
        <v>99</v>
      </c>
      <c r="B100" t="s">
        <v>7</v>
      </c>
      <c r="C100" t="s">
        <v>141</v>
      </c>
      <c r="D100">
        <v>1</v>
      </c>
      <c r="E100">
        <v>2021</v>
      </c>
      <c r="F100" s="2">
        <f>DATE(Table1[[#This Row],[Tahun]],Table1[[#This Row],[Bulan]],1)</f>
        <v>44197</v>
      </c>
      <c r="G100">
        <v>126</v>
      </c>
      <c r="H100">
        <v>123</v>
      </c>
      <c r="I100" s="6">
        <f>(Table1[[#This Row],[Aktual]]-Table1[[#This Row],[Target]])</f>
        <v>3</v>
      </c>
      <c r="J100" s="3">
        <f>(Table1[[#This Row],[Aktual]]-Table1[[#This Row],[Target]])/Table1[[#This Row],[Target]]</f>
        <v>2.4390243902439025E-2</v>
      </c>
      <c r="K100" t="str">
        <f>IF(Table1[[#This Row],[Performance Gap (%)]]&lt;0,"Tidak mencapai target", IF(Table1[[#This Row],[Performance Gap (%)]]=0,"Mencapai target", "Melebihi Target"))</f>
        <v>Melebihi Target</v>
      </c>
      <c r="L100">
        <f>VLOOKUP(Table1[[#This Row],[Propinsi]]&amp;"_"&amp;Table1[[#This Row],[Dati 2]]&amp;"_"&amp;Table1[[#This Row],[Tanggal]],Table2[[#All],[Kompetitor area]:[Jumlah Kompetitor]],7,0)</f>
        <v>123</v>
      </c>
      <c r="M100">
        <f>Table1[[#This Row],[Aktual]]-Table1[[#This Row],[Jumlah Kompetitor]]</f>
        <v>3</v>
      </c>
      <c r="N100" t="str">
        <f>IF(Table1[[#This Row],[vs Kompetitor]]&gt;0,"Win", "Lose")</f>
        <v>Win</v>
      </c>
    </row>
    <row r="101" spans="1:14" x14ac:dyDescent="0.25">
      <c r="A101">
        <v>100</v>
      </c>
      <c r="B101" t="s">
        <v>7</v>
      </c>
      <c r="C101" t="s">
        <v>142</v>
      </c>
      <c r="D101">
        <v>1</v>
      </c>
      <c r="E101">
        <v>2021</v>
      </c>
      <c r="F101" s="2">
        <f>DATE(Table1[[#This Row],[Tahun]],Table1[[#This Row],[Bulan]],1)</f>
        <v>44197</v>
      </c>
      <c r="G101">
        <v>145</v>
      </c>
      <c r="H101">
        <v>137</v>
      </c>
      <c r="I101" s="6">
        <f>(Table1[[#This Row],[Aktual]]-Table1[[#This Row],[Target]])</f>
        <v>8</v>
      </c>
      <c r="J101" s="3">
        <f>(Table1[[#This Row],[Aktual]]-Table1[[#This Row],[Target]])/Table1[[#This Row],[Target]]</f>
        <v>5.8394160583941604E-2</v>
      </c>
      <c r="K101" t="str">
        <f>IF(Table1[[#This Row],[Performance Gap (%)]]&lt;0,"Tidak mencapai target", IF(Table1[[#This Row],[Performance Gap (%)]]=0,"Mencapai target", "Melebihi Target"))</f>
        <v>Melebihi Target</v>
      </c>
      <c r="L101">
        <f>VLOOKUP(Table1[[#This Row],[Propinsi]]&amp;"_"&amp;Table1[[#This Row],[Dati 2]]&amp;"_"&amp;Table1[[#This Row],[Tanggal]],Table2[[#All],[Kompetitor area]:[Jumlah Kompetitor]],7,0)</f>
        <v>137</v>
      </c>
      <c r="M101">
        <f>Table1[[#This Row],[Aktual]]-Table1[[#This Row],[Jumlah Kompetitor]]</f>
        <v>8</v>
      </c>
      <c r="N101" t="str">
        <f>IF(Table1[[#This Row],[vs Kompetitor]]&gt;0,"Win", "Lose")</f>
        <v>Win</v>
      </c>
    </row>
    <row r="102" spans="1:14" x14ac:dyDescent="0.25">
      <c r="A102">
        <v>101</v>
      </c>
      <c r="B102" t="s">
        <v>7</v>
      </c>
      <c r="C102" t="s">
        <v>143</v>
      </c>
      <c r="D102">
        <v>1</v>
      </c>
      <c r="E102">
        <v>2021</v>
      </c>
      <c r="F102" s="2">
        <f>DATE(Table1[[#This Row],[Tahun]],Table1[[#This Row],[Bulan]],1)</f>
        <v>44197</v>
      </c>
      <c r="G102">
        <v>175</v>
      </c>
      <c r="H102">
        <v>170</v>
      </c>
      <c r="I102" s="6">
        <f>(Table1[[#This Row],[Aktual]]-Table1[[#This Row],[Target]])</f>
        <v>5</v>
      </c>
      <c r="J102" s="3">
        <f>(Table1[[#This Row],[Aktual]]-Table1[[#This Row],[Target]])/Table1[[#This Row],[Target]]</f>
        <v>2.9411764705882353E-2</v>
      </c>
      <c r="K102" t="str">
        <f>IF(Table1[[#This Row],[Performance Gap (%)]]&lt;0,"Tidak mencapai target", IF(Table1[[#This Row],[Performance Gap (%)]]=0,"Mencapai target", "Melebihi Target"))</f>
        <v>Melebihi Target</v>
      </c>
      <c r="L102">
        <f>VLOOKUP(Table1[[#This Row],[Propinsi]]&amp;"_"&amp;Table1[[#This Row],[Dati 2]]&amp;"_"&amp;Table1[[#This Row],[Tanggal]],Table2[[#All],[Kompetitor area]:[Jumlah Kompetitor]],7,0)</f>
        <v>170</v>
      </c>
      <c r="M102">
        <f>Table1[[#This Row],[Aktual]]-Table1[[#This Row],[Jumlah Kompetitor]]</f>
        <v>5</v>
      </c>
      <c r="N102" t="str">
        <f>IF(Table1[[#This Row],[vs Kompetitor]]&gt;0,"Win", "Lose")</f>
        <v>Win</v>
      </c>
    </row>
    <row r="103" spans="1:14" x14ac:dyDescent="0.25">
      <c r="A103">
        <v>102</v>
      </c>
      <c r="B103" t="s">
        <v>7</v>
      </c>
      <c r="C103" t="s">
        <v>144</v>
      </c>
      <c r="D103">
        <v>1</v>
      </c>
      <c r="E103">
        <v>2021</v>
      </c>
      <c r="F103" s="2">
        <f>DATE(Table1[[#This Row],[Tahun]],Table1[[#This Row],[Bulan]],1)</f>
        <v>44197</v>
      </c>
      <c r="G103">
        <v>94</v>
      </c>
      <c r="H103">
        <v>98</v>
      </c>
      <c r="I103" s="6">
        <f>(Table1[[#This Row],[Aktual]]-Table1[[#This Row],[Target]])</f>
        <v>-4</v>
      </c>
      <c r="J103" s="3">
        <f>(Table1[[#This Row],[Aktual]]-Table1[[#This Row],[Target]])/Table1[[#This Row],[Target]]</f>
        <v>-4.0816326530612242E-2</v>
      </c>
      <c r="K103" t="str">
        <f>IF(Table1[[#This Row],[Performance Gap (%)]]&lt;0,"Tidak mencapai target", IF(Table1[[#This Row],[Performance Gap (%)]]=0,"Mencapai target", "Melebihi Target"))</f>
        <v>Tidak mencapai target</v>
      </c>
      <c r="L103">
        <f>VLOOKUP(Table1[[#This Row],[Propinsi]]&amp;"_"&amp;Table1[[#This Row],[Dati 2]]&amp;"_"&amp;Table1[[#This Row],[Tanggal]],Table2[[#All],[Kompetitor area]:[Jumlah Kompetitor]],7,0)</f>
        <v>98</v>
      </c>
      <c r="M103">
        <f>Table1[[#This Row],[Aktual]]-Table1[[#This Row],[Jumlah Kompetitor]]</f>
        <v>-4</v>
      </c>
      <c r="N103" t="str">
        <f>IF(Table1[[#This Row],[vs Kompetitor]]&gt;0,"Win", "Lose")</f>
        <v>Lose</v>
      </c>
    </row>
    <row r="104" spans="1:14" x14ac:dyDescent="0.25">
      <c r="A104">
        <v>103</v>
      </c>
      <c r="B104" t="s">
        <v>7</v>
      </c>
      <c r="C104" t="s">
        <v>145</v>
      </c>
      <c r="D104">
        <v>1</v>
      </c>
      <c r="E104">
        <v>2021</v>
      </c>
      <c r="F104" s="2">
        <f>DATE(Table1[[#This Row],[Tahun]],Table1[[#This Row],[Bulan]],1)</f>
        <v>44197</v>
      </c>
      <c r="G104">
        <v>100</v>
      </c>
      <c r="H104">
        <v>106</v>
      </c>
      <c r="I104" s="6">
        <f>(Table1[[#This Row],[Aktual]]-Table1[[#This Row],[Target]])</f>
        <v>-6</v>
      </c>
      <c r="J104" s="3">
        <f>(Table1[[#This Row],[Aktual]]-Table1[[#This Row],[Target]])/Table1[[#This Row],[Target]]</f>
        <v>-5.6603773584905662E-2</v>
      </c>
      <c r="K104" t="str">
        <f>IF(Table1[[#This Row],[Performance Gap (%)]]&lt;0,"Tidak mencapai target", IF(Table1[[#This Row],[Performance Gap (%)]]=0,"Mencapai target", "Melebihi Target"))</f>
        <v>Tidak mencapai target</v>
      </c>
      <c r="L104">
        <f>VLOOKUP(Table1[[#This Row],[Propinsi]]&amp;"_"&amp;Table1[[#This Row],[Dati 2]]&amp;"_"&amp;Table1[[#This Row],[Tanggal]],Table2[[#All],[Kompetitor area]:[Jumlah Kompetitor]],7,0)</f>
        <v>106</v>
      </c>
      <c r="M104">
        <f>Table1[[#This Row],[Aktual]]-Table1[[#This Row],[Jumlah Kompetitor]]</f>
        <v>-6</v>
      </c>
      <c r="N104" t="str">
        <f>IF(Table1[[#This Row],[vs Kompetitor]]&gt;0,"Win", "Lose")</f>
        <v>Lose</v>
      </c>
    </row>
    <row r="105" spans="1:14" x14ac:dyDescent="0.25">
      <c r="A105">
        <v>104</v>
      </c>
      <c r="B105" t="s">
        <v>7</v>
      </c>
      <c r="C105" t="s">
        <v>146</v>
      </c>
      <c r="D105">
        <v>1</v>
      </c>
      <c r="E105">
        <v>2021</v>
      </c>
      <c r="F105" s="2">
        <f>DATE(Table1[[#This Row],[Tahun]],Table1[[#This Row],[Bulan]],1)</f>
        <v>44197</v>
      </c>
      <c r="G105">
        <v>213</v>
      </c>
      <c r="H105">
        <v>196</v>
      </c>
      <c r="I105" s="6">
        <f>(Table1[[#This Row],[Aktual]]-Table1[[#This Row],[Target]])</f>
        <v>17</v>
      </c>
      <c r="J105" s="3">
        <f>(Table1[[#This Row],[Aktual]]-Table1[[#This Row],[Target]])/Table1[[#This Row],[Target]]</f>
        <v>8.673469387755102E-2</v>
      </c>
      <c r="K105" t="str">
        <f>IF(Table1[[#This Row],[Performance Gap (%)]]&lt;0,"Tidak mencapai target", IF(Table1[[#This Row],[Performance Gap (%)]]=0,"Mencapai target", "Melebihi Target"))</f>
        <v>Melebihi Target</v>
      </c>
      <c r="L105">
        <f>VLOOKUP(Table1[[#This Row],[Propinsi]]&amp;"_"&amp;Table1[[#This Row],[Dati 2]]&amp;"_"&amp;Table1[[#This Row],[Tanggal]],Table2[[#All],[Kompetitor area]:[Jumlah Kompetitor]],7,0)</f>
        <v>196</v>
      </c>
      <c r="M105">
        <f>Table1[[#This Row],[Aktual]]-Table1[[#This Row],[Jumlah Kompetitor]]</f>
        <v>17</v>
      </c>
      <c r="N105" t="str">
        <f>IF(Table1[[#This Row],[vs Kompetitor]]&gt;0,"Win", "Lose")</f>
        <v>Win</v>
      </c>
    </row>
    <row r="106" spans="1:14" x14ac:dyDescent="0.25">
      <c r="A106">
        <v>105</v>
      </c>
      <c r="B106" t="s">
        <v>7</v>
      </c>
      <c r="C106" t="s">
        <v>147</v>
      </c>
      <c r="D106">
        <v>1</v>
      </c>
      <c r="E106">
        <v>2021</v>
      </c>
      <c r="F106" s="2">
        <f>DATE(Table1[[#This Row],[Tahun]],Table1[[#This Row],[Bulan]],1)</f>
        <v>44197</v>
      </c>
      <c r="G106">
        <v>105</v>
      </c>
      <c r="H106">
        <v>108</v>
      </c>
      <c r="I106" s="6">
        <f>(Table1[[#This Row],[Aktual]]-Table1[[#This Row],[Target]])</f>
        <v>-3</v>
      </c>
      <c r="J106" s="3">
        <f>(Table1[[#This Row],[Aktual]]-Table1[[#This Row],[Target]])/Table1[[#This Row],[Target]]</f>
        <v>-2.7777777777777776E-2</v>
      </c>
      <c r="K106" t="str">
        <f>IF(Table1[[#This Row],[Performance Gap (%)]]&lt;0,"Tidak mencapai target", IF(Table1[[#This Row],[Performance Gap (%)]]=0,"Mencapai target", "Melebihi Target"))</f>
        <v>Tidak mencapai target</v>
      </c>
      <c r="L106">
        <f>VLOOKUP(Table1[[#This Row],[Propinsi]]&amp;"_"&amp;Table1[[#This Row],[Dati 2]]&amp;"_"&amp;Table1[[#This Row],[Tanggal]],Table2[[#All],[Kompetitor area]:[Jumlah Kompetitor]],7,0)</f>
        <v>108</v>
      </c>
      <c r="M106">
        <f>Table1[[#This Row],[Aktual]]-Table1[[#This Row],[Jumlah Kompetitor]]</f>
        <v>-3</v>
      </c>
      <c r="N106" t="str">
        <f>IF(Table1[[#This Row],[vs Kompetitor]]&gt;0,"Win", "Lose")</f>
        <v>Lose</v>
      </c>
    </row>
    <row r="107" spans="1:14" x14ac:dyDescent="0.25">
      <c r="A107">
        <v>106</v>
      </c>
      <c r="B107" t="s">
        <v>7</v>
      </c>
      <c r="C107" t="s">
        <v>148</v>
      </c>
      <c r="D107">
        <v>1</v>
      </c>
      <c r="E107">
        <v>2021</v>
      </c>
      <c r="F107" s="2">
        <f>DATE(Table1[[#This Row],[Tahun]],Table1[[#This Row],[Bulan]],1)</f>
        <v>44197</v>
      </c>
      <c r="G107">
        <v>147</v>
      </c>
      <c r="H107">
        <v>157</v>
      </c>
      <c r="I107" s="6">
        <f>(Table1[[#This Row],[Aktual]]-Table1[[#This Row],[Target]])</f>
        <v>-10</v>
      </c>
      <c r="J107" s="3">
        <f>(Table1[[#This Row],[Aktual]]-Table1[[#This Row],[Target]])/Table1[[#This Row],[Target]]</f>
        <v>-6.3694267515923567E-2</v>
      </c>
      <c r="K107" t="str">
        <f>IF(Table1[[#This Row],[Performance Gap (%)]]&lt;0,"Tidak mencapai target", IF(Table1[[#This Row],[Performance Gap (%)]]=0,"Mencapai target", "Melebihi Target"))</f>
        <v>Tidak mencapai target</v>
      </c>
      <c r="L107">
        <f>VLOOKUP(Table1[[#This Row],[Propinsi]]&amp;"_"&amp;Table1[[#This Row],[Dati 2]]&amp;"_"&amp;Table1[[#This Row],[Tanggal]],Table2[[#All],[Kompetitor area]:[Jumlah Kompetitor]],7,0)</f>
        <v>157</v>
      </c>
      <c r="M107">
        <f>Table1[[#This Row],[Aktual]]-Table1[[#This Row],[Jumlah Kompetitor]]</f>
        <v>-10</v>
      </c>
      <c r="N107" t="str">
        <f>IF(Table1[[#This Row],[vs Kompetitor]]&gt;0,"Win", "Lose")</f>
        <v>Lose</v>
      </c>
    </row>
    <row r="108" spans="1:14" x14ac:dyDescent="0.25">
      <c r="A108">
        <v>107</v>
      </c>
      <c r="B108" t="s">
        <v>7</v>
      </c>
      <c r="C108" t="s">
        <v>149</v>
      </c>
      <c r="D108">
        <v>1</v>
      </c>
      <c r="E108">
        <v>2021</v>
      </c>
      <c r="F108" s="2">
        <f>DATE(Table1[[#This Row],[Tahun]],Table1[[#This Row],[Bulan]],1)</f>
        <v>44197</v>
      </c>
      <c r="G108">
        <v>52</v>
      </c>
      <c r="H108">
        <v>50</v>
      </c>
      <c r="I108" s="6">
        <f>(Table1[[#This Row],[Aktual]]-Table1[[#This Row],[Target]])</f>
        <v>2</v>
      </c>
      <c r="J108" s="3">
        <f>(Table1[[#This Row],[Aktual]]-Table1[[#This Row],[Target]])/Table1[[#This Row],[Target]]</f>
        <v>0.04</v>
      </c>
      <c r="K108" t="str">
        <f>IF(Table1[[#This Row],[Performance Gap (%)]]&lt;0,"Tidak mencapai target", IF(Table1[[#This Row],[Performance Gap (%)]]=0,"Mencapai target", "Melebihi Target"))</f>
        <v>Melebihi Target</v>
      </c>
      <c r="L108">
        <f>VLOOKUP(Table1[[#This Row],[Propinsi]]&amp;"_"&amp;Table1[[#This Row],[Dati 2]]&amp;"_"&amp;Table1[[#This Row],[Tanggal]],Table2[[#All],[Kompetitor area]:[Jumlah Kompetitor]],7,0)</f>
        <v>50</v>
      </c>
      <c r="M108">
        <f>Table1[[#This Row],[Aktual]]-Table1[[#This Row],[Jumlah Kompetitor]]</f>
        <v>2</v>
      </c>
      <c r="N108" t="str">
        <f>IF(Table1[[#This Row],[vs Kompetitor]]&gt;0,"Win", "Lose")</f>
        <v>Win</v>
      </c>
    </row>
    <row r="109" spans="1:14" x14ac:dyDescent="0.25">
      <c r="A109">
        <v>108</v>
      </c>
      <c r="B109" t="s">
        <v>8</v>
      </c>
      <c r="C109" t="s">
        <v>150</v>
      </c>
      <c r="D109">
        <v>1</v>
      </c>
      <c r="E109">
        <v>2021</v>
      </c>
      <c r="F109" s="2">
        <f>DATE(Table1[[#This Row],[Tahun]],Table1[[#This Row],[Bulan]],1)</f>
        <v>44197</v>
      </c>
      <c r="G109">
        <v>618</v>
      </c>
      <c r="H109">
        <v>658</v>
      </c>
      <c r="I109" s="6">
        <f>(Table1[[#This Row],[Aktual]]-Table1[[#This Row],[Target]])</f>
        <v>-40</v>
      </c>
      <c r="J109" s="3">
        <f>(Table1[[#This Row],[Aktual]]-Table1[[#This Row],[Target]])/Table1[[#This Row],[Target]]</f>
        <v>-6.0790273556231005E-2</v>
      </c>
      <c r="K109" t="str">
        <f>IF(Table1[[#This Row],[Performance Gap (%)]]&lt;0,"Tidak mencapai target", IF(Table1[[#This Row],[Performance Gap (%)]]=0,"Mencapai target", "Melebihi Target"))</f>
        <v>Tidak mencapai target</v>
      </c>
      <c r="L109">
        <f>VLOOKUP(Table1[[#This Row],[Propinsi]]&amp;"_"&amp;Table1[[#This Row],[Dati 2]]&amp;"_"&amp;Table1[[#This Row],[Tanggal]],Table2[[#All],[Kompetitor area]:[Jumlah Kompetitor]],7,0)</f>
        <v>658</v>
      </c>
      <c r="M109">
        <f>Table1[[#This Row],[Aktual]]-Table1[[#This Row],[Jumlah Kompetitor]]</f>
        <v>-40</v>
      </c>
      <c r="N109" t="str">
        <f>IF(Table1[[#This Row],[vs Kompetitor]]&gt;0,"Win", "Lose")</f>
        <v>Lose</v>
      </c>
    </row>
    <row r="110" spans="1:14" x14ac:dyDescent="0.25">
      <c r="A110">
        <v>109</v>
      </c>
      <c r="B110" t="s">
        <v>8</v>
      </c>
      <c r="C110" t="s">
        <v>151</v>
      </c>
      <c r="D110">
        <v>1</v>
      </c>
      <c r="E110">
        <v>2021</v>
      </c>
      <c r="F110" s="2">
        <f>DATE(Table1[[#This Row],[Tahun]],Table1[[#This Row],[Bulan]],1)</f>
        <v>44197</v>
      </c>
      <c r="G110">
        <v>529</v>
      </c>
      <c r="H110">
        <v>509</v>
      </c>
      <c r="I110" s="6">
        <f>(Table1[[#This Row],[Aktual]]-Table1[[#This Row],[Target]])</f>
        <v>20</v>
      </c>
      <c r="J110" s="3">
        <f>(Table1[[#This Row],[Aktual]]-Table1[[#This Row],[Target]])/Table1[[#This Row],[Target]]</f>
        <v>3.9292730844793712E-2</v>
      </c>
      <c r="K110" t="str">
        <f>IF(Table1[[#This Row],[Performance Gap (%)]]&lt;0,"Tidak mencapai target", IF(Table1[[#This Row],[Performance Gap (%)]]=0,"Mencapai target", "Melebihi Target"))</f>
        <v>Melebihi Target</v>
      </c>
      <c r="L110">
        <f>VLOOKUP(Table1[[#This Row],[Propinsi]]&amp;"_"&amp;Table1[[#This Row],[Dati 2]]&amp;"_"&amp;Table1[[#This Row],[Tanggal]],Table2[[#All],[Kompetitor area]:[Jumlah Kompetitor]],7,0)</f>
        <v>509</v>
      </c>
      <c r="M110">
        <f>Table1[[#This Row],[Aktual]]-Table1[[#This Row],[Jumlah Kompetitor]]</f>
        <v>20</v>
      </c>
      <c r="N110" t="str">
        <f>IF(Table1[[#This Row],[vs Kompetitor]]&gt;0,"Win", "Lose")</f>
        <v>Win</v>
      </c>
    </row>
    <row r="111" spans="1:14" x14ac:dyDescent="0.25">
      <c r="A111">
        <v>110</v>
      </c>
      <c r="B111" t="s">
        <v>8</v>
      </c>
      <c r="C111" t="s">
        <v>152</v>
      </c>
      <c r="D111">
        <v>1</v>
      </c>
      <c r="E111">
        <v>2021</v>
      </c>
      <c r="F111" s="2">
        <f>DATE(Table1[[#This Row],[Tahun]],Table1[[#This Row],[Bulan]],1)</f>
        <v>44197</v>
      </c>
      <c r="G111">
        <v>179</v>
      </c>
      <c r="H111">
        <v>163</v>
      </c>
      <c r="I111" s="6">
        <f>(Table1[[#This Row],[Aktual]]-Table1[[#This Row],[Target]])</f>
        <v>16</v>
      </c>
      <c r="J111" s="3">
        <f>(Table1[[#This Row],[Aktual]]-Table1[[#This Row],[Target]])/Table1[[#This Row],[Target]]</f>
        <v>9.815950920245399E-2</v>
      </c>
      <c r="K111" t="str">
        <f>IF(Table1[[#This Row],[Performance Gap (%)]]&lt;0,"Tidak mencapai target", IF(Table1[[#This Row],[Performance Gap (%)]]=0,"Mencapai target", "Melebihi Target"))</f>
        <v>Melebihi Target</v>
      </c>
      <c r="L111">
        <f>VLOOKUP(Table1[[#This Row],[Propinsi]]&amp;"_"&amp;Table1[[#This Row],[Dati 2]]&amp;"_"&amp;Table1[[#This Row],[Tanggal]],Table2[[#All],[Kompetitor area]:[Jumlah Kompetitor]],7,0)</f>
        <v>163</v>
      </c>
      <c r="M111">
        <f>Table1[[#This Row],[Aktual]]-Table1[[#This Row],[Jumlah Kompetitor]]</f>
        <v>16</v>
      </c>
      <c r="N111" t="str">
        <f>IF(Table1[[#This Row],[vs Kompetitor]]&gt;0,"Win", "Lose")</f>
        <v>Win</v>
      </c>
    </row>
    <row r="112" spans="1:14" x14ac:dyDescent="0.25">
      <c r="A112">
        <v>111</v>
      </c>
      <c r="B112" t="s">
        <v>8</v>
      </c>
      <c r="C112" t="s">
        <v>153</v>
      </c>
      <c r="D112">
        <v>1</v>
      </c>
      <c r="E112">
        <v>2021</v>
      </c>
      <c r="F112" s="2">
        <f>DATE(Table1[[#This Row],[Tahun]],Table1[[#This Row],[Bulan]],1)</f>
        <v>44197</v>
      </c>
      <c r="G112">
        <v>407</v>
      </c>
      <c r="H112">
        <v>424</v>
      </c>
      <c r="I112" s="6">
        <f>(Table1[[#This Row],[Aktual]]-Table1[[#This Row],[Target]])</f>
        <v>-17</v>
      </c>
      <c r="J112" s="3">
        <f>(Table1[[#This Row],[Aktual]]-Table1[[#This Row],[Target]])/Table1[[#This Row],[Target]]</f>
        <v>-4.0094339622641507E-2</v>
      </c>
      <c r="K112" t="str">
        <f>IF(Table1[[#This Row],[Performance Gap (%)]]&lt;0,"Tidak mencapai target", IF(Table1[[#This Row],[Performance Gap (%)]]=0,"Mencapai target", "Melebihi Target"))</f>
        <v>Tidak mencapai target</v>
      </c>
      <c r="L112">
        <f>VLOOKUP(Table1[[#This Row],[Propinsi]]&amp;"_"&amp;Table1[[#This Row],[Dati 2]]&amp;"_"&amp;Table1[[#This Row],[Tanggal]],Table2[[#All],[Kompetitor area]:[Jumlah Kompetitor]],7,0)</f>
        <v>424</v>
      </c>
      <c r="M112">
        <f>Table1[[#This Row],[Aktual]]-Table1[[#This Row],[Jumlah Kompetitor]]</f>
        <v>-17</v>
      </c>
      <c r="N112" t="str">
        <f>IF(Table1[[#This Row],[vs Kompetitor]]&gt;0,"Win", "Lose")</f>
        <v>Lose</v>
      </c>
    </row>
    <row r="113" spans="1:14" x14ac:dyDescent="0.25">
      <c r="A113">
        <v>112</v>
      </c>
      <c r="B113" t="s">
        <v>8</v>
      </c>
      <c r="C113" t="s">
        <v>154</v>
      </c>
      <c r="D113">
        <v>1</v>
      </c>
      <c r="E113">
        <v>2021</v>
      </c>
      <c r="F113" s="2">
        <f>DATE(Table1[[#This Row],[Tahun]],Table1[[#This Row],[Bulan]],1)</f>
        <v>44197</v>
      </c>
      <c r="G113">
        <v>240</v>
      </c>
      <c r="H113">
        <v>240</v>
      </c>
      <c r="I113" s="6">
        <f>(Table1[[#This Row],[Aktual]]-Table1[[#This Row],[Target]])</f>
        <v>0</v>
      </c>
      <c r="J113" s="3">
        <f>(Table1[[#This Row],[Aktual]]-Table1[[#This Row],[Target]])/Table1[[#This Row],[Target]]</f>
        <v>0</v>
      </c>
      <c r="K113" t="str">
        <f>IF(Table1[[#This Row],[Performance Gap (%)]]&lt;0,"Tidak mencapai target", IF(Table1[[#This Row],[Performance Gap (%)]]=0,"Mencapai target", "Melebihi Target"))</f>
        <v>Mencapai target</v>
      </c>
      <c r="L113">
        <f>VLOOKUP(Table1[[#This Row],[Propinsi]]&amp;"_"&amp;Table1[[#This Row],[Dati 2]]&amp;"_"&amp;Table1[[#This Row],[Tanggal]],Table2[[#All],[Kompetitor area]:[Jumlah Kompetitor]],7,0)</f>
        <v>240</v>
      </c>
      <c r="M113">
        <f>Table1[[#This Row],[Aktual]]-Table1[[#This Row],[Jumlah Kompetitor]]</f>
        <v>0</v>
      </c>
      <c r="N113" t="str">
        <f>IF(Table1[[#This Row],[vs Kompetitor]]&gt;0,"Win", "Lose")</f>
        <v>Lose</v>
      </c>
    </row>
    <row r="114" spans="1:14" x14ac:dyDescent="0.25">
      <c r="A114">
        <v>113</v>
      </c>
      <c r="B114" t="s">
        <v>8</v>
      </c>
      <c r="C114" t="s">
        <v>155</v>
      </c>
      <c r="D114">
        <v>1</v>
      </c>
      <c r="E114">
        <v>2021</v>
      </c>
      <c r="F114" s="2">
        <f>DATE(Table1[[#This Row],[Tahun]],Table1[[#This Row],[Bulan]],1)</f>
        <v>44197</v>
      </c>
      <c r="G114">
        <v>334</v>
      </c>
      <c r="H114">
        <v>325</v>
      </c>
      <c r="I114" s="6">
        <f>(Table1[[#This Row],[Aktual]]-Table1[[#This Row],[Target]])</f>
        <v>9</v>
      </c>
      <c r="J114" s="3">
        <f>(Table1[[#This Row],[Aktual]]-Table1[[#This Row],[Target]])/Table1[[#This Row],[Target]]</f>
        <v>2.7692307692307693E-2</v>
      </c>
      <c r="K114" t="str">
        <f>IF(Table1[[#This Row],[Performance Gap (%)]]&lt;0,"Tidak mencapai target", IF(Table1[[#This Row],[Performance Gap (%)]]=0,"Mencapai target", "Melebihi Target"))</f>
        <v>Melebihi Target</v>
      </c>
      <c r="L114">
        <f>VLOOKUP(Table1[[#This Row],[Propinsi]]&amp;"_"&amp;Table1[[#This Row],[Dati 2]]&amp;"_"&amp;Table1[[#This Row],[Tanggal]],Table2[[#All],[Kompetitor area]:[Jumlah Kompetitor]],7,0)</f>
        <v>325</v>
      </c>
      <c r="M114">
        <f>Table1[[#This Row],[Aktual]]-Table1[[#This Row],[Jumlah Kompetitor]]</f>
        <v>9</v>
      </c>
      <c r="N114" t="str">
        <f>IF(Table1[[#This Row],[vs Kompetitor]]&gt;0,"Win", "Lose")</f>
        <v>Win</v>
      </c>
    </row>
    <row r="115" spans="1:14" x14ac:dyDescent="0.25">
      <c r="A115">
        <v>114</v>
      </c>
      <c r="B115" t="s">
        <v>8</v>
      </c>
      <c r="C115" t="s">
        <v>156</v>
      </c>
      <c r="D115">
        <v>1</v>
      </c>
      <c r="E115">
        <v>2021</v>
      </c>
      <c r="F115" s="2">
        <f>DATE(Table1[[#This Row],[Tahun]],Table1[[#This Row],[Bulan]],1)</f>
        <v>44197</v>
      </c>
      <c r="G115">
        <v>137</v>
      </c>
      <c r="H115">
        <v>130</v>
      </c>
      <c r="I115" s="6">
        <f>(Table1[[#This Row],[Aktual]]-Table1[[#This Row],[Target]])</f>
        <v>7</v>
      </c>
      <c r="J115" s="3">
        <f>(Table1[[#This Row],[Aktual]]-Table1[[#This Row],[Target]])/Table1[[#This Row],[Target]]</f>
        <v>5.3846153846153849E-2</v>
      </c>
      <c r="K115" t="str">
        <f>IF(Table1[[#This Row],[Performance Gap (%)]]&lt;0,"Tidak mencapai target", IF(Table1[[#This Row],[Performance Gap (%)]]=0,"Mencapai target", "Melebihi Target"))</f>
        <v>Melebihi Target</v>
      </c>
      <c r="L115">
        <f>VLOOKUP(Table1[[#This Row],[Propinsi]]&amp;"_"&amp;Table1[[#This Row],[Dati 2]]&amp;"_"&amp;Table1[[#This Row],[Tanggal]],Table2[[#All],[Kompetitor area]:[Jumlah Kompetitor]],7,0)</f>
        <v>130</v>
      </c>
      <c r="M115">
        <f>Table1[[#This Row],[Aktual]]-Table1[[#This Row],[Jumlah Kompetitor]]</f>
        <v>7</v>
      </c>
      <c r="N115" t="str">
        <f>IF(Table1[[#This Row],[vs Kompetitor]]&gt;0,"Win", "Lose")</f>
        <v>Win</v>
      </c>
    </row>
    <row r="116" spans="1:14" x14ac:dyDescent="0.25">
      <c r="A116">
        <v>115</v>
      </c>
      <c r="B116" t="s">
        <v>8</v>
      </c>
      <c r="C116" t="s">
        <v>157</v>
      </c>
      <c r="D116">
        <v>1</v>
      </c>
      <c r="E116">
        <v>2021</v>
      </c>
      <c r="F116" s="2">
        <f>DATE(Table1[[#This Row],[Tahun]],Table1[[#This Row],[Bulan]],1)</f>
        <v>44197</v>
      </c>
      <c r="G116">
        <v>232</v>
      </c>
      <c r="H116">
        <v>213</v>
      </c>
      <c r="I116" s="6">
        <f>(Table1[[#This Row],[Aktual]]-Table1[[#This Row],[Target]])</f>
        <v>19</v>
      </c>
      <c r="J116" s="3">
        <f>(Table1[[#This Row],[Aktual]]-Table1[[#This Row],[Target]])/Table1[[#This Row],[Target]]</f>
        <v>8.9201877934272297E-2</v>
      </c>
      <c r="K116" t="str">
        <f>IF(Table1[[#This Row],[Performance Gap (%)]]&lt;0,"Tidak mencapai target", IF(Table1[[#This Row],[Performance Gap (%)]]=0,"Mencapai target", "Melebihi Target"))</f>
        <v>Melebihi Target</v>
      </c>
      <c r="L116">
        <f>VLOOKUP(Table1[[#This Row],[Propinsi]]&amp;"_"&amp;Table1[[#This Row],[Dati 2]]&amp;"_"&amp;Table1[[#This Row],[Tanggal]],Table2[[#All],[Kompetitor area]:[Jumlah Kompetitor]],7,0)</f>
        <v>213</v>
      </c>
      <c r="M116">
        <f>Table1[[#This Row],[Aktual]]-Table1[[#This Row],[Jumlah Kompetitor]]</f>
        <v>19</v>
      </c>
      <c r="N116" t="str">
        <f>IF(Table1[[#This Row],[vs Kompetitor]]&gt;0,"Win", "Lose")</f>
        <v>Win</v>
      </c>
    </row>
    <row r="117" spans="1:14" x14ac:dyDescent="0.25">
      <c r="A117">
        <v>116</v>
      </c>
      <c r="B117" t="s">
        <v>8</v>
      </c>
      <c r="C117" t="s">
        <v>158</v>
      </c>
      <c r="D117">
        <v>1</v>
      </c>
      <c r="E117">
        <v>2021</v>
      </c>
      <c r="F117" s="2">
        <f>DATE(Table1[[#This Row],[Tahun]],Table1[[#This Row],[Bulan]],1)</f>
        <v>44197</v>
      </c>
      <c r="G117">
        <v>176</v>
      </c>
      <c r="H117">
        <v>182</v>
      </c>
      <c r="I117" s="6">
        <f>(Table1[[#This Row],[Aktual]]-Table1[[#This Row],[Target]])</f>
        <v>-6</v>
      </c>
      <c r="J117" s="3">
        <f>(Table1[[#This Row],[Aktual]]-Table1[[#This Row],[Target]])/Table1[[#This Row],[Target]]</f>
        <v>-3.2967032967032968E-2</v>
      </c>
      <c r="K117" t="str">
        <f>IF(Table1[[#This Row],[Performance Gap (%)]]&lt;0,"Tidak mencapai target", IF(Table1[[#This Row],[Performance Gap (%)]]=0,"Mencapai target", "Melebihi Target"))</f>
        <v>Tidak mencapai target</v>
      </c>
      <c r="L117">
        <f>VLOOKUP(Table1[[#This Row],[Propinsi]]&amp;"_"&amp;Table1[[#This Row],[Dati 2]]&amp;"_"&amp;Table1[[#This Row],[Tanggal]],Table2[[#All],[Kompetitor area]:[Jumlah Kompetitor]],7,0)</f>
        <v>182</v>
      </c>
      <c r="M117">
        <f>Table1[[#This Row],[Aktual]]-Table1[[#This Row],[Jumlah Kompetitor]]</f>
        <v>-6</v>
      </c>
      <c r="N117" t="str">
        <f>IF(Table1[[#This Row],[vs Kompetitor]]&gt;0,"Win", "Lose")</f>
        <v>Lose</v>
      </c>
    </row>
    <row r="118" spans="1:14" x14ac:dyDescent="0.25">
      <c r="A118">
        <v>117</v>
      </c>
      <c r="B118" t="s">
        <v>8</v>
      </c>
      <c r="C118" t="s">
        <v>159</v>
      </c>
      <c r="D118">
        <v>1</v>
      </c>
      <c r="E118">
        <v>2021</v>
      </c>
      <c r="F118" s="2">
        <f>DATE(Table1[[#This Row],[Tahun]],Table1[[#This Row],[Bulan]],1)</f>
        <v>44197</v>
      </c>
      <c r="G118">
        <v>168</v>
      </c>
      <c r="H118">
        <v>159</v>
      </c>
      <c r="I118" s="6">
        <f>(Table1[[#This Row],[Aktual]]-Table1[[#This Row],[Target]])</f>
        <v>9</v>
      </c>
      <c r="J118" s="3">
        <f>(Table1[[#This Row],[Aktual]]-Table1[[#This Row],[Target]])/Table1[[#This Row],[Target]]</f>
        <v>5.6603773584905662E-2</v>
      </c>
      <c r="K118" t="str">
        <f>IF(Table1[[#This Row],[Performance Gap (%)]]&lt;0,"Tidak mencapai target", IF(Table1[[#This Row],[Performance Gap (%)]]=0,"Mencapai target", "Melebihi Target"))</f>
        <v>Melebihi Target</v>
      </c>
      <c r="L118">
        <f>VLOOKUP(Table1[[#This Row],[Propinsi]]&amp;"_"&amp;Table1[[#This Row],[Dati 2]]&amp;"_"&amp;Table1[[#This Row],[Tanggal]],Table2[[#All],[Kompetitor area]:[Jumlah Kompetitor]],7,0)</f>
        <v>159</v>
      </c>
      <c r="M118">
        <f>Table1[[#This Row],[Aktual]]-Table1[[#This Row],[Jumlah Kompetitor]]</f>
        <v>9</v>
      </c>
      <c r="N118" t="str">
        <f>IF(Table1[[#This Row],[vs Kompetitor]]&gt;0,"Win", "Lose")</f>
        <v>Win</v>
      </c>
    </row>
    <row r="119" spans="1:14" x14ac:dyDescent="0.25">
      <c r="A119">
        <v>118</v>
      </c>
      <c r="B119" t="s">
        <v>8</v>
      </c>
      <c r="C119" t="s">
        <v>160</v>
      </c>
      <c r="D119">
        <v>1</v>
      </c>
      <c r="E119">
        <v>2021</v>
      </c>
      <c r="F119" s="2">
        <f>DATE(Table1[[#This Row],[Tahun]],Table1[[#This Row],[Bulan]],1)</f>
        <v>44197</v>
      </c>
      <c r="G119">
        <v>104</v>
      </c>
      <c r="H119">
        <v>93</v>
      </c>
      <c r="I119" s="6">
        <f>(Table1[[#This Row],[Aktual]]-Table1[[#This Row],[Target]])</f>
        <v>11</v>
      </c>
      <c r="J119" s="3">
        <f>(Table1[[#This Row],[Aktual]]-Table1[[#This Row],[Target]])/Table1[[#This Row],[Target]]</f>
        <v>0.11827956989247312</v>
      </c>
      <c r="K119" t="str">
        <f>IF(Table1[[#This Row],[Performance Gap (%)]]&lt;0,"Tidak mencapai target", IF(Table1[[#This Row],[Performance Gap (%)]]=0,"Mencapai target", "Melebihi Target"))</f>
        <v>Melebihi Target</v>
      </c>
      <c r="L119">
        <f>VLOOKUP(Table1[[#This Row],[Propinsi]]&amp;"_"&amp;Table1[[#This Row],[Dati 2]]&amp;"_"&amp;Table1[[#This Row],[Tanggal]],Table2[[#All],[Kompetitor area]:[Jumlah Kompetitor]],7,0)</f>
        <v>93</v>
      </c>
      <c r="M119">
        <f>Table1[[#This Row],[Aktual]]-Table1[[#This Row],[Jumlah Kompetitor]]</f>
        <v>11</v>
      </c>
      <c r="N119" t="str">
        <f>IF(Table1[[#This Row],[vs Kompetitor]]&gt;0,"Win", "Lose")</f>
        <v>Win</v>
      </c>
    </row>
    <row r="120" spans="1:14" x14ac:dyDescent="0.25">
      <c r="A120">
        <v>119</v>
      </c>
      <c r="B120" t="s">
        <v>8</v>
      </c>
      <c r="C120" t="s">
        <v>161</v>
      </c>
      <c r="D120">
        <v>1</v>
      </c>
      <c r="E120">
        <v>2021</v>
      </c>
      <c r="F120" s="2">
        <f>DATE(Table1[[#This Row],[Tahun]],Table1[[#This Row],[Bulan]],1)</f>
        <v>44197</v>
      </c>
      <c r="G120">
        <v>185</v>
      </c>
      <c r="H120">
        <v>167</v>
      </c>
      <c r="I120" s="6">
        <f>(Table1[[#This Row],[Aktual]]-Table1[[#This Row],[Target]])</f>
        <v>18</v>
      </c>
      <c r="J120" s="3">
        <f>(Table1[[#This Row],[Aktual]]-Table1[[#This Row],[Target]])/Table1[[#This Row],[Target]]</f>
        <v>0.10778443113772455</v>
      </c>
      <c r="K120" t="str">
        <f>IF(Table1[[#This Row],[Performance Gap (%)]]&lt;0,"Tidak mencapai target", IF(Table1[[#This Row],[Performance Gap (%)]]=0,"Mencapai target", "Melebihi Target"))</f>
        <v>Melebihi Target</v>
      </c>
      <c r="L120">
        <f>VLOOKUP(Table1[[#This Row],[Propinsi]]&amp;"_"&amp;Table1[[#This Row],[Dati 2]]&amp;"_"&amp;Table1[[#This Row],[Tanggal]],Table2[[#All],[Kompetitor area]:[Jumlah Kompetitor]],7,0)</f>
        <v>167</v>
      </c>
      <c r="M120">
        <f>Table1[[#This Row],[Aktual]]-Table1[[#This Row],[Jumlah Kompetitor]]</f>
        <v>18</v>
      </c>
      <c r="N120" t="str">
        <f>IF(Table1[[#This Row],[vs Kompetitor]]&gt;0,"Win", "Lose")</f>
        <v>Win</v>
      </c>
    </row>
    <row r="121" spans="1:14" x14ac:dyDescent="0.25">
      <c r="A121">
        <v>120</v>
      </c>
      <c r="B121" t="s">
        <v>8</v>
      </c>
      <c r="C121" t="s">
        <v>162</v>
      </c>
      <c r="D121">
        <v>1</v>
      </c>
      <c r="E121">
        <v>2021</v>
      </c>
      <c r="F121" s="2">
        <f>DATE(Table1[[#This Row],[Tahun]],Table1[[#This Row],[Bulan]],1)</f>
        <v>44197</v>
      </c>
      <c r="G121">
        <v>107</v>
      </c>
      <c r="H121">
        <v>112</v>
      </c>
      <c r="I121" s="6">
        <f>(Table1[[#This Row],[Aktual]]-Table1[[#This Row],[Target]])</f>
        <v>-5</v>
      </c>
      <c r="J121" s="3">
        <f>(Table1[[#This Row],[Aktual]]-Table1[[#This Row],[Target]])/Table1[[#This Row],[Target]]</f>
        <v>-4.4642857142857144E-2</v>
      </c>
      <c r="K121" t="str">
        <f>IF(Table1[[#This Row],[Performance Gap (%)]]&lt;0,"Tidak mencapai target", IF(Table1[[#This Row],[Performance Gap (%)]]=0,"Mencapai target", "Melebihi Target"))</f>
        <v>Tidak mencapai target</v>
      </c>
      <c r="L121">
        <f>VLOOKUP(Table1[[#This Row],[Propinsi]]&amp;"_"&amp;Table1[[#This Row],[Dati 2]]&amp;"_"&amp;Table1[[#This Row],[Tanggal]],Table2[[#All],[Kompetitor area]:[Jumlah Kompetitor]],7,0)</f>
        <v>112</v>
      </c>
      <c r="M121">
        <f>Table1[[#This Row],[Aktual]]-Table1[[#This Row],[Jumlah Kompetitor]]</f>
        <v>-5</v>
      </c>
      <c r="N121" t="str">
        <f>IF(Table1[[#This Row],[vs Kompetitor]]&gt;0,"Win", "Lose")</f>
        <v>Lose</v>
      </c>
    </row>
    <row r="122" spans="1:14" x14ac:dyDescent="0.25">
      <c r="A122">
        <v>121</v>
      </c>
      <c r="B122" t="s">
        <v>8</v>
      </c>
      <c r="C122" t="s">
        <v>163</v>
      </c>
      <c r="D122">
        <v>1</v>
      </c>
      <c r="E122">
        <v>2021</v>
      </c>
      <c r="F122" s="2">
        <f>DATE(Table1[[#This Row],[Tahun]],Table1[[#This Row],[Bulan]],1)</f>
        <v>44197</v>
      </c>
      <c r="G122">
        <v>246</v>
      </c>
      <c r="H122">
        <v>257</v>
      </c>
      <c r="I122" s="6">
        <f>(Table1[[#This Row],[Aktual]]-Table1[[#This Row],[Target]])</f>
        <v>-11</v>
      </c>
      <c r="J122" s="3">
        <f>(Table1[[#This Row],[Aktual]]-Table1[[#This Row],[Target]])/Table1[[#This Row],[Target]]</f>
        <v>-4.2801556420233464E-2</v>
      </c>
      <c r="K122" t="str">
        <f>IF(Table1[[#This Row],[Performance Gap (%)]]&lt;0,"Tidak mencapai target", IF(Table1[[#This Row],[Performance Gap (%)]]=0,"Mencapai target", "Melebihi Target"))</f>
        <v>Tidak mencapai target</v>
      </c>
      <c r="L122">
        <f>VLOOKUP(Table1[[#This Row],[Propinsi]]&amp;"_"&amp;Table1[[#This Row],[Dati 2]]&amp;"_"&amp;Table1[[#This Row],[Tanggal]],Table2[[#All],[Kompetitor area]:[Jumlah Kompetitor]],7,0)</f>
        <v>257</v>
      </c>
      <c r="M122">
        <f>Table1[[#This Row],[Aktual]]-Table1[[#This Row],[Jumlah Kompetitor]]</f>
        <v>-11</v>
      </c>
      <c r="N122" t="str">
        <f>IF(Table1[[#This Row],[vs Kompetitor]]&gt;0,"Win", "Lose")</f>
        <v>Lose</v>
      </c>
    </row>
    <row r="123" spans="1:14" x14ac:dyDescent="0.25">
      <c r="A123">
        <v>122</v>
      </c>
      <c r="B123" t="s">
        <v>8</v>
      </c>
      <c r="C123" t="s">
        <v>164</v>
      </c>
      <c r="D123">
        <v>1</v>
      </c>
      <c r="E123">
        <v>2021</v>
      </c>
      <c r="F123" s="2">
        <f>DATE(Table1[[#This Row],[Tahun]],Table1[[#This Row],[Bulan]],1)</f>
        <v>44197</v>
      </c>
      <c r="G123">
        <v>279</v>
      </c>
      <c r="H123">
        <v>256</v>
      </c>
      <c r="I123" s="6">
        <f>(Table1[[#This Row],[Aktual]]-Table1[[#This Row],[Target]])</f>
        <v>23</v>
      </c>
      <c r="J123" s="3">
        <f>(Table1[[#This Row],[Aktual]]-Table1[[#This Row],[Target]])/Table1[[#This Row],[Target]]</f>
        <v>8.984375E-2</v>
      </c>
      <c r="K123" t="str">
        <f>IF(Table1[[#This Row],[Performance Gap (%)]]&lt;0,"Tidak mencapai target", IF(Table1[[#This Row],[Performance Gap (%)]]=0,"Mencapai target", "Melebihi Target"))</f>
        <v>Melebihi Target</v>
      </c>
      <c r="L123">
        <f>VLOOKUP(Table1[[#This Row],[Propinsi]]&amp;"_"&amp;Table1[[#This Row],[Dati 2]]&amp;"_"&amp;Table1[[#This Row],[Tanggal]],Table2[[#All],[Kompetitor area]:[Jumlah Kompetitor]],7,0)</f>
        <v>256</v>
      </c>
      <c r="M123">
        <f>Table1[[#This Row],[Aktual]]-Table1[[#This Row],[Jumlah Kompetitor]]</f>
        <v>23</v>
      </c>
      <c r="N123" t="str">
        <f>IF(Table1[[#This Row],[vs Kompetitor]]&gt;0,"Win", "Lose")</f>
        <v>Win</v>
      </c>
    </row>
    <row r="124" spans="1:14" x14ac:dyDescent="0.25">
      <c r="A124">
        <v>123</v>
      </c>
      <c r="B124" t="s">
        <v>6</v>
      </c>
      <c r="C124" t="s">
        <v>43</v>
      </c>
      <c r="D124">
        <v>2</v>
      </c>
      <c r="E124">
        <v>2021</v>
      </c>
      <c r="F124" s="2">
        <f>DATE(Table1[[#This Row],[Tahun]],Table1[[#This Row],[Bulan]],1)</f>
        <v>44228</v>
      </c>
      <c r="G124">
        <v>1361</v>
      </c>
      <c r="H124">
        <v>1242</v>
      </c>
      <c r="I124" s="6">
        <f>(Table1[[#This Row],[Aktual]]-Table1[[#This Row],[Target]])</f>
        <v>119</v>
      </c>
      <c r="J124" s="3">
        <f>(Table1[[#This Row],[Aktual]]-Table1[[#This Row],[Target]])/Table1[[#This Row],[Target]]</f>
        <v>9.5813204508856678E-2</v>
      </c>
      <c r="K124" t="str">
        <f>IF(Table1[[#This Row],[Performance Gap (%)]]&lt;0,"Tidak mencapai target", IF(Table1[[#This Row],[Performance Gap (%)]]=0,"Mencapai target", "Melebihi Target"))</f>
        <v>Melebihi Target</v>
      </c>
      <c r="L124">
        <f>VLOOKUP(Table1[[#This Row],[Propinsi]]&amp;"_"&amp;Table1[[#This Row],[Dati 2]]&amp;"_"&amp;Table1[[#This Row],[Tanggal]],Table2[[#All],[Kompetitor area]:[Jumlah Kompetitor]],7,0)</f>
        <v>341</v>
      </c>
      <c r="M124">
        <f>Table1[[#This Row],[Aktual]]-Table1[[#This Row],[Jumlah Kompetitor]]</f>
        <v>1020</v>
      </c>
      <c r="N124" t="str">
        <f>IF(Table1[[#This Row],[vs Kompetitor]]&gt;0,"Win", "Lose")</f>
        <v>Win</v>
      </c>
    </row>
    <row r="125" spans="1:14" x14ac:dyDescent="0.25">
      <c r="A125">
        <v>124</v>
      </c>
      <c r="B125" t="s">
        <v>6</v>
      </c>
      <c r="C125" t="s">
        <v>44</v>
      </c>
      <c r="D125">
        <v>2</v>
      </c>
      <c r="E125">
        <v>2021</v>
      </c>
      <c r="F125" s="2">
        <f>DATE(Table1[[#This Row],[Tahun]],Table1[[#This Row],[Bulan]],1)</f>
        <v>44228</v>
      </c>
      <c r="G125">
        <v>686</v>
      </c>
      <c r="H125">
        <v>696</v>
      </c>
      <c r="I125" s="6">
        <f>(Table1[[#This Row],[Aktual]]-Table1[[#This Row],[Target]])</f>
        <v>-10</v>
      </c>
      <c r="J125" s="3">
        <f>(Table1[[#This Row],[Aktual]]-Table1[[#This Row],[Target]])/Table1[[#This Row],[Target]]</f>
        <v>-1.4367816091954023E-2</v>
      </c>
      <c r="K125" t="str">
        <f>IF(Table1[[#This Row],[Performance Gap (%)]]&lt;0,"Tidak mencapai target", IF(Table1[[#This Row],[Performance Gap (%)]]=0,"Mencapai target", "Melebihi Target"))</f>
        <v>Tidak mencapai target</v>
      </c>
      <c r="L125">
        <f>VLOOKUP(Table1[[#This Row],[Propinsi]]&amp;"_"&amp;Table1[[#This Row],[Dati 2]]&amp;"_"&amp;Table1[[#This Row],[Tanggal]],Table2[[#All],[Kompetitor area]:[Jumlah Kompetitor]],7,0)</f>
        <v>142</v>
      </c>
      <c r="M125">
        <f>Table1[[#This Row],[Aktual]]-Table1[[#This Row],[Jumlah Kompetitor]]</f>
        <v>544</v>
      </c>
      <c r="N125" t="str">
        <f>IF(Table1[[#This Row],[vs Kompetitor]]&gt;0,"Win", "Lose")</f>
        <v>Win</v>
      </c>
    </row>
    <row r="126" spans="1:14" x14ac:dyDescent="0.25">
      <c r="A126">
        <v>125</v>
      </c>
      <c r="B126" t="s">
        <v>6</v>
      </c>
      <c r="C126" t="s">
        <v>45</v>
      </c>
      <c r="D126">
        <v>2</v>
      </c>
      <c r="E126">
        <v>2021</v>
      </c>
      <c r="F126" s="2">
        <f>DATE(Table1[[#This Row],[Tahun]],Table1[[#This Row],[Bulan]],1)</f>
        <v>44228</v>
      </c>
      <c r="G126">
        <v>862</v>
      </c>
      <c r="H126">
        <v>798</v>
      </c>
      <c r="I126" s="6">
        <f>(Table1[[#This Row],[Aktual]]-Table1[[#This Row],[Target]])</f>
        <v>64</v>
      </c>
      <c r="J126" s="3">
        <f>(Table1[[#This Row],[Aktual]]-Table1[[#This Row],[Target]])/Table1[[#This Row],[Target]]</f>
        <v>8.0200501253132828E-2</v>
      </c>
      <c r="K126" t="str">
        <f>IF(Table1[[#This Row],[Performance Gap (%)]]&lt;0,"Tidak mencapai target", IF(Table1[[#This Row],[Performance Gap (%)]]=0,"Mencapai target", "Melebihi Target"))</f>
        <v>Melebihi Target</v>
      </c>
      <c r="L126">
        <f>VLOOKUP(Table1[[#This Row],[Propinsi]]&amp;"_"&amp;Table1[[#This Row],[Dati 2]]&amp;"_"&amp;Table1[[#This Row],[Tanggal]],Table2[[#All],[Kompetitor area]:[Jumlah Kompetitor]],7,0)</f>
        <v>222</v>
      </c>
      <c r="M126">
        <f>Table1[[#This Row],[Aktual]]-Table1[[#This Row],[Jumlah Kompetitor]]</f>
        <v>640</v>
      </c>
      <c r="N126" t="str">
        <f>IF(Table1[[#This Row],[vs Kompetitor]]&gt;0,"Win", "Lose")</f>
        <v>Win</v>
      </c>
    </row>
    <row r="127" spans="1:14" x14ac:dyDescent="0.25">
      <c r="A127">
        <v>126</v>
      </c>
      <c r="B127" t="s">
        <v>6</v>
      </c>
      <c r="C127" t="s">
        <v>46</v>
      </c>
      <c r="D127">
        <v>2</v>
      </c>
      <c r="E127">
        <v>2021</v>
      </c>
      <c r="F127" s="2">
        <f>DATE(Table1[[#This Row],[Tahun]],Table1[[#This Row],[Bulan]],1)</f>
        <v>44228</v>
      </c>
      <c r="G127">
        <v>108</v>
      </c>
      <c r="H127">
        <v>107</v>
      </c>
      <c r="I127" s="6">
        <f>(Table1[[#This Row],[Aktual]]-Table1[[#This Row],[Target]])</f>
        <v>1</v>
      </c>
      <c r="J127" s="3">
        <f>(Table1[[#This Row],[Aktual]]-Table1[[#This Row],[Target]])/Table1[[#This Row],[Target]]</f>
        <v>9.3457943925233638E-3</v>
      </c>
      <c r="K127" t="str">
        <f>IF(Table1[[#This Row],[Performance Gap (%)]]&lt;0,"Tidak mencapai target", IF(Table1[[#This Row],[Performance Gap (%)]]=0,"Mencapai target", "Melebihi Target"))</f>
        <v>Melebihi Target</v>
      </c>
      <c r="L127">
        <f>VLOOKUP(Table1[[#This Row],[Propinsi]]&amp;"_"&amp;Table1[[#This Row],[Dati 2]]&amp;"_"&amp;Table1[[#This Row],[Tanggal]],Table2[[#All],[Kompetitor area]:[Jumlah Kompetitor]],7,0)</f>
        <v>141</v>
      </c>
      <c r="M127">
        <f>Table1[[#This Row],[Aktual]]-Table1[[#This Row],[Jumlah Kompetitor]]</f>
        <v>-33</v>
      </c>
      <c r="N127" t="str">
        <f>IF(Table1[[#This Row],[vs Kompetitor]]&gt;0,"Win", "Lose")</f>
        <v>Lose</v>
      </c>
    </row>
    <row r="128" spans="1:14" x14ac:dyDescent="0.25">
      <c r="A128">
        <v>127</v>
      </c>
      <c r="B128" t="s">
        <v>6</v>
      </c>
      <c r="C128" t="s">
        <v>47</v>
      </c>
      <c r="D128">
        <v>2</v>
      </c>
      <c r="E128">
        <v>2021</v>
      </c>
      <c r="F128" s="2">
        <f>DATE(Table1[[#This Row],[Tahun]],Table1[[#This Row],[Bulan]],1)</f>
        <v>44228</v>
      </c>
      <c r="G128">
        <v>1124</v>
      </c>
      <c r="H128">
        <v>1147</v>
      </c>
      <c r="I128" s="6">
        <f>(Table1[[#This Row],[Aktual]]-Table1[[#This Row],[Target]])</f>
        <v>-23</v>
      </c>
      <c r="J128" s="3">
        <f>(Table1[[#This Row],[Aktual]]-Table1[[#This Row],[Target]])/Table1[[#This Row],[Target]]</f>
        <v>-2.0052310374891021E-2</v>
      </c>
      <c r="K128" t="str">
        <f>IF(Table1[[#This Row],[Performance Gap (%)]]&lt;0,"Tidak mencapai target", IF(Table1[[#This Row],[Performance Gap (%)]]=0,"Mencapai target", "Melebihi Target"))</f>
        <v>Tidak mencapai target</v>
      </c>
      <c r="L128">
        <f>VLOOKUP(Table1[[#This Row],[Propinsi]]&amp;"_"&amp;Table1[[#This Row],[Dati 2]]&amp;"_"&amp;Table1[[#This Row],[Tanggal]],Table2[[#All],[Kompetitor area]:[Jumlah Kompetitor]],7,0)</f>
        <v>17</v>
      </c>
      <c r="M128">
        <f>Table1[[#This Row],[Aktual]]-Table1[[#This Row],[Jumlah Kompetitor]]</f>
        <v>1107</v>
      </c>
      <c r="N128" t="str">
        <f>IF(Table1[[#This Row],[vs Kompetitor]]&gt;0,"Win", "Lose")</f>
        <v>Win</v>
      </c>
    </row>
    <row r="129" spans="1:14" x14ac:dyDescent="0.25">
      <c r="A129">
        <v>128</v>
      </c>
      <c r="B129" t="s">
        <v>6</v>
      </c>
      <c r="C129" t="s">
        <v>48</v>
      </c>
      <c r="D129">
        <v>2</v>
      </c>
      <c r="E129">
        <v>2021</v>
      </c>
      <c r="F129" s="2">
        <f>DATE(Table1[[#This Row],[Tahun]],Table1[[#This Row],[Bulan]],1)</f>
        <v>44228</v>
      </c>
      <c r="G129">
        <v>610</v>
      </c>
      <c r="H129">
        <v>593</v>
      </c>
      <c r="I129" s="6">
        <f>(Table1[[#This Row],[Aktual]]-Table1[[#This Row],[Target]])</f>
        <v>17</v>
      </c>
      <c r="J129" s="3">
        <f>(Table1[[#This Row],[Aktual]]-Table1[[#This Row],[Target]])/Table1[[#This Row],[Target]]</f>
        <v>2.866779089376054E-2</v>
      </c>
      <c r="K129" t="str">
        <f>IF(Table1[[#This Row],[Performance Gap (%)]]&lt;0,"Tidak mencapai target", IF(Table1[[#This Row],[Performance Gap (%)]]=0,"Mencapai target", "Melebihi Target"))</f>
        <v>Melebihi Target</v>
      </c>
      <c r="L129">
        <f>VLOOKUP(Table1[[#This Row],[Propinsi]]&amp;"_"&amp;Table1[[#This Row],[Dati 2]]&amp;"_"&amp;Table1[[#This Row],[Tanggal]],Table2[[#All],[Kompetitor area]:[Jumlah Kompetitor]],7,0)</f>
        <v>32</v>
      </c>
      <c r="M129">
        <f>Table1[[#This Row],[Aktual]]-Table1[[#This Row],[Jumlah Kompetitor]]</f>
        <v>578</v>
      </c>
      <c r="N129" t="str">
        <f>IF(Table1[[#This Row],[vs Kompetitor]]&gt;0,"Win", "Lose")</f>
        <v>Win</v>
      </c>
    </row>
    <row r="130" spans="1:14" x14ac:dyDescent="0.25">
      <c r="A130">
        <v>129</v>
      </c>
      <c r="B130" t="s">
        <v>6</v>
      </c>
      <c r="C130" t="s">
        <v>49</v>
      </c>
      <c r="D130">
        <v>2</v>
      </c>
      <c r="E130">
        <v>2021</v>
      </c>
      <c r="F130" s="2">
        <f>DATE(Table1[[#This Row],[Tahun]],Table1[[#This Row],[Bulan]],1)</f>
        <v>44228</v>
      </c>
      <c r="G130">
        <v>1121</v>
      </c>
      <c r="H130">
        <v>1054</v>
      </c>
      <c r="I130" s="6">
        <f>(Table1[[#This Row],[Aktual]]-Table1[[#This Row],[Target]])</f>
        <v>67</v>
      </c>
      <c r="J130" s="3">
        <f>(Table1[[#This Row],[Aktual]]-Table1[[#This Row],[Target]])/Table1[[#This Row],[Target]]</f>
        <v>6.3567362428842505E-2</v>
      </c>
      <c r="K130" t="str">
        <f>IF(Table1[[#This Row],[Performance Gap (%)]]&lt;0,"Tidak mencapai target", IF(Table1[[#This Row],[Performance Gap (%)]]=0,"Mencapai target", "Melebihi Target"))</f>
        <v>Melebihi Target</v>
      </c>
      <c r="L130">
        <f>VLOOKUP(Table1[[#This Row],[Propinsi]]&amp;"_"&amp;Table1[[#This Row],[Dati 2]]&amp;"_"&amp;Table1[[#This Row],[Tanggal]],Table2[[#All],[Kompetitor area]:[Jumlah Kompetitor]],7,0)</f>
        <v>128</v>
      </c>
      <c r="M130">
        <f>Table1[[#This Row],[Aktual]]-Table1[[#This Row],[Jumlah Kompetitor]]</f>
        <v>993</v>
      </c>
      <c r="N130" t="str">
        <f>IF(Table1[[#This Row],[vs Kompetitor]]&gt;0,"Win", "Lose")</f>
        <v>Win</v>
      </c>
    </row>
    <row r="131" spans="1:14" x14ac:dyDescent="0.25">
      <c r="A131">
        <v>130</v>
      </c>
      <c r="B131" t="s">
        <v>6</v>
      </c>
      <c r="C131" t="s">
        <v>50</v>
      </c>
      <c r="D131">
        <v>2</v>
      </c>
      <c r="E131">
        <v>2021</v>
      </c>
      <c r="F131" s="2">
        <f>DATE(Table1[[#This Row],[Tahun]],Table1[[#This Row],[Bulan]],1)</f>
        <v>44228</v>
      </c>
      <c r="G131">
        <v>919</v>
      </c>
      <c r="H131">
        <v>878</v>
      </c>
      <c r="I131" s="6">
        <f>(Table1[[#This Row],[Aktual]]-Table1[[#This Row],[Target]])</f>
        <v>41</v>
      </c>
      <c r="J131" s="3">
        <f>(Table1[[#This Row],[Aktual]]-Table1[[#This Row],[Target]])/Table1[[#This Row],[Target]]</f>
        <v>4.6697038724373578E-2</v>
      </c>
      <c r="K131" t="str">
        <f>IF(Table1[[#This Row],[Performance Gap (%)]]&lt;0,"Tidak mencapai target", IF(Table1[[#This Row],[Performance Gap (%)]]=0,"Mencapai target", "Melebihi Target"))</f>
        <v>Melebihi Target</v>
      </c>
      <c r="L131">
        <f>VLOOKUP(Table1[[#This Row],[Propinsi]]&amp;"_"&amp;Table1[[#This Row],[Dati 2]]&amp;"_"&amp;Table1[[#This Row],[Tanggal]],Table2[[#All],[Kompetitor area]:[Jumlah Kompetitor]],7,0)</f>
        <v>97</v>
      </c>
      <c r="M131">
        <f>Table1[[#This Row],[Aktual]]-Table1[[#This Row],[Jumlah Kompetitor]]</f>
        <v>822</v>
      </c>
      <c r="N131" t="str">
        <f>IF(Table1[[#This Row],[vs Kompetitor]]&gt;0,"Win", "Lose")</f>
        <v>Win</v>
      </c>
    </row>
    <row r="132" spans="1:14" x14ac:dyDescent="0.25">
      <c r="A132">
        <v>131</v>
      </c>
      <c r="B132" t="s">
        <v>6</v>
      </c>
      <c r="C132" t="s">
        <v>51</v>
      </c>
      <c r="D132">
        <v>2</v>
      </c>
      <c r="E132">
        <v>2021</v>
      </c>
      <c r="F132" s="2">
        <f>DATE(Table1[[#This Row],[Tahun]],Table1[[#This Row],[Bulan]],1)</f>
        <v>44228</v>
      </c>
      <c r="G132">
        <v>140</v>
      </c>
      <c r="H132">
        <v>152</v>
      </c>
      <c r="I132" s="6">
        <f>(Table1[[#This Row],[Aktual]]-Table1[[#This Row],[Target]])</f>
        <v>-12</v>
      </c>
      <c r="J132" s="3">
        <f>(Table1[[#This Row],[Aktual]]-Table1[[#This Row],[Target]])/Table1[[#This Row],[Target]]</f>
        <v>-7.8947368421052627E-2</v>
      </c>
      <c r="K132" t="str">
        <f>IF(Table1[[#This Row],[Performance Gap (%)]]&lt;0,"Tidak mencapai target", IF(Table1[[#This Row],[Performance Gap (%)]]=0,"Mencapai target", "Melebihi Target"))</f>
        <v>Tidak mencapai target</v>
      </c>
      <c r="L132">
        <f>VLOOKUP(Table1[[#This Row],[Propinsi]]&amp;"_"&amp;Table1[[#This Row],[Dati 2]]&amp;"_"&amp;Table1[[#This Row],[Tanggal]],Table2[[#All],[Kompetitor area]:[Jumlah Kompetitor]],7,0)</f>
        <v>101</v>
      </c>
      <c r="M132">
        <f>Table1[[#This Row],[Aktual]]-Table1[[#This Row],[Jumlah Kompetitor]]</f>
        <v>39</v>
      </c>
      <c r="N132" t="str">
        <f>IF(Table1[[#This Row],[vs Kompetitor]]&gt;0,"Win", "Lose")</f>
        <v>Win</v>
      </c>
    </row>
    <row r="133" spans="1:14" x14ac:dyDescent="0.25">
      <c r="A133">
        <v>132</v>
      </c>
      <c r="B133" t="s">
        <v>6</v>
      </c>
      <c r="C133" t="s">
        <v>52</v>
      </c>
      <c r="D133">
        <v>2</v>
      </c>
      <c r="E133">
        <v>2021</v>
      </c>
      <c r="F133" s="2">
        <f>DATE(Table1[[#This Row],[Tahun]],Table1[[#This Row],[Bulan]],1)</f>
        <v>44228</v>
      </c>
      <c r="G133">
        <v>554</v>
      </c>
      <c r="H133">
        <v>552</v>
      </c>
      <c r="I133" s="6">
        <f>(Table1[[#This Row],[Aktual]]-Table1[[#This Row],[Target]])</f>
        <v>2</v>
      </c>
      <c r="J133" s="3">
        <f>(Table1[[#This Row],[Aktual]]-Table1[[#This Row],[Target]])/Table1[[#This Row],[Target]]</f>
        <v>3.6231884057971015E-3</v>
      </c>
      <c r="K133" t="str">
        <f>IF(Table1[[#This Row],[Performance Gap (%)]]&lt;0,"Tidak mencapai target", IF(Table1[[#This Row],[Performance Gap (%)]]=0,"Mencapai target", "Melebihi Target"))</f>
        <v>Melebihi Target</v>
      </c>
      <c r="L133">
        <f>VLOOKUP(Table1[[#This Row],[Propinsi]]&amp;"_"&amp;Table1[[#This Row],[Dati 2]]&amp;"_"&amp;Table1[[#This Row],[Tanggal]],Table2[[#All],[Kompetitor area]:[Jumlah Kompetitor]],7,0)</f>
        <v>103</v>
      </c>
      <c r="M133">
        <f>Table1[[#This Row],[Aktual]]-Table1[[#This Row],[Jumlah Kompetitor]]</f>
        <v>451</v>
      </c>
      <c r="N133" t="str">
        <f>IF(Table1[[#This Row],[vs Kompetitor]]&gt;0,"Win", "Lose")</f>
        <v>Win</v>
      </c>
    </row>
    <row r="134" spans="1:14" x14ac:dyDescent="0.25">
      <c r="A134">
        <v>133</v>
      </c>
      <c r="B134" t="s">
        <v>6</v>
      </c>
      <c r="C134" t="s">
        <v>53</v>
      </c>
      <c r="D134">
        <v>2</v>
      </c>
      <c r="E134">
        <v>2021</v>
      </c>
      <c r="F134" s="2">
        <f>DATE(Table1[[#This Row],[Tahun]],Table1[[#This Row],[Bulan]],1)</f>
        <v>44228</v>
      </c>
      <c r="G134">
        <v>516</v>
      </c>
      <c r="H134">
        <v>482</v>
      </c>
      <c r="I134" s="6">
        <f>(Table1[[#This Row],[Aktual]]-Table1[[#This Row],[Target]])</f>
        <v>34</v>
      </c>
      <c r="J134" s="3">
        <f>(Table1[[#This Row],[Aktual]]-Table1[[#This Row],[Target]])/Table1[[#This Row],[Target]]</f>
        <v>7.0539419087136929E-2</v>
      </c>
      <c r="K134" t="str">
        <f>IF(Table1[[#This Row],[Performance Gap (%)]]&lt;0,"Tidak mencapai target", IF(Table1[[#This Row],[Performance Gap (%)]]=0,"Mencapai target", "Melebihi Target"))</f>
        <v>Melebihi Target</v>
      </c>
      <c r="L134">
        <f>VLOOKUP(Table1[[#This Row],[Propinsi]]&amp;"_"&amp;Table1[[#This Row],[Dati 2]]&amp;"_"&amp;Table1[[#This Row],[Tanggal]],Table2[[#All],[Kompetitor area]:[Jumlah Kompetitor]],7,0)</f>
        <v>220</v>
      </c>
      <c r="M134">
        <f>Table1[[#This Row],[Aktual]]-Table1[[#This Row],[Jumlah Kompetitor]]</f>
        <v>296</v>
      </c>
      <c r="N134" t="str">
        <f>IF(Table1[[#This Row],[vs Kompetitor]]&gt;0,"Win", "Lose")</f>
        <v>Win</v>
      </c>
    </row>
    <row r="135" spans="1:14" x14ac:dyDescent="0.25">
      <c r="A135">
        <v>134</v>
      </c>
      <c r="B135" t="s">
        <v>6</v>
      </c>
      <c r="C135" t="s">
        <v>54</v>
      </c>
      <c r="D135">
        <v>2</v>
      </c>
      <c r="E135">
        <v>2021</v>
      </c>
      <c r="F135" s="2">
        <f>DATE(Table1[[#This Row],[Tahun]],Table1[[#This Row],[Bulan]],1)</f>
        <v>44228</v>
      </c>
      <c r="G135">
        <v>559</v>
      </c>
      <c r="H135">
        <v>503</v>
      </c>
      <c r="I135" s="6">
        <f>(Table1[[#This Row],[Aktual]]-Table1[[#This Row],[Target]])</f>
        <v>56</v>
      </c>
      <c r="J135" s="3">
        <f>(Table1[[#This Row],[Aktual]]-Table1[[#This Row],[Target]])/Table1[[#This Row],[Target]]</f>
        <v>0.11133200795228629</v>
      </c>
      <c r="K135" t="str">
        <f>IF(Table1[[#This Row],[Performance Gap (%)]]&lt;0,"Tidak mencapai target", IF(Table1[[#This Row],[Performance Gap (%)]]=0,"Mencapai target", "Melebihi Target"))</f>
        <v>Melebihi Target</v>
      </c>
      <c r="L135">
        <f>VLOOKUP(Table1[[#This Row],[Propinsi]]&amp;"_"&amp;Table1[[#This Row],[Dati 2]]&amp;"_"&amp;Table1[[#This Row],[Tanggal]],Table2[[#All],[Kompetitor area]:[Jumlah Kompetitor]],7,0)</f>
        <v>257</v>
      </c>
      <c r="M135">
        <f>Table1[[#This Row],[Aktual]]-Table1[[#This Row],[Jumlah Kompetitor]]</f>
        <v>302</v>
      </c>
      <c r="N135" t="str">
        <f>IF(Table1[[#This Row],[vs Kompetitor]]&gt;0,"Win", "Lose")</f>
        <v>Win</v>
      </c>
    </row>
    <row r="136" spans="1:14" x14ac:dyDescent="0.25">
      <c r="A136">
        <v>135</v>
      </c>
      <c r="B136" t="s">
        <v>6</v>
      </c>
      <c r="C136" t="s">
        <v>55</v>
      </c>
      <c r="D136">
        <v>2</v>
      </c>
      <c r="E136">
        <v>2021</v>
      </c>
      <c r="F136" s="2">
        <f>DATE(Table1[[#This Row],[Tahun]],Table1[[#This Row],[Bulan]],1)</f>
        <v>44228</v>
      </c>
      <c r="G136">
        <v>323</v>
      </c>
      <c r="H136">
        <v>300</v>
      </c>
      <c r="I136" s="6">
        <f>(Table1[[#This Row],[Aktual]]-Table1[[#This Row],[Target]])</f>
        <v>23</v>
      </c>
      <c r="J136" s="3">
        <f>(Table1[[#This Row],[Aktual]]-Table1[[#This Row],[Target]])/Table1[[#This Row],[Target]]</f>
        <v>7.6666666666666661E-2</v>
      </c>
      <c r="K136" t="str">
        <f>IF(Table1[[#This Row],[Performance Gap (%)]]&lt;0,"Tidak mencapai target", IF(Table1[[#This Row],[Performance Gap (%)]]=0,"Mencapai target", "Melebihi Target"))</f>
        <v>Melebihi Target</v>
      </c>
      <c r="L136">
        <f>VLOOKUP(Table1[[#This Row],[Propinsi]]&amp;"_"&amp;Table1[[#This Row],[Dati 2]]&amp;"_"&amp;Table1[[#This Row],[Tanggal]],Table2[[#All],[Kompetitor area]:[Jumlah Kompetitor]],7,0)</f>
        <v>213</v>
      </c>
      <c r="M136">
        <f>Table1[[#This Row],[Aktual]]-Table1[[#This Row],[Jumlah Kompetitor]]</f>
        <v>110</v>
      </c>
      <c r="N136" t="str">
        <f>IF(Table1[[#This Row],[vs Kompetitor]]&gt;0,"Win", "Lose")</f>
        <v>Win</v>
      </c>
    </row>
    <row r="137" spans="1:14" x14ac:dyDescent="0.25">
      <c r="A137">
        <v>136</v>
      </c>
      <c r="B137" t="s">
        <v>6</v>
      </c>
      <c r="C137" t="s">
        <v>56</v>
      </c>
      <c r="D137">
        <v>2</v>
      </c>
      <c r="E137">
        <v>2021</v>
      </c>
      <c r="F137" s="2">
        <f>DATE(Table1[[#This Row],[Tahun]],Table1[[#This Row],[Bulan]],1)</f>
        <v>44228</v>
      </c>
      <c r="G137">
        <v>166</v>
      </c>
      <c r="H137">
        <v>148</v>
      </c>
      <c r="I137" s="6">
        <f>(Table1[[#This Row],[Aktual]]-Table1[[#This Row],[Target]])</f>
        <v>18</v>
      </c>
      <c r="J137" s="3">
        <f>(Table1[[#This Row],[Aktual]]-Table1[[#This Row],[Target]])/Table1[[#This Row],[Target]]</f>
        <v>0.12162162162162163</v>
      </c>
      <c r="K137" t="str">
        <f>IF(Table1[[#This Row],[Performance Gap (%)]]&lt;0,"Tidak mencapai target", IF(Table1[[#This Row],[Performance Gap (%)]]=0,"Mencapai target", "Melebihi Target"))</f>
        <v>Melebihi Target</v>
      </c>
      <c r="L137">
        <f>VLOOKUP(Table1[[#This Row],[Propinsi]]&amp;"_"&amp;Table1[[#This Row],[Dati 2]]&amp;"_"&amp;Table1[[#This Row],[Tanggal]],Table2[[#All],[Kompetitor area]:[Jumlah Kompetitor]],7,0)</f>
        <v>139</v>
      </c>
      <c r="M137">
        <f>Table1[[#This Row],[Aktual]]-Table1[[#This Row],[Jumlah Kompetitor]]</f>
        <v>27</v>
      </c>
      <c r="N137" t="str">
        <f>IF(Table1[[#This Row],[vs Kompetitor]]&gt;0,"Win", "Lose")</f>
        <v>Win</v>
      </c>
    </row>
    <row r="138" spans="1:14" x14ac:dyDescent="0.25">
      <c r="A138">
        <v>137</v>
      </c>
      <c r="B138" t="s">
        <v>6</v>
      </c>
      <c r="C138" t="s">
        <v>57</v>
      </c>
      <c r="D138">
        <v>2</v>
      </c>
      <c r="E138">
        <v>2021</v>
      </c>
      <c r="F138" s="2">
        <f>DATE(Table1[[#This Row],[Tahun]],Table1[[#This Row],[Bulan]],1)</f>
        <v>44228</v>
      </c>
      <c r="G138">
        <v>632</v>
      </c>
      <c r="H138">
        <v>525</v>
      </c>
      <c r="I138" s="6">
        <f>(Table1[[#This Row],[Aktual]]-Table1[[#This Row],[Target]])</f>
        <v>107</v>
      </c>
      <c r="J138" s="3">
        <f>(Table1[[#This Row],[Aktual]]-Table1[[#This Row],[Target]])/Table1[[#This Row],[Target]]</f>
        <v>0.2038095238095238</v>
      </c>
      <c r="K138" t="str">
        <f>IF(Table1[[#This Row],[Performance Gap (%)]]&lt;0,"Tidak mencapai target", IF(Table1[[#This Row],[Performance Gap (%)]]=0,"Mencapai target", "Melebihi Target"))</f>
        <v>Melebihi Target</v>
      </c>
      <c r="L138">
        <f>VLOOKUP(Table1[[#This Row],[Propinsi]]&amp;"_"&amp;Table1[[#This Row],[Dati 2]]&amp;"_"&amp;Table1[[#This Row],[Tanggal]],Table2[[#All],[Kompetitor area]:[Jumlah Kompetitor]],7,0)</f>
        <v>5</v>
      </c>
      <c r="M138">
        <f>Table1[[#This Row],[Aktual]]-Table1[[#This Row],[Jumlah Kompetitor]]</f>
        <v>627</v>
      </c>
      <c r="N138" t="str">
        <f>IF(Table1[[#This Row],[vs Kompetitor]]&gt;0,"Win", "Lose")</f>
        <v>Win</v>
      </c>
    </row>
    <row r="139" spans="1:14" x14ac:dyDescent="0.25">
      <c r="A139">
        <v>138</v>
      </c>
      <c r="B139" t="s">
        <v>6</v>
      </c>
      <c r="C139" t="s">
        <v>58</v>
      </c>
      <c r="D139">
        <v>2</v>
      </c>
      <c r="E139">
        <v>2021</v>
      </c>
      <c r="F139" s="2">
        <f>DATE(Table1[[#This Row],[Tahun]],Table1[[#This Row],[Bulan]],1)</f>
        <v>44228</v>
      </c>
      <c r="G139">
        <v>610</v>
      </c>
      <c r="H139">
        <v>523</v>
      </c>
      <c r="I139" s="6">
        <f>(Table1[[#This Row],[Aktual]]-Table1[[#This Row],[Target]])</f>
        <v>87</v>
      </c>
      <c r="J139" s="3">
        <f>(Table1[[#This Row],[Aktual]]-Table1[[#This Row],[Target]])/Table1[[#This Row],[Target]]</f>
        <v>0.16634799235181644</v>
      </c>
      <c r="K139" t="str">
        <f>IF(Table1[[#This Row],[Performance Gap (%)]]&lt;0,"Tidak mencapai target", IF(Table1[[#This Row],[Performance Gap (%)]]=0,"Mencapai target", "Melebihi Target"))</f>
        <v>Melebihi Target</v>
      </c>
      <c r="L139">
        <f>VLOOKUP(Table1[[#This Row],[Propinsi]]&amp;"_"&amp;Table1[[#This Row],[Dati 2]]&amp;"_"&amp;Table1[[#This Row],[Tanggal]],Table2[[#All],[Kompetitor area]:[Jumlah Kompetitor]],7,0)</f>
        <v>108</v>
      </c>
      <c r="M139">
        <f>Table1[[#This Row],[Aktual]]-Table1[[#This Row],[Jumlah Kompetitor]]</f>
        <v>502</v>
      </c>
      <c r="N139" t="str">
        <f>IF(Table1[[#This Row],[vs Kompetitor]]&gt;0,"Win", "Lose")</f>
        <v>Win</v>
      </c>
    </row>
    <row r="140" spans="1:14" x14ac:dyDescent="0.25">
      <c r="A140">
        <v>139</v>
      </c>
      <c r="B140" t="s">
        <v>6</v>
      </c>
      <c r="C140" t="s">
        <v>59</v>
      </c>
      <c r="D140">
        <v>2</v>
      </c>
      <c r="E140">
        <v>2021</v>
      </c>
      <c r="F140" s="2">
        <f>DATE(Table1[[#This Row],[Tahun]],Table1[[#This Row],[Bulan]],1)</f>
        <v>44228</v>
      </c>
      <c r="G140">
        <v>197</v>
      </c>
      <c r="H140">
        <v>157</v>
      </c>
      <c r="I140" s="6">
        <f>(Table1[[#This Row],[Aktual]]-Table1[[#This Row],[Target]])</f>
        <v>40</v>
      </c>
      <c r="J140" s="3">
        <f>(Table1[[#This Row],[Aktual]]-Table1[[#This Row],[Target]])/Table1[[#This Row],[Target]]</f>
        <v>0.25477707006369427</v>
      </c>
      <c r="K140" t="str">
        <f>IF(Table1[[#This Row],[Performance Gap (%)]]&lt;0,"Tidak mencapai target", IF(Table1[[#This Row],[Performance Gap (%)]]=0,"Mencapai target", "Melebihi Target"))</f>
        <v>Melebihi Target</v>
      </c>
      <c r="L140">
        <f>VLOOKUP(Table1[[#This Row],[Propinsi]]&amp;"_"&amp;Table1[[#This Row],[Dati 2]]&amp;"_"&amp;Table1[[#This Row],[Tanggal]],Table2[[#All],[Kompetitor area]:[Jumlah Kompetitor]],7,0)</f>
        <v>126</v>
      </c>
      <c r="M140">
        <f>Table1[[#This Row],[Aktual]]-Table1[[#This Row],[Jumlah Kompetitor]]</f>
        <v>71</v>
      </c>
      <c r="N140" t="str">
        <f>IF(Table1[[#This Row],[vs Kompetitor]]&gt;0,"Win", "Lose")</f>
        <v>Win</v>
      </c>
    </row>
    <row r="141" spans="1:14" x14ac:dyDescent="0.25">
      <c r="A141">
        <v>140</v>
      </c>
      <c r="B141" t="s">
        <v>6</v>
      </c>
      <c r="C141" t="s">
        <v>60</v>
      </c>
      <c r="D141">
        <v>2</v>
      </c>
      <c r="E141">
        <v>2021</v>
      </c>
      <c r="F141" s="2">
        <f>DATE(Table1[[#This Row],[Tahun]],Table1[[#This Row],[Bulan]],1)</f>
        <v>44228</v>
      </c>
      <c r="G141">
        <v>79</v>
      </c>
      <c r="H141">
        <v>75</v>
      </c>
      <c r="I141" s="6">
        <f>(Table1[[#This Row],[Aktual]]-Table1[[#This Row],[Target]])</f>
        <v>4</v>
      </c>
      <c r="J141" s="3">
        <f>(Table1[[#This Row],[Aktual]]-Table1[[#This Row],[Target]])/Table1[[#This Row],[Target]]</f>
        <v>5.3333333333333337E-2</v>
      </c>
      <c r="K141" t="str">
        <f>IF(Table1[[#This Row],[Performance Gap (%)]]&lt;0,"Tidak mencapai target", IF(Table1[[#This Row],[Performance Gap (%)]]=0,"Mencapai target", "Melebihi Target"))</f>
        <v>Melebihi Target</v>
      </c>
      <c r="L141">
        <f>VLOOKUP(Table1[[#This Row],[Propinsi]]&amp;"_"&amp;Table1[[#This Row],[Dati 2]]&amp;"_"&amp;Table1[[#This Row],[Tanggal]],Table2[[#All],[Kompetitor area]:[Jumlah Kompetitor]],7,0)</f>
        <v>87</v>
      </c>
      <c r="M141">
        <f>Table1[[#This Row],[Aktual]]-Table1[[#This Row],[Jumlah Kompetitor]]</f>
        <v>-8</v>
      </c>
      <c r="N141" t="str">
        <f>IF(Table1[[#This Row],[vs Kompetitor]]&gt;0,"Win", "Lose")</f>
        <v>Lose</v>
      </c>
    </row>
    <row r="142" spans="1:14" x14ac:dyDescent="0.25">
      <c r="A142">
        <v>141</v>
      </c>
      <c r="B142" t="s">
        <v>6</v>
      </c>
      <c r="C142" t="s">
        <v>61</v>
      </c>
      <c r="D142">
        <v>2</v>
      </c>
      <c r="E142">
        <v>2021</v>
      </c>
      <c r="F142" s="2">
        <f>DATE(Table1[[#This Row],[Tahun]],Table1[[#This Row],[Bulan]],1)</f>
        <v>44228</v>
      </c>
      <c r="G142">
        <v>516</v>
      </c>
      <c r="H142">
        <v>570</v>
      </c>
      <c r="I142" s="6">
        <f>(Table1[[#This Row],[Aktual]]-Table1[[#This Row],[Target]])</f>
        <v>-54</v>
      </c>
      <c r="J142" s="3">
        <f>(Table1[[#This Row],[Aktual]]-Table1[[#This Row],[Target]])/Table1[[#This Row],[Target]]</f>
        <v>-9.4736842105263161E-2</v>
      </c>
      <c r="K142" t="str">
        <f>IF(Table1[[#This Row],[Performance Gap (%)]]&lt;0,"Tidak mencapai target", IF(Table1[[#This Row],[Performance Gap (%)]]=0,"Mencapai target", "Melebihi Target"))</f>
        <v>Tidak mencapai target</v>
      </c>
      <c r="L142">
        <f>VLOOKUP(Table1[[#This Row],[Propinsi]]&amp;"_"&amp;Table1[[#This Row],[Dati 2]]&amp;"_"&amp;Table1[[#This Row],[Tanggal]],Table2[[#All],[Kompetitor area]:[Jumlah Kompetitor]],7,0)</f>
        <v>155</v>
      </c>
      <c r="M142">
        <f>Table1[[#This Row],[Aktual]]-Table1[[#This Row],[Jumlah Kompetitor]]</f>
        <v>361</v>
      </c>
      <c r="N142" t="str">
        <f>IF(Table1[[#This Row],[vs Kompetitor]]&gt;0,"Win", "Lose")</f>
        <v>Win</v>
      </c>
    </row>
    <row r="143" spans="1:14" x14ac:dyDescent="0.25">
      <c r="A143">
        <v>142</v>
      </c>
      <c r="B143" t="s">
        <v>3</v>
      </c>
      <c r="C143" t="s">
        <v>62</v>
      </c>
      <c r="D143">
        <v>2</v>
      </c>
      <c r="E143">
        <v>2021</v>
      </c>
      <c r="F143" s="2">
        <f>DATE(Table1[[#This Row],[Tahun]],Table1[[#This Row],[Bulan]],1)</f>
        <v>44228</v>
      </c>
      <c r="G143">
        <v>692</v>
      </c>
      <c r="H143">
        <v>625</v>
      </c>
      <c r="I143" s="6">
        <f>(Table1[[#This Row],[Aktual]]-Table1[[#This Row],[Target]])</f>
        <v>67</v>
      </c>
      <c r="J143" s="3">
        <f>(Table1[[#This Row],[Aktual]]-Table1[[#This Row],[Target]])/Table1[[#This Row],[Target]]</f>
        <v>0.1072</v>
      </c>
      <c r="K143" t="str">
        <f>IF(Table1[[#This Row],[Performance Gap (%)]]&lt;0,"Tidak mencapai target", IF(Table1[[#This Row],[Performance Gap (%)]]=0,"Mencapai target", "Melebihi Target"))</f>
        <v>Melebihi Target</v>
      </c>
      <c r="L143">
        <f>VLOOKUP(Table1[[#This Row],[Propinsi]]&amp;"_"&amp;Table1[[#This Row],[Dati 2]]&amp;"_"&amp;Table1[[#This Row],[Tanggal]],Table2[[#All],[Kompetitor area]:[Jumlah Kompetitor]],7,0)</f>
        <v>269</v>
      </c>
      <c r="M143">
        <f>Table1[[#This Row],[Aktual]]-Table1[[#This Row],[Jumlah Kompetitor]]</f>
        <v>423</v>
      </c>
      <c r="N143" t="str">
        <f>IF(Table1[[#This Row],[vs Kompetitor]]&gt;0,"Win", "Lose")</f>
        <v>Win</v>
      </c>
    </row>
    <row r="144" spans="1:14" x14ac:dyDescent="0.25">
      <c r="A144">
        <v>143</v>
      </c>
      <c r="B144" t="s">
        <v>3</v>
      </c>
      <c r="C144" t="s">
        <v>63</v>
      </c>
      <c r="D144">
        <v>2</v>
      </c>
      <c r="E144">
        <v>2021</v>
      </c>
      <c r="F144" s="2">
        <f>DATE(Table1[[#This Row],[Tahun]],Table1[[#This Row],[Bulan]],1)</f>
        <v>44228</v>
      </c>
      <c r="G144">
        <v>1060</v>
      </c>
      <c r="H144">
        <v>976</v>
      </c>
      <c r="I144" s="6">
        <f>(Table1[[#This Row],[Aktual]]-Table1[[#This Row],[Target]])</f>
        <v>84</v>
      </c>
      <c r="J144" s="3">
        <f>(Table1[[#This Row],[Aktual]]-Table1[[#This Row],[Target]])/Table1[[#This Row],[Target]]</f>
        <v>8.6065573770491802E-2</v>
      </c>
      <c r="K144" t="str">
        <f>IF(Table1[[#This Row],[Performance Gap (%)]]&lt;0,"Tidak mencapai target", IF(Table1[[#This Row],[Performance Gap (%)]]=0,"Mencapai target", "Melebihi Target"))</f>
        <v>Melebihi Target</v>
      </c>
      <c r="L144">
        <f>VLOOKUP(Table1[[#This Row],[Propinsi]]&amp;"_"&amp;Table1[[#This Row],[Dati 2]]&amp;"_"&amp;Table1[[#This Row],[Tanggal]],Table2[[#All],[Kompetitor area]:[Jumlah Kompetitor]],7,0)</f>
        <v>293</v>
      </c>
      <c r="M144">
        <f>Table1[[#This Row],[Aktual]]-Table1[[#This Row],[Jumlah Kompetitor]]</f>
        <v>767</v>
      </c>
      <c r="N144" t="str">
        <f>IF(Table1[[#This Row],[vs Kompetitor]]&gt;0,"Win", "Lose")</f>
        <v>Win</v>
      </c>
    </row>
    <row r="145" spans="1:14" x14ac:dyDescent="0.25">
      <c r="A145">
        <v>144</v>
      </c>
      <c r="B145" t="s">
        <v>3</v>
      </c>
      <c r="C145" t="s">
        <v>64</v>
      </c>
      <c r="D145">
        <v>2</v>
      </c>
      <c r="E145">
        <v>2021</v>
      </c>
      <c r="F145" s="2">
        <f>DATE(Table1[[#This Row],[Tahun]],Table1[[#This Row],[Bulan]],1)</f>
        <v>44228</v>
      </c>
      <c r="G145">
        <v>674</v>
      </c>
      <c r="H145">
        <v>702</v>
      </c>
      <c r="I145" s="6">
        <f>(Table1[[#This Row],[Aktual]]-Table1[[#This Row],[Target]])</f>
        <v>-28</v>
      </c>
      <c r="J145" s="3">
        <f>(Table1[[#This Row],[Aktual]]-Table1[[#This Row],[Target]])/Table1[[#This Row],[Target]]</f>
        <v>-3.9886039886039885E-2</v>
      </c>
      <c r="K145" t="str">
        <f>IF(Table1[[#This Row],[Performance Gap (%)]]&lt;0,"Tidak mencapai target", IF(Table1[[#This Row],[Performance Gap (%)]]=0,"Mencapai target", "Melebihi Target"))</f>
        <v>Tidak mencapai target</v>
      </c>
      <c r="L145">
        <f>VLOOKUP(Table1[[#This Row],[Propinsi]]&amp;"_"&amp;Table1[[#This Row],[Dati 2]]&amp;"_"&amp;Table1[[#This Row],[Tanggal]],Table2[[#All],[Kompetitor area]:[Jumlah Kompetitor]],7,0)</f>
        <v>125</v>
      </c>
      <c r="M145">
        <f>Table1[[#This Row],[Aktual]]-Table1[[#This Row],[Jumlah Kompetitor]]</f>
        <v>549</v>
      </c>
      <c r="N145" t="str">
        <f>IF(Table1[[#This Row],[vs Kompetitor]]&gt;0,"Win", "Lose")</f>
        <v>Win</v>
      </c>
    </row>
    <row r="146" spans="1:14" x14ac:dyDescent="0.25">
      <c r="A146">
        <v>145</v>
      </c>
      <c r="B146" t="s">
        <v>3</v>
      </c>
      <c r="C146" t="s">
        <v>65</v>
      </c>
      <c r="D146">
        <v>2</v>
      </c>
      <c r="E146">
        <v>2021</v>
      </c>
      <c r="F146" s="2">
        <f>DATE(Table1[[#This Row],[Tahun]],Table1[[#This Row],[Bulan]],1)</f>
        <v>44228</v>
      </c>
      <c r="G146">
        <v>1194</v>
      </c>
      <c r="H146">
        <v>1098</v>
      </c>
      <c r="I146" s="6">
        <f>(Table1[[#This Row],[Aktual]]-Table1[[#This Row],[Target]])</f>
        <v>96</v>
      </c>
      <c r="J146" s="3">
        <f>(Table1[[#This Row],[Aktual]]-Table1[[#This Row],[Target]])/Table1[[#This Row],[Target]]</f>
        <v>8.7431693989071038E-2</v>
      </c>
      <c r="K146" t="str">
        <f>IF(Table1[[#This Row],[Performance Gap (%)]]&lt;0,"Tidak mencapai target", IF(Table1[[#This Row],[Performance Gap (%)]]=0,"Mencapai target", "Melebihi Target"))</f>
        <v>Melebihi Target</v>
      </c>
      <c r="L146">
        <f>VLOOKUP(Table1[[#This Row],[Propinsi]]&amp;"_"&amp;Table1[[#This Row],[Dati 2]]&amp;"_"&amp;Table1[[#This Row],[Tanggal]],Table2[[#All],[Kompetitor area]:[Jumlah Kompetitor]],7,0)</f>
        <v>178</v>
      </c>
      <c r="M146">
        <f>Table1[[#This Row],[Aktual]]-Table1[[#This Row],[Jumlah Kompetitor]]</f>
        <v>1016</v>
      </c>
      <c r="N146" t="str">
        <f>IF(Table1[[#This Row],[vs Kompetitor]]&gt;0,"Win", "Lose")</f>
        <v>Win</v>
      </c>
    </row>
    <row r="147" spans="1:14" x14ac:dyDescent="0.25">
      <c r="A147">
        <v>146</v>
      </c>
      <c r="B147" t="s">
        <v>3</v>
      </c>
      <c r="C147" t="s">
        <v>66</v>
      </c>
      <c r="D147">
        <v>2</v>
      </c>
      <c r="E147">
        <v>2021</v>
      </c>
      <c r="F147" s="2">
        <f>DATE(Table1[[#This Row],[Tahun]],Table1[[#This Row],[Bulan]],1)</f>
        <v>44228</v>
      </c>
      <c r="G147">
        <v>1060</v>
      </c>
      <c r="H147">
        <v>960</v>
      </c>
      <c r="I147" s="6">
        <f>(Table1[[#This Row],[Aktual]]-Table1[[#This Row],[Target]])</f>
        <v>100</v>
      </c>
      <c r="J147" s="3">
        <f>(Table1[[#This Row],[Aktual]]-Table1[[#This Row],[Target]])/Table1[[#This Row],[Target]]</f>
        <v>0.10416666666666667</v>
      </c>
      <c r="K147" t="str">
        <f>IF(Table1[[#This Row],[Performance Gap (%)]]&lt;0,"Tidak mencapai target", IF(Table1[[#This Row],[Performance Gap (%)]]=0,"Mencapai target", "Melebihi Target"))</f>
        <v>Melebihi Target</v>
      </c>
      <c r="L147">
        <f>VLOOKUP(Table1[[#This Row],[Propinsi]]&amp;"_"&amp;Table1[[#This Row],[Dati 2]]&amp;"_"&amp;Table1[[#This Row],[Tanggal]],Table2[[#All],[Kompetitor area]:[Jumlah Kompetitor]],7,0)</f>
        <v>80</v>
      </c>
      <c r="M147">
        <f>Table1[[#This Row],[Aktual]]-Table1[[#This Row],[Jumlah Kompetitor]]</f>
        <v>980</v>
      </c>
      <c r="N147" t="str">
        <f>IF(Table1[[#This Row],[vs Kompetitor]]&gt;0,"Win", "Lose")</f>
        <v>Win</v>
      </c>
    </row>
    <row r="148" spans="1:14" x14ac:dyDescent="0.25">
      <c r="A148">
        <v>147</v>
      </c>
      <c r="B148" t="s">
        <v>3</v>
      </c>
      <c r="C148" t="s">
        <v>67</v>
      </c>
      <c r="D148">
        <v>2</v>
      </c>
      <c r="E148">
        <v>2021</v>
      </c>
      <c r="F148" s="2">
        <f>DATE(Table1[[#This Row],[Tahun]],Table1[[#This Row],[Bulan]],1)</f>
        <v>44228</v>
      </c>
      <c r="G148">
        <v>23</v>
      </c>
      <c r="H148">
        <v>20</v>
      </c>
      <c r="I148" s="6">
        <f>(Table1[[#This Row],[Aktual]]-Table1[[#This Row],[Target]])</f>
        <v>3</v>
      </c>
      <c r="J148" s="3">
        <f>(Table1[[#This Row],[Aktual]]-Table1[[#This Row],[Target]])/Table1[[#This Row],[Target]]</f>
        <v>0.15</v>
      </c>
      <c r="K148" t="str">
        <f>IF(Table1[[#This Row],[Performance Gap (%)]]&lt;0,"Tidak mencapai target", IF(Table1[[#This Row],[Performance Gap (%)]]=0,"Mencapai target", "Melebihi Target"))</f>
        <v>Melebihi Target</v>
      </c>
      <c r="L148">
        <f>VLOOKUP(Table1[[#This Row],[Propinsi]]&amp;"_"&amp;Table1[[#This Row],[Dati 2]]&amp;"_"&amp;Table1[[#This Row],[Tanggal]],Table2[[#All],[Kompetitor area]:[Jumlah Kompetitor]],7,0)</f>
        <v>115</v>
      </c>
      <c r="M148">
        <f>Table1[[#This Row],[Aktual]]-Table1[[#This Row],[Jumlah Kompetitor]]</f>
        <v>-92</v>
      </c>
      <c r="N148" t="str">
        <f>IF(Table1[[#This Row],[vs Kompetitor]]&gt;0,"Win", "Lose")</f>
        <v>Lose</v>
      </c>
    </row>
    <row r="149" spans="1:14" x14ac:dyDescent="0.25">
      <c r="A149">
        <v>148</v>
      </c>
      <c r="B149" t="s">
        <v>2</v>
      </c>
      <c r="C149" t="s">
        <v>68</v>
      </c>
      <c r="D149">
        <v>2</v>
      </c>
      <c r="E149">
        <v>2021</v>
      </c>
      <c r="F149" s="2">
        <f>DATE(Table1[[#This Row],[Tahun]],Table1[[#This Row],[Bulan]],1)</f>
        <v>44228</v>
      </c>
      <c r="G149">
        <v>1223</v>
      </c>
      <c r="H149">
        <v>1162</v>
      </c>
      <c r="I149" s="6">
        <f>(Table1[[#This Row],[Aktual]]-Table1[[#This Row],[Target]])</f>
        <v>61</v>
      </c>
      <c r="J149" s="3">
        <f>(Table1[[#This Row],[Aktual]]-Table1[[#This Row],[Target]])/Table1[[#This Row],[Target]]</f>
        <v>5.2495697074010327E-2</v>
      </c>
      <c r="K149" t="str">
        <f>IF(Table1[[#This Row],[Performance Gap (%)]]&lt;0,"Tidak mencapai target", IF(Table1[[#This Row],[Performance Gap (%)]]=0,"Mencapai target", "Melebihi Target"))</f>
        <v>Melebihi Target</v>
      </c>
      <c r="L149">
        <f>VLOOKUP(Table1[[#This Row],[Propinsi]]&amp;"_"&amp;Table1[[#This Row],[Dati 2]]&amp;"_"&amp;Table1[[#This Row],[Tanggal]],Table2[[#All],[Kompetitor area]:[Jumlah Kompetitor]],7,0)</f>
        <v>164</v>
      </c>
      <c r="M149">
        <f>Table1[[#This Row],[Aktual]]-Table1[[#This Row],[Jumlah Kompetitor]]</f>
        <v>1059</v>
      </c>
      <c r="N149" t="str">
        <f>IF(Table1[[#This Row],[vs Kompetitor]]&gt;0,"Win", "Lose")</f>
        <v>Win</v>
      </c>
    </row>
    <row r="150" spans="1:14" x14ac:dyDescent="0.25">
      <c r="A150">
        <v>149</v>
      </c>
      <c r="B150" t="s">
        <v>2</v>
      </c>
      <c r="C150" t="s">
        <v>69</v>
      </c>
      <c r="D150">
        <v>2</v>
      </c>
      <c r="E150">
        <v>2021</v>
      </c>
      <c r="F150" s="2">
        <f>DATE(Table1[[#This Row],[Tahun]],Table1[[#This Row],[Bulan]],1)</f>
        <v>44228</v>
      </c>
      <c r="G150">
        <v>700</v>
      </c>
      <c r="H150">
        <v>583</v>
      </c>
      <c r="I150" s="6">
        <f>(Table1[[#This Row],[Aktual]]-Table1[[#This Row],[Target]])</f>
        <v>117</v>
      </c>
      <c r="J150" s="3">
        <f>(Table1[[#This Row],[Aktual]]-Table1[[#This Row],[Target]])/Table1[[#This Row],[Target]]</f>
        <v>0.20068610634648371</v>
      </c>
      <c r="K150" t="str">
        <f>IF(Table1[[#This Row],[Performance Gap (%)]]&lt;0,"Tidak mencapai target", IF(Table1[[#This Row],[Performance Gap (%)]]=0,"Mencapai target", "Melebihi Target"))</f>
        <v>Melebihi Target</v>
      </c>
      <c r="L150">
        <f>VLOOKUP(Table1[[#This Row],[Propinsi]]&amp;"_"&amp;Table1[[#This Row],[Dati 2]]&amp;"_"&amp;Table1[[#This Row],[Tanggal]],Table2[[#All],[Kompetitor area]:[Jumlah Kompetitor]],7,0)</f>
        <v>54</v>
      </c>
      <c r="M150">
        <f>Table1[[#This Row],[Aktual]]-Table1[[#This Row],[Jumlah Kompetitor]]</f>
        <v>646</v>
      </c>
      <c r="N150" t="str">
        <f>IF(Table1[[#This Row],[vs Kompetitor]]&gt;0,"Win", "Lose")</f>
        <v>Win</v>
      </c>
    </row>
    <row r="151" spans="1:14" x14ac:dyDescent="0.25">
      <c r="A151">
        <v>150</v>
      </c>
      <c r="B151" t="s">
        <v>4</v>
      </c>
      <c r="C151" t="s">
        <v>70</v>
      </c>
      <c r="D151">
        <v>2</v>
      </c>
      <c r="E151">
        <v>2021</v>
      </c>
      <c r="F151" s="2">
        <f>DATE(Table1[[#This Row],[Tahun]],Table1[[#This Row],[Bulan]],1)</f>
        <v>44228</v>
      </c>
      <c r="G151">
        <v>824</v>
      </c>
      <c r="H151">
        <v>883</v>
      </c>
      <c r="I151" s="6">
        <f>(Table1[[#This Row],[Aktual]]-Table1[[#This Row],[Target]])</f>
        <v>-59</v>
      </c>
      <c r="J151" s="3">
        <f>(Table1[[#This Row],[Aktual]]-Table1[[#This Row],[Target]])/Table1[[#This Row],[Target]]</f>
        <v>-6.6817667044167611E-2</v>
      </c>
      <c r="K151" t="str">
        <f>IF(Table1[[#This Row],[Performance Gap (%)]]&lt;0,"Tidak mencapai target", IF(Table1[[#This Row],[Performance Gap (%)]]=0,"Mencapai target", "Melebihi Target"))</f>
        <v>Tidak mencapai target</v>
      </c>
      <c r="L151">
        <f>VLOOKUP(Table1[[#This Row],[Propinsi]]&amp;"_"&amp;Table1[[#This Row],[Dati 2]]&amp;"_"&amp;Table1[[#This Row],[Tanggal]],Table2[[#All],[Kompetitor area]:[Jumlah Kompetitor]],7,0)</f>
        <v>32</v>
      </c>
      <c r="M151">
        <f>Table1[[#This Row],[Aktual]]-Table1[[#This Row],[Jumlah Kompetitor]]</f>
        <v>792</v>
      </c>
      <c r="N151" t="str">
        <f>IF(Table1[[#This Row],[vs Kompetitor]]&gt;0,"Win", "Lose")</f>
        <v>Win</v>
      </c>
    </row>
    <row r="152" spans="1:14" x14ac:dyDescent="0.25">
      <c r="A152">
        <v>151</v>
      </c>
      <c r="B152" t="s">
        <v>4</v>
      </c>
      <c r="C152" t="s">
        <v>71</v>
      </c>
      <c r="D152">
        <v>2</v>
      </c>
      <c r="E152">
        <v>2021</v>
      </c>
      <c r="F152" s="2">
        <f>DATE(Table1[[#This Row],[Tahun]],Table1[[#This Row],[Bulan]],1)</f>
        <v>44228</v>
      </c>
      <c r="G152">
        <v>1565</v>
      </c>
      <c r="H152">
        <v>1458</v>
      </c>
      <c r="I152" s="6">
        <f>(Table1[[#This Row],[Aktual]]-Table1[[#This Row],[Target]])</f>
        <v>107</v>
      </c>
      <c r="J152" s="3">
        <f>(Table1[[#This Row],[Aktual]]-Table1[[#This Row],[Target]])/Table1[[#This Row],[Target]]</f>
        <v>7.3388203017832651E-2</v>
      </c>
      <c r="K152" t="str">
        <f>IF(Table1[[#This Row],[Performance Gap (%)]]&lt;0,"Tidak mencapai target", IF(Table1[[#This Row],[Performance Gap (%)]]=0,"Mencapai target", "Melebihi Target"))</f>
        <v>Melebihi Target</v>
      </c>
      <c r="L152">
        <f>VLOOKUP(Table1[[#This Row],[Propinsi]]&amp;"_"&amp;Table1[[#This Row],[Dati 2]]&amp;"_"&amp;Table1[[#This Row],[Tanggal]],Table2[[#All],[Kompetitor area]:[Jumlah Kompetitor]],7,0)</f>
        <v>196</v>
      </c>
      <c r="M152">
        <f>Table1[[#This Row],[Aktual]]-Table1[[#This Row],[Jumlah Kompetitor]]</f>
        <v>1369</v>
      </c>
      <c r="N152" t="str">
        <f>IF(Table1[[#This Row],[vs Kompetitor]]&gt;0,"Win", "Lose")</f>
        <v>Win</v>
      </c>
    </row>
    <row r="153" spans="1:14" x14ac:dyDescent="0.25">
      <c r="A153">
        <v>152</v>
      </c>
      <c r="B153" t="s">
        <v>4</v>
      </c>
      <c r="C153" t="s">
        <v>72</v>
      </c>
      <c r="D153">
        <v>2</v>
      </c>
      <c r="E153">
        <v>2021</v>
      </c>
      <c r="F153" s="2">
        <f>DATE(Table1[[#This Row],[Tahun]],Table1[[#This Row],[Bulan]],1)</f>
        <v>44228</v>
      </c>
      <c r="G153">
        <v>1312</v>
      </c>
      <c r="H153">
        <v>1259</v>
      </c>
      <c r="I153" s="6">
        <f>(Table1[[#This Row],[Aktual]]-Table1[[#This Row],[Target]])</f>
        <v>53</v>
      </c>
      <c r="J153" s="3">
        <f>(Table1[[#This Row],[Aktual]]-Table1[[#This Row],[Target]])/Table1[[#This Row],[Target]]</f>
        <v>4.2096902303415409E-2</v>
      </c>
      <c r="K153" t="str">
        <f>IF(Table1[[#This Row],[Performance Gap (%)]]&lt;0,"Tidak mencapai target", IF(Table1[[#This Row],[Performance Gap (%)]]=0,"Mencapai target", "Melebihi Target"))</f>
        <v>Melebihi Target</v>
      </c>
      <c r="L153">
        <f>VLOOKUP(Table1[[#This Row],[Propinsi]]&amp;"_"&amp;Table1[[#This Row],[Dati 2]]&amp;"_"&amp;Table1[[#This Row],[Tanggal]],Table2[[#All],[Kompetitor area]:[Jumlah Kompetitor]],7,0)</f>
        <v>312</v>
      </c>
      <c r="M153">
        <f>Table1[[#This Row],[Aktual]]-Table1[[#This Row],[Jumlah Kompetitor]]</f>
        <v>1000</v>
      </c>
      <c r="N153" t="str">
        <f>IF(Table1[[#This Row],[vs Kompetitor]]&gt;0,"Win", "Lose")</f>
        <v>Win</v>
      </c>
    </row>
    <row r="154" spans="1:14" x14ac:dyDescent="0.25">
      <c r="A154">
        <v>153</v>
      </c>
      <c r="B154" t="s">
        <v>4</v>
      </c>
      <c r="C154" t="s">
        <v>73</v>
      </c>
      <c r="D154">
        <v>2</v>
      </c>
      <c r="E154">
        <v>2021</v>
      </c>
      <c r="F154" s="2">
        <f>DATE(Table1[[#This Row],[Tahun]],Table1[[#This Row],[Bulan]],1)</f>
        <v>44228</v>
      </c>
      <c r="G154">
        <v>1574</v>
      </c>
      <c r="H154">
        <v>1521</v>
      </c>
      <c r="I154" s="6">
        <f>(Table1[[#This Row],[Aktual]]-Table1[[#This Row],[Target]])</f>
        <v>53</v>
      </c>
      <c r="J154" s="3">
        <f>(Table1[[#This Row],[Aktual]]-Table1[[#This Row],[Target]])/Table1[[#This Row],[Target]]</f>
        <v>3.4845496383957925E-2</v>
      </c>
      <c r="K154" t="str">
        <f>IF(Table1[[#This Row],[Performance Gap (%)]]&lt;0,"Tidak mencapai target", IF(Table1[[#This Row],[Performance Gap (%)]]=0,"Mencapai target", "Melebihi Target"))</f>
        <v>Melebihi Target</v>
      </c>
      <c r="L154">
        <f>VLOOKUP(Table1[[#This Row],[Propinsi]]&amp;"_"&amp;Table1[[#This Row],[Dati 2]]&amp;"_"&amp;Table1[[#This Row],[Tanggal]],Table2[[#All],[Kompetitor area]:[Jumlah Kompetitor]],7,0)</f>
        <v>27</v>
      </c>
      <c r="M154">
        <f>Table1[[#This Row],[Aktual]]-Table1[[#This Row],[Jumlah Kompetitor]]</f>
        <v>1547</v>
      </c>
      <c r="N154" t="str">
        <f>IF(Table1[[#This Row],[vs Kompetitor]]&gt;0,"Win", "Lose")</f>
        <v>Win</v>
      </c>
    </row>
    <row r="155" spans="1:14" x14ac:dyDescent="0.25">
      <c r="A155">
        <v>154</v>
      </c>
      <c r="B155" t="s">
        <v>4</v>
      </c>
      <c r="C155" t="s">
        <v>74</v>
      </c>
      <c r="D155">
        <v>2</v>
      </c>
      <c r="E155">
        <v>2021</v>
      </c>
      <c r="F155" s="2">
        <f>DATE(Table1[[#This Row],[Tahun]],Table1[[#This Row],[Bulan]],1)</f>
        <v>44228</v>
      </c>
      <c r="G155">
        <v>1513</v>
      </c>
      <c r="H155">
        <v>1516</v>
      </c>
      <c r="I155" s="6">
        <f>(Table1[[#This Row],[Aktual]]-Table1[[#This Row],[Target]])</f>
        <v>-3</v>
      </c>
      <c r="J155" s="3">
        <f>(Table1[[#This Row],[Aktual]]-Table1[[#This Row],[Target]])/Table1[[#This Row],[Target]]</f>
        <v>-1.9788918205804751E-3</v>
      </c>
      <c r="K155" t="str">
        <f>IF(Table1[[#This Row],[Performance Gap (%)]]&lt;0,"Tidak mencapai target", IF(Table1[[#This Row],[Performance Gap (%)]]=0,"Mencapai target", "Melebihi Target"))</f>
        <v>Tidak mencapai target</v>
      </c>
      <c r="L155">
        <f>VLOOKUP(Table1[[#This Row],[Propinsi]]&amp;"_"&amp;Table1[[#This Row],[Dati 2]]&amp;"_"&amp;Table1[[#This Row],[Tanggal]],Table2[[#All],[Kompetitor area]:[Jumlah Kompetitor]],7,0)</f>
        <v>174</v>
      </c>
      <c r="M155">
        <f>Table1[[#This Row],[Aktual]]-Table1[[#This Row],[Jumlah Kompetitor]]</f>
        <v>1339</v>
      </c>
      <c r="N155" t="str">
        <f>IF(Table1[[#This Row],[vs Kompetitor]]&gt;0,"Win", "Lose")</f>
        <v>Win</v>
      </c>
    </row>
    <row r="156" spans="1:14" x14ac:dyDescent="0.25">
      <c r="A156">
        <v>155</v>
      </c>
      <c r="B156" t="s">
        <v>4</v>
      </c>
      <c r="C156" t="s">
        <v>75</v>
      </c>
      <c r="D156">
        <v>2</v>
      </c>
      <c r="E156">
        <v>2021</v>
      </c>
      <c r="F156" s="2">
        <f>DATE(Table1[[#This Row],[Tahun]],Table1[[#This Row],[Bulan]],1)</f>
        <v>44228</v>
      </c>
      <c r="G156">
        <v>427</v>
      </c>
      <c r="H156">
        <v>429</v>
      </c>
      <c r="I156" s="6">
        <f>(Table1[[#This Row],[Aktual]]-Table1[[#This Row],[Target]])</f>
        <v>-2</v>
      </c>
      <c r="J156" s="3">
        <f>(Table1[[#This Row],[Aktual]]-Table1[[#This Row],[Target]])/Table1[[#This Row],[Target]]</f>
        <v>-4.662004662004662E-3</v>
      </c>
      <c r="K156" t="str">
        <f>IF(Table1[[#This Row],[Performance Gap (%)]]&lt;0,"Tidak mencapai target", IF(Table1[[#This Row],[Performance Gap (%)]]=0,"Mencapai target", "Melebihi Target"))</f>
        <v>Tidak mencapai target</v>
      </c>
      <c r="L156">
        <f>VLOOKUP(Table1[[#This Row],[Propinsi]]&amp;"_"&amp;Table1[[#This Row],[Dati 2]]&amp;"_"&amp;Table1[[#This Row],[Tanggal]],Table2[[#All],[Kompetitor area]:[Jumlah Kompetitor]],7,0)</f>
        <v>123</v>
      </c>
      <c r="M156">
        <f>Table1[[#This Row],[Aktual]]-Table1[[#This Row],[Jumlah Kompetitor]]</f>
        <v>304</v>
      </c>
      <c r="N156" t="str">
        <f>IF(Table1[[#This Row],[vs Kompetitor]]&gt;0,"Win", "Lose")</f>
        <v>Win</v>
      </c>
    </row>
    <row r="157" spans="1:14" x14ac:dyDescent="0.25">
      <c r="A157">
        <v>156</v>
      </c>
      <c r="B157" t="s">
        <v>4</v>
      </c>
      <c r="C157" t="s">
        <v>76</v>
      </c>
      <c r="D157">
        <v>2</v>
      </c>
      <c r="E157">
        <v>2021</v>
      </c>
      <c r="F157" s="2">
        <f>DATE(Table1[[#This Row],[Tahun]],Table1[[#This Row],[Bulan]],1)</f>
        <v>44228</v>
      </c>
      <c r="G157">
        <v>579</v>
      </c>
      <c r="H157">
        <v>499</v>
      </c>
      <c r="I157" s="6">
        <f>(Table1[[#This Row],[Aktual]]-Table1[[#This Row],[Target]])</f>
        <v>80</v>
      </c>
      <c r="J157" s="3">
        <f>(Table1[[#This Row],[Aktual]]-Table1[[#This Row],[Target]])/Table1[[#This Row],[Target]]</f>
        <v>0.16032064128256512</v>
      </c>
      <c r="K157" t="str">
        <f>IF(Table1[[#This Row],[Performance Gap (%)]]&lt;0,"Tidak mencapai target", IF(Table1[[#This Row],[Performance Gap (%)]]=0,"Mencapai target", "Melebihi Target"))</f>
        <v>Melebihi Target</v>
      </c>
      <c r="L157">
        <f>VLOOKUP(Table1[[#This Row],[Propinsi]]&amp;"_"&amp;Table1[[#This Row],[Dati 2]]&amp;"_"&amp;Table1[[#This Row],[Tanggal]],Table2[[#All],[Kompetitor area]:[Jumlah Kompetitor]],7,0)</f>
        <v>70</v>
      </c>
      <c r="M157">
        <f>Table1[[#This Row],[Aktual]]-Table1[[#This Row],[Jumlah Kompetitor]]</f>
        <v>509</v>
      </c>
      <c r="N157" t="str">
        <f>IF(Table1[[#This Row],[vs Kompetitor]]&gt;0,"Win", "Lose")</f>
        <v>Win</v>
      </c>
    </row>
    <row r="158" spans="1:14" x14ac:dyDescent="0.25">
      <c r="A158">
        <v>157</v>
      </c>
      <c r="B158" t="s">
        <v>4</v>
      </c>
      <c r="C158" t="s">
        <v>77</v>
      </c>
      <c r="D158">
        <v>2</v>
      </c>
      <c r="E158">
        <v>2021</v>
      </c>
      <c r="F158" s="2">
        <f>DATE(Table1[[#This Row],[Tahun]],Table1[[#This Row],[Bulan]],1)</f>
        <v>44228</v>
      </c>
      <c r="G158">
        <v>717</v>
      </c>
      <c r="H158">
        <v>666</v>
      </c>
      <c r="I158" s="6">
        <f>(Table1[[#This Row],[Aktual]]-Table1[[#This Row],[Target]])</f>
        <v>51</v>
      </c>
      <c r="J158" s="3">
        <f>(Table1[[#This Row],[Aktual]]-Table1[[#This Row],[Target]])/Table1[[#This Row],[Target]]</f>
        <v>7.6576576576576572E-2</v>
      </c>
      <c r="K158" t="str">
        <f>IF(Table1[[#This Row],[Performance Gap (%)]]&lt;0,"Tidak mencapai target", IF(Table1[[#This Row],[Performance Gap (%)]]=0,"Mencapai target", "Melebihi Target"))</f>
        <v>Melebihi Target</v>
      </c>
      <c r="L158">
        <f>VLOOKUP(Table1[[#This Row],[Propinsi]]&amp;"_"&amp;Table1[[#This Row],[Dati 2]]&amp;"_"&amp;Table1[[#This Row],[Tanggal]],Table2[[#All],[Kompetitor area]:[Jumlah Kompetitor]],7,0)</f>
        <v>135</v>
      </c>
      <c r="M158">
        <f>Table1[[#This Row],[Aktual]]-Table1[[#This Row],[Jumlah Kompetitor]]</f>
        <v>582</v>
      </c>
      <c r="N158" t="str">
        <f>IF(Table1[[#This Row],[vs Kompetitor]]&gt;0,"Win", "Lose")</f>
        <v>Win</v>
      </c>
    </row>
    <row r="159" spans="1:14" x14ac:dyDescent="0.25">
      <c r="A159">
        <v>158</v>
      </c>
      <c r="B159" t="s">
        <v>4</v>
      </c>
      <c r="C159" t="s">
        <v>78</v>
      </c>
      <c r="D159">
        <v>2</v>
      </c>
      <c r="E159">
        <v>2021</v>
      </c>
      <c r="F159" s="2">
        <f>DATE(Table1[[#This Row],[Tahun]],Table1[[#This Row],[Bulan]],1)</f>
        <v>44228</v>
      </c>
      <c r="G159">
        <v>950</v>
      </c>
      <c r="H159">
        <v>820</v>
      </c>
      <c r="I159" s="6">
        <f>(Table1[[#This Row],[Aktual]]-Table1[[#This Row],[Target]])</f>
        <v>130</v>
      </c>
      <c r="J159" s="3">
        <f>(Table1[[#This Row],[Aktual]]-Table1[[#This Row],[Target]])/Table1[[#This Row],[Target]]</f>
        <v>0.15853658536585366</v>
      </c>
      <c r="K159" t="str">
        <f>IF(Table1[[#This Row],[Performance Gap (%)]]&lt;0,"Tidak mencapai target", IF(Table1[[#This Row],[Performance Gap (%)]]=0,"Mencapai target", "Melebihi Target"))</f>
        <v>Melebihi Target</v>
      </c>
      <c r="L159">
        <f>VLOOKUP(Table1[[#This Row],[Propinsi]]&amp;"_"&amp;Table1[[#This Row],[Dati 2]]&amp;"_"&amp;Table1[[#This Row],[Tanggal]],Table2[[#All],[Kompetitor area]:[Jumlah Kompetitor]],7,0)</f>
        <v>45</v>
      </c>
      <c r="M159">
        <f>Table1[[#This Row],[Aktual]]-Table1[[#This Row],[Jumlah Kompetitor]]</f>
        <v>905</v>
      </c>
      <c r="N159" t="str">
        <f>IF(Table1[[#This Row],[vs Kompetitor]]&gt;0,"Win", "Lose")</f>
        <v>Win</v>
      </c>
    </row>
    <row r="160" spans="1:14" x14ac:dyDescent="0.25">
      <c r="A160">
        <v>159</v>
      </c>
      <c r="B160" t="s">
        <v>2</v>
      </c>
      <c r="C160" t="s">
        <v>79</v>
      </c>
      <c r="D160">
        <v>2</v>
      </c>
      <c r="E160">
        <v>2021</v>
      </c>
      <c r="F160" s="2">
        <f>DATE(Table1[[#This Row],[Tahun]],Table1[[#This Row],[Bulan]],1)</f>
        <v>44228</v>
      </c>
      <c r="G160">
        <v>452</v>
      </c>
      <c r="H160">
        <v>379</v>
      </c>
      <c r="I160" s="6">
        <f>(Table1[[#This Row],[Aktual]]-Table1[[#This Row],[Target]])</f>
        <v>73</v>
      </c>
      <c r="J160" s="3">
        <f>(Table1[[#This Row],[Aktual]]-Table1[[#This Row],[Target]])/Table1[[#This Row],[Target]]</f>
        <v>0.19261213720316622</v>
      </c>
      <c r="K160" t="str">
        <f>IF(Table1[[#This Row],[Performance Gap (%)]]&lt;0,"Tidak mencapai target", IF(Table1[[#This Row],[Performance Gap (%)]]=0,"Mencapai target", "Melebihi Target"))</f>
        <v>Melebihi Target</v>
      </c>
      <c r="L160">
        <f>VLOOKUP(Table1[[#This Row],[Propinsi]]&amp;"_"&amp;Table1[[#This Row],[Dati 2]]&amp;"_"&amp;Table1[[#This Row],[Tanggal]],Table2[[#All],[Kompetitor area]:[Jumlah Kompetitor]],7,0)</f>
        <v>21</v>
      </c>
      <c r="M160">
        <f>Table1[[#This Row],[Aktual]]-Table1[[#This Row],[Jumlah Kompetitor]]</f>
        <v>431</v>
      </c>
      <c r="N160" t="str">
        <f>IF(Table1[[#This Row],[vs Kompetitor]]&gt;0,"Win", "Lose")</f>
        <v>Win</v>
      </c>
    </row>
    <row r="161" spans="1:14" x14ac:dyDescent="0.25">
      <c r="A161">
        <v>160</v>
      </c>
      <c r="B161" t="s">
        <v>2</v>
      </c>
      <c r="C161" t="s">
        <v>80</v>
      </c>
      <c r="D161">
        <v>2</v>
      </c>
      <c r="E161">
        <v>2021</v>
      </c>
      <c r="F161" s="2">
        <f>DATE(Table1[[#This Row],[Tahun]],Table1[[#This Row],[Bulan]],1)</f>
        <v>44228</v>
      </c>
      <c r="G161">
        <v>598</v>
      </c>
      <c r="H161">
        <v>611</v>
      </c>
      <c r="I161" s="6">
        <f>(Table1[[#This Row],[Aktual]]-Table1[[#This Row],[Target]])</f>
        <v>-13</v>
      </c>
      <c r="J161" s="3">
        <f>(Table1[[#This Row],[Aktual]]-Table1[[#This Row],[Target]])/Table1[[#This Row],[Target]]</f>
        <v>-2.1276595744680851E-2</v>
      </c>
      <c r="K161" t="str">
        <f>IF(Table1[[#This Row],[Performance Gap (%)]]&lt;0,"Tidak mencapai target", IF(Table1[[#This Row],[Performance Gap (%)]]=0,"Mencapai target", "Melebihi Target"))</f>
        <v>Tidak mencapai target</v>
      </c>
      <c r="L161">
        <f>VLOOKUP(Table1[[#This Row],[Propinsi]]&amp;"_"&amp;Table1[[#This Row],[Dati 2]]&amp;"_"&amp;Table1[[#This Row],[Tanggal]],Table2[[#All],[Kompetitor area]:[Jumlah Kompetitor]],7,0)</f>
        <v>62</v>
      </c>
      <c r="M161">
        <f>Table1[[#This Row],[Aktual]]-Table1[[#This Row],[Jumlah Kompetitor]]</f>
        <v>536</v>
      </c>
      <c r="N161" t="str">
        <f>IF(Table1[[#This Row],[vs Kompetitor]]&gt;0,"Win", "Lose")</f>
        <v>Win</v>
      </c>
    </row>
    <row r="162" spans="1:14" x14ac:dyDescent="0.25">
      <c r="A162">
        <v>161</v>
      </c>
      <c r="B162" t="s">
        <v>2</v>
      </c>
      <c r="C162" t="s">
        <v>81</v>
      </c>
      <c r="D162">
        <v>2</v>
      </c>
      <c r="E162">
        <v>2021</v>
      </c>
      <c r="F162" s="2">
        <f>DATE(Table1[[#This Row],[Tahun]],Table1[[#This Row],[Bulan]],1)</f>
        <v>44228</v>
      </c>
      <c r="G162">
        <v>1082</v>
      </c>
      <c r="H162">
        <v>1027</v>
      </c>
      <c r="I162" s="6">
        <f>(Table1[[#This Row],[Aktual]]-Table1[[#This Row],[Target]])</f>
        <v>55</v>
      </c>
      <c r="J162" s="3">
        <f>(Table1[[#This Row],[Aktual]]-Table1[[#This Row],[Target]])/Table1[[#This Row],[Target]]</f>
        <v>5.3554040895813046E-2</v>
      </c>
      <c r="K162" t="str">
        <f>IF(Table1[[#This Row],[Performance Gap (%)]]&lt;0,"Tidak mencapai target", IF(Table1[[#This Row],[Performance Gap (%)]]=0,"Mencapai target", "Melebihi Target"))</f>
        <v>Melebihi Target</v>
      </c>
      <c r="L162">
        <f>VLOOKUP(Table1[[#This Row],[Propinsi]]&amp;"_"&amp;Table1[[#This Row],[Dati 2]]&amp;"_"&amp;Table1[[#This Row],[Tanggal]],Table2[[#All],[Kompetitor area]:[Jumlah Kompetitor]],7,0)</f>
        <v>20</v>
      </c>
      <c r="M162">
        <f>Table1[[#This Row],[Aktual]]-Table1[[#This Row],[Jumlah Kompetitor]]</f>
        <v>1062</v>
      </c>
      <c r="N162" t="str">
        <f>IF(Table1[[#This Row],[vs Kompetitor]]&gt;0,"Win", "Lose")</f>
        <v>Win</v>
      </c>
    </row>
    <row r="163" spans="1:14" x14ac:dyDescent="0.25">
      <c r="A163">
        <v>162</v>
      </c>
      <c r="B163" t="s">
        <v>2</v>
      </c>
      <c r="C163" t="s">
        <v>82</v>
      </c>
      <c r="D163">
        <v>2</v>
      </c>
      <c r="E163">
        <v>2021</v>
      </c>
      <c r="F163" s="2">
        <f>DATE(Table1[[#This Row],[Tahun]],Table1[[#This Row],[Bulan]],1)</f>
        <v>44228</v>
      </c>
      <c r="G163">
        <v>265</v>
      </c>
      <c r="H163">
        <v>245</v>
      </c>
      <c r="I163" s="6">
        <f>(Table1[[#This Row],[Aktual]]-Table1[[#This Row],[Target]])</f>
        <v>20</v>
      </c>
      <c r="J163" s="3">
        <f>(Table1[[#This Row],[Aktual]]-Table1[[#This Row],[Target]])/Table1[[#This Row],[Target]]</f>
        <v>8.1632653061224483E-2</v>
      </c>
      <c r="K163" t="str">
        <f>IF(Table1[[#This Row],[Performance Gap (%)]]&lt;0,"Tidak mencapai target", IF(Table1[[#This Row],[Performance Gap (%)]]=0,"Mencapai target", "Melebihi Target"))</f>
        <v>Melebihi Target</v>
      </c>
      <c r="L163">
        <f>VLOOKUP(Table1[[#This Row],[Propinsi]]&amp;"_"&amp;Table1[[#This Row],[Dati 2]]&amp;"_"&amp;Table1[[#This Row],[Tanggal]],Table2[[#All],[Kompetitor area]:[Jumlah Kompetitor]],7,0)</f>
        <v>30</v>
      </c>
      <c r="M163">
        <f>Table1[[#This Row],[Aktual]]-Table1[[#This Row],[Jumlah Kompetitor]]</f>
        <v>235</v>
      </c>
      <c r="N163" t="str">
        <f>IF(Table1[[#This Row],[vs Kompetitor]]&gt;0,"Win", "Lose")</f>
        <v>Win</v>
      </c>
    </row>
    <row r="164" spans="1:14" x14ac:dyDescent="0.25">
      <c r="A164">
        <v>163</v>
      </c>
      <c r="B164" t="s">
        <v>4</v>
      </c>
      <c r="C164" t="s">
        <v>83</v>
      </c>
      <c r="D164">
        <v>2</v>
      </c>
      <c r="E164">
        <v>2021</v>
      </c>
      <c r="F164" s="2">
        <f>DATE(Table1[[#This Row],[Tahun]],Table1[[#This Row],[Bulan]],1)</f>
        <v>44228</v>
      </c>
      <c r="G164">
        <v>134</v>
      </c>
      <c r="H164">
        <v>126</v>
      </c>
      <c r="I164" s="6">
        <f>(Table1[[#This Row],[Aktual]]-Table1[[#This Row],[Target]])</f>
        <v>8</v>
      </c>
      <c r="J164" s="3">
        <f>(Table1[[#This Row],[Aktual]]-Table1[[#This Row],[Target]])/Table1[[#This Row],[Target]]</f>
        <v>6.3492063492063489E-2</v>
      </c>
      <c r="K164" t="str">
        <f>IF(Table1[[#This Row],[Performance Gap (%)]]&lt;0,"Tidak mencapai target", IF(Table1[[#This Row],[Performance Gap (%)]]=0,"Mencapai target", "Melebihi Target"))</f>
        <v>Melebihi Target</v>
      </c>
      <c r="L164">
        <f>VLOOKUP(Table1[[#This Row],[Propinsi]]&amp;"_"&amp;Table1[[#This Row],[Dati 2]]&amp;"_"&amp;Table1[[#This Row],[Tanggal]],Table2[[#All],[Kompetitor area]:[Jumlah Kompetitor]],7,0)</f>
        <v>28</v>
      </c>
      <c r="M164">
        <f>Table1[[#This Row],[Aktual]]-Table1[[#This Row],[Jumlah Kompetitor]]</f>
        <v>106</v>
      </c>
      <c r="N164" t="str">
        <f>IF(Table1[[#This Row],[vs Kompetitor]]&gt;0,"Win", "Lose")</f>
        <v>Win</v>
      </c>
    </row>
    <row r="165" spans="1:14" x14ac:dyDescent="0.25">
      <c r="A165">
        <v>164</v>
      </c>
      <c r="B165" t="s">
        <v>4</v>
      </c>
      <c r="C165" t="s">
        <v>84</v>
      </c>
      <c r="D165">
        <v>2</v>
      </c>
      <c r="E165">
        <v>2021</v>
      </c>
      <c r="F165" s="2">
        <f>DATE(Table1[[#This Row],[Tahun]],Table1[[#This Row],[Bulan]],1)</f>
        <v>44228</v>
      </c>
      <c r="G165">
        <v>1991</v>
      </c>
      <c r="H165">
        <v>1744</v>
      </c>
      <c r="I165" s="6">
        <f>(Table1[[#This Row],[Aktual]]-Table1[[#This Row],[Target]])</f>
        <v>247</v>
      </c>
      <c r="J165" s="3">
        <f>(Table1[[#This Row],[Aktual]]-Table1[[#This Row],[Target]])/Table1[[#This Row],[Target]]</f>
        <v>0.14162844036697247</v>
      </c>
      <c r="K165" t="str">
        <f>IF(Table1[[#This Row],[Performance Gap (%)]]&lt;0,"Tidak mencapai target", IF(Table1[[#This Row],[Performance Gap (%)]]=0,"Mencapai target", "Melebihi Target"))</f>
        <v>Melebihi Target</v>
      </c>
      <c r="L165">
        <f>VLOOKUP(Table1[[#This Row],[Propinsi]]&amp;"_"&amp;Table1[[#This Row],[Dati 2]]&amp;"_"&amp;Table1[[#This Row],[Tanggal]],Table2[[#All],[Kompetitor area]:[Jumlah Kompetitor]],7,0)</f>
        <v>179</v>
      </c>
      <c r="M165">
        <f>Table1[[#This Row],[Aktual]]-Table1[[#This Row],[Jumlah Kompetitor]]</f>
        <v>1812</v>
      </c>
      <c r="N165" t="str">
        <f>IF(Table1[[#This Row],[vs Kompetitor]]&gt;0,"Win", "Lose")</f>
        <v>Win</v>
      </c>
    </row>
    <row r="166" spans="1:14" x14ac:dyDescent="0.25">
      <c r="A166">
        <v>165</v>
      </c>
      <c r="B166" t="s">
        <v>4</v>
      </c>
      <c r="C166" t="s">
        <v>85</v>
      </c>
      <c r="D166">
        <v>2</v>
      </c>
      <c r="E166">
        <v>2021</v>
      </c>
      <c r="F166" s="2">
        <f>DATE(Table1[[#This Row],[Tahun]],Table1[[#This Row],[Bulan]],1)</f>
        <v>44228</v>
      </c>
      <c r="G166">
        <v>1058</v>
      </c>
      <c r="H166">
        <v>865</v>
      </c>
      <c r="I166" s="6">
        <f>(Table1[[#This Row],[Aktual]]-Table1[[#This Row],[Target]])</f>
        <v>193</v>
      </c>
      <c r="J166" s="3">
        <f>(Table1[[#This Row],[Aktual]]-Table1[[#This Row],[Target]])/Table1[[#This Row],[Target]]</f>
        <v>0.22312138728323699</v>
      </c>
      <c r="K166" t="str">
        <f>IF(Table1[[#This Row],[Performance Gap (%)]]&lt;0,"Tidak mencapai target", IF(Table1[[#This Row],[Performance Gap (%)]]=0,"Mencapai target", "Melebihi Target"))</f>
        <v>Melebihi Target</v>
      </c>
      <c r="L166">
        <f>VLOOKUP(Table1[[#This Row],[Propinsi]]&amp;"_"&amp;Table1[[#This Row],[Dati 2]]&amp;"_"&amp;Table1[[#This Row],[Tanggal]],Table2[[#All],[Kompetitor area]:[Jumlah Kompetitor]],7,0)</f>
        <v>114</v>
      </c>
      <c r="M166">
        <f>Table1[[#This Row],[Aktual]]-Table1[[#This Row],[Jumlah Kompetitor]]</f>
        <v>944</v>
      </c>
      <c r="N166" t="str">
        <f>IF(Table1[[#This Row],[vs Kompetitor]]&gt;0,"Win", "Lose")</f>
        <v>Win</v>
      </c>
    </row>
    <row r="167" spans="1:14" x14ac:dyDescent="0.25">
      <c r="A167">
        <v>166</v>
      </c>
      <c r="B167" t="s">
        <v>4</v>
      </c>
      <c r="C167" t="s">
        <v>86</v>
      </c>
      <c r="D167">
        <v>2</v>
      </c>
      <c r="E167">
        <v>2021</v>
      </c>
      <c r="F167" s="2">
        <f>DATE(Table1[[#This Row],[Tahun]],Table1[[#This Row],[Bulan]],1)</f>
        <v>44228</v>
      </c>
      <c r="G167">
        <v>208</v>
      </c>
      <c r="H167">
        <v>188</v>
      </c>
      <c r="I167" s="6">
        <f>(Table1[[#This Row],[Aktual]]-Table1[[#This Row],[Target]])</f>
        <v>20</v>
      </c>
      <c r="J167" s="3">
        <f>(Table1[[#This Row],[Aktual]]-Table1[[#This Row],[Target]])/Table1[[#This Row],[Target]]</f>
        <v>0.10638297872340426</v>
      </c>
      <c r="K167" t="str">
        <f>IF(Table1[[#This Row],[Performance Gap (%)]]&lt;0,"Tidak mencapai target", IF(Table1[[#This Row],[Performance Gap (%)]]=0,"Mencapai target", "Melebihi Target"))</f>
        <v>Melebihi Target</v>
      </c>
      <c r="L167">
        <f>VLOOKUP(Table1[[#This Row],[Propinsi]]&amp;"_"&amp;Table1[[#This Row],[Dati 2]]&amp;"_"&amp;Table1[[#This Row],[Tanggal]],Table2[[#All],[Kompetitor area]:[Jumlah Kompetitor]],7,0)</f>
        <v>136</v>
      </c>
      <c r="M167">
        <f>Table1[[#This Row],[Aktual]]-Table1[[#This Row],[Jumlah Kompetitor]]</f>
        <v>72</v>
      </c>
      <c r="N167" t="str">
        <f>IF(Table1[[#This Row],[vs Kompetitor]]&gt;0,"Win", "Lose")</f>
        <v>Win</v>
      </c>
    </row>
    <row r="168" spans="1:14" x14ac:dyDescent="0.25">
      <c r="A168">
        <v>167</v>
      </c>
      <c r="B168" t="s">
        <v>4</v>
      </c>
      <c r="C168" t="s">
        <v>87</v>
      </c>
      <c r="D168">
        <v>2</v>
      </c>
      <c r="E168">
        <v>2021</v>
      </c>
      <c r="F168" s="2">
        <f>DATE(Table1[[#This Row],[Tahun]],Table1[[#This Row],[Bulan]],1)</f>
        <v>44228</v>
      </c>
      <c r="G168">
        <v>1134</v>
      </c>
      <c r="H168">
        <v>1228</v>
      </c>
      <c r="I168" s="6">
        <f>(Table1[[#This Row],[Aktual]]-Table1[[#This Row],[Target]])</f>
        <v>-94</v>
      </c>
      <c r="J168" s="3">
        <f>(Table1[[#This Row],[Aktual]]-Table1[[#This Row],[Target]])/Table1[[#This Row],[Target]]</f>
        <v>-7.6547231270358312E-2</v>
      </c>
      <c r="K168" t="str">
        <f>IF(Table1[[#This Row],[Performance Gap (%)]]&lt;0,"Tidak mencapai target", IF(Table1[[#This Row],[Performance Gap (%)]]=0,"Mencapai target", "Melebihi Target"))</f>
        <v>Tidak mencapai target</v>
      </c>
      <c r="L168">
        <f>VLOOKUP(Table1[[#This Row],[Propinsi]]&amp;"_"&amp;Table1[[#This Row],[Dati 2]]&amp;"_"&amp;Table1[[#This Row],[Tanggal]],Table2[[#All],[Kompetitor area]:[Jumlah Kompetitor]],7,0)</f>
        <v>122</v>
      </c>
      <c r="M168">
        <f>Table1[[#This Row],[Aktual]]-Table1[[#This Row],[Jumlah Kompetitor]]</f>
        <v>1012</v>
      </c>
      <c r="N168" t="str">
        <f>IF(Table1[[#This Row],[vs Kompetitor]]&gt;0,"Win", "Lose")</f>
        <v>Win</v>
      </c>
    </row>
    <row r="169" spans="1:14" x14ac:dyDescent="0.25">
      <c r="A169">
        <v>168</v>
      </c>
      <c r="B169" t="s">
        <v>4</v>
      </c>
      <c r="C169" t="s">
        <v>88</v>
      </c>
      <c r="D169">
        <v>2</v>
      </c>
      <c r="E169">
        <v>2021</v>
      </c>
      <c r="F169" s="2">
        <f>DATE(Table1[[#This Row],[Tahun]],Table1[[#This Row],[Bulan]],1)</f>
        <v>44228</v>
      </c>
      <c r="G169">
        <v>971</v>
      </c>
      <c r="H169">
        <v>802</v>
      </c>
      <c r="I169" s="6">
        <f>(Table1[[#This Row],[Aktual]]-Table1[[#This Row],[Target]])</f>
        <v>169</v>
      </c>
      <c r="J169" s="3">
        <f>(Table1[[#This Row],[Aktual]]-Table1[[#This Row],[Target]])/Table1[[#This Row],[Target]]</f>
        <v>0.21072319201995013</v>
      </c>
      <c r="K169" t="str">
        <f>IF(Table1[[#This Row],[Performance Gap (%)]]&lt;0,"Tidak mencapai target", IF(Table1[[#This Row],[Performance Gap (%)]]=0,"Mencapai target", "Melebihi Target"))</f>
        <v>Melebihi Target</v>
      </c>
      <c r="L169">
        <f>VLOOKUP(Table1[[#This Row],[Propinsi]]&amp;"_"&amp;Table1[[#This Row],[Dati 2]]&amp;"_"&amp;Table1[[#This Row],[Tanggal]],Table2[[#All],[Kompetitor area]:[Jumlah Kompetitor]],7,0)</f>
        <v>75</v>
      </c>
      <c r="M169">
        <f>Table1[[#This Row],[Aktual]]-Table1[[#This Row],[Jumlah Kompetitor]]</f>
        <v>896</v>
      </c>
      <c r="N169" t="str">
        <f>IF(Table1[[#This Row],[vs Kompetitor]]&gt;0,"Win", "Lose")</f>
        <v>Win</v>
      </c>
    </row>
    <row r="170" spans="1:14" x14ac:dyDescent="0.25">
      <c r="A170">
        <v>169</v>
      </c>
      <c r="B170" t="s">
        <v>4</v>
      </c>
      <c r="C170" t="s">
        <v>89</v>
      </c>
      <c r="D170">
        <v>2</v>
      </c>
      <c r="E170">
        <v>2021</v>
      </c>
      <c r="F170" s="2">
        <f>DATE(Table1[[#This Row],[Tahun]],Table1[[#This Row],[Bulan]],1)</f>
        <v>44228</v>
      </c>
      <c r="G170">
        <v>626</v>
      </c>
      <c r="H170">
        <v>548</v>
      </c>
      <c r="I170" s="6">
        <f>(Table1[[#This Row],[Aktual]]-Table1[[#This Row],[Target]])</f>
        <v>78</v>
      </c>
      <c r="J170" s="3">
        <f>(Table1[[#This Row],[Aktual]]-Table1[[#This Row],[Target]])/Table1[[#This Row],[Target]]</f>
        <v>0.14233576642335766</v>
      </c>
      <c r="K170" t="str">
        <f>IF(Table1[[#This Row],[Performance Gap (%)]]&lt;0,"Tidak mencapai target", IF(Table1[[#This Row],[Performance Gap (%)]]=0,"Mencapai target", "Melebihi Target"))</f>
        <v>Melebihi Target</v>
      </c>
      <c r="L170">
        <f>VLOOKUP(Table1[[#This Row],[Propinsi]]&amp;"_"&amp;Table1[[#This Row],[Dati 2]]&amp;"_"&amp;Table1[[#This Row],[Tanggal]],Table2[[#All],[Kompetitor area]:[Jumlah Kompetitor]],7,0)</f>
        <v>109</v>
      </c>
      <c r="M170">
        <f>Table1[[#This Row],[Aktual]]-Table1[[#This Row],[Jumlah Kompetitor]]</f>
        <v>517</v>
      </c>
      <c r="N170" t="str">
        <f>IF(Table1[[#This Row],[vs Kompetitor]]&gt;0,"Win", "Lose")</f>
        <v>Win</v>
      </c>
    </row>
    <row r="171" spans="1:14" x14ac:dyDescent="0.25">
      <c r="A171">
        <v>170</v>
      </c>
      <c r="B171" t="s">
        <v>4</v>
      </c>
      <c r="C171" t="s">
        <v>90</v>
      </c>
      <c r="D171">
        <v>2</v>
      </c>
      <c r="E171">
        <v>2021</v>
      </c>
      <c r="F171" s="2">
        <f>DATE(Table1[[#This Row],[Tahun]],Table1[[#This Row],[Bulan]],1)</f>
        <v>44228</v>
      </c>
      <c r="G171">
        <v>502</v>
      </c>
      <c r="H171">
        <v>544</v>
      </c>
      <c r="I171" s="6">
        <f>(Table1[[#This Row],[Aktual]]-Table1[[#This Row],[Target]])</f>
        <v>-42</v>
      </c>
      <c r="J171" s="3">
        <f>(Table1[[#This Row],[Aktual]]-Table1[[#This Row],[Target]])/Table1[[#This Row],[Target]]</f>
        <v>-7.720588235294118E-2</v>
      </c>
      <c r="K171" t="str">
        <f>IF(Table1[[#This Row],[Performance Gap (%)]]&lt;0,"Tidak mencapai target", IF(Table1[[#This Row],[Performance Gap (%)]]=0,"Mencapai target", "Melebihi Target"))</f>
        <v>Tidak mencapai target</v>
      </c>
      <c r="L171">
        <f>VLOOKUP(Table1[[#This Row],[Propinsi]]&amp;"_"&amp;Table1[[#This Row],[Dati 2]]&amp;"_"&amp;Table1[[#This Row],[Tanggal]],Table2[[#All],[Kompetitor area]:[Jumlah Kompetitor]],7,0)</f>
        <v>89</v>
      </c>
      <c r="M171">
        <f>Table1[[#This Row],[Aktual]]-Table1[[#This Row],[Jumlah Kompetitor]]</f>
        <v>413</v>
      </c>
      <c r="N171" t="str">
        <f>IF(Table1[[#This Row],[vs Kompetitor]]&gt;0,"Win", "Lose")</f>
        <v>Win</v>
      </c>
    </row>
    <row r="172" spans="1:14" x14ac:dyDescent="0.25">
      <c r="A172">
        <v>171</v>
      </c>
      <c r="B172" t="s">
        <v>4</v>
      </c>
      <c r="C172" t="s">
        <v>91</v>
      </c>
      <c r="D172">
        <v>2</v>
      </c>
      <c r="E172">
        <v>2021</v>
      </c>
      <c r="F172" s="2">
        <f>DATE(Table1[[#This Row],[Tahun]],Table1[[#This Row],[Bulan]],1)</f>
        <v>44228</v>
      </c>
      <c r="G172">
        <v>477</v>
      </c>
      <c r="H172">
        <v>467</v>
      </c>
      <c r="I172" s="6">
        <f>(Table1[[#This Row],[Aktual]]-Table1[[#This Row],[Target]])</f>
        <v>10</v>
      </c>
      <c r="J172" s="3">
        <f>(Table1[[#This Row],[Aktual]]-Table1[[#This Row],[Target]])/Table1[[#This Row],[Target]]</f>
        <v>2.1413276231263382E-2</v>
      </c>
      <c r="K172" t="str">
        <f>IF(Table1[[#This Row],[Performance Gap (%)]]&lt;0,"Tidak mencapai target", IF(Table1[[#This Row],[Performance Gap (%)]]=0,"Mencapai target", "Melebihi Target"))</f>
        <v>Melebihi Target</v>
      </c>
      <c r="L172">
        <f>VLOOKUP(Table1[[#This Row],[Propinsi]]&amp;"_"&amp;Table1[[#This Row],[Dati 2]]&amp;"_"&amp;Table1[[#This Row],[Tanggal]],Table2[[#All],[Kompetitor area]:[Jumlah Kompetitor]],7,0)</f>
        <v>112</v>
      </c>
      <c r="M172">
        <f>Table1[[#This Row],[Aktual]]-Table1[[#This Row],[Jumlah Kompetitor]]</f>
        <v>365</v>
      </c>
      <c r="N172" t="str">
        <f>IF(Table1[[#This Row],[vs Kompetitor]]&gt;0,"Win", "Lose")</f>
        <v>Win</v>
      </c>
    </row>
    <row r="173" spans="1:14" x14ac:dyDescent="0.25">
      <c r="A173">
        <v>172</v>
      </c>
      <c r="B173" t="s">
        <v>4</v>
      </c>
      <c r="C173" t="s">
        <v>92</v>
      </c>
      <c r="D173">
        <v>2</v>
      </c>
      <c r="E173">
        <v>2021</v>
      </c>
      <c r="F173" s="2">
        <f>DATE(Table1[[#This Row],[Tahun]],Table1[[#This Row],[Bulan]],1)</f>
        <v>44228</v>
      </c>
      <c r="G173">
        <v>721</v>
      </c>
      <c r="H173">
        <v>668</v>
      </c>
      <c r="I173" s="6">
        <f>(Table1[[#This Row],[Aktual]]-Table1[[#This Row],[Target]])</f>
        <v>53</v>
      </c>
      <c r="J173" s="3">
        <f>(Table1[[#This Row],[Aktual]]-Table1[[#This Row],[Target]])/Table1[[#This Row],[Target]]</f>
        <v>7.9341317365269462E-2</v>
      </c>
      <c r="K173" t="str">
        <f>IF(Table1[[#This Row],[Performance Gap (%)]]&lt;0,"Tidak mencapai target", IF(Table1[[#This Row],[Performance Gap (%)]]=0,"Mencapai target", "Melebihi Target"))</f>
        <v>Melebihi Target</v>
      </c>
      <c r="L173">
        <f>VLOOKUP(Table1[[#This Row],[Propinsi]]&amp;"_"&amp;Table1[[#This Row],[Dati 2]]&amp;"_"&amp;Table1[[#This Row],[Tanggal]],Table2[[#All],[Kompetitor area]:[Jumlah Kompetitor]],7,0)</f>
        <v>112</v>
      </c>
      <c r="M173">
        <f>Table1[[#This Row],[Aktual]]-Table1[[#This Row],[Jumlah Kompetitor]]</f>
        <v>609</v>
      </c>
      <c r="N173" t="str">
        <f>IF(Table1[[#This Row],[vs Kompetitor]]&gt;0,"Win", "Lose")</f>
        <v>Win</v>
      </c>
    </row>
    <row r="174" spans="1:14" x14ac:dyDescent="0.25">
      <c r="A174">
        <v>173</v>
      </c>
      <c r="B174" t="s">
        <v>4</v>
      </c>
      <c r="C174" t="s">
        <v>93</v>
      </c>
      <c r="D174">
        <v>2</v>
      </c>
      <c r="E174">
        <v>2021</v>
      </c>
      <c r="F174" s="2">
        <f>DATE(Table1[[#This Row],[Tahun]],Table1[[#This Row],[Bulan]],1)</f>
        <v>44228</v>
      </c>
      <c r="G174">
        <v>369</v>
      </c>
      <c r="H174">
        <v>355</v>
      </c>
      <c r="I174" s="6">
        <f>(Table1[[#This Row],[Aktual]]-Table1[[#This Row],[Target]])</f>
        <v>14</v>
      </c>
      <c r="J174" s="3">
        <f>(Table1[[#This Row],[Aktual]]-Table1[[#This Row],[Target]])/Table1[[#This Row],[Target]]</f>
        <v>3.9436619718309862E-2</v>
      </c>
      <c r="K174" t="str">
        <f>IF(Table1[[#This Row],[Performance Gap (%)]]&lt;0,"Tidak mencapai target", IF(Table1[[#This Row],[Performance Gap (%)]]=0,"Mencapai target", "Melebihi Target"))</f>
        <v>Melebihi Target</v>
      </c>
      <c r="L174">
        <f>VLOOKUP(Table1[[#This Row],[Propinsi]]&amp;"_"&amp;Table1[[#This Row],[Dati 2]]&amp;"_"&amp;Table1[[#This Row],[Tanggal]],Table2[[#All],[Kompetitor area]:[Jumlah Kompetitor]],7,0)</f>
        <v>45</v>
      </c>
      <c r="M174">
        <f>Table1[[#This Row],[Aktual]]-Table1[[#This Row],[Jumlah Kompetitor]]</f>
        <v>324</v>
      </c>
      <c r="N174" t="str">
        <f>IF(Table1[[#This Row],[vs Kompetitor]]&gt;0,"Win", "Lose")</f>
        <v>Win</v>
      </c>
    </row>
    <row r="175" spans="1:14" x14ac:dyDescent="0.25">
      <c r="A175">
        <v>174</v>
      </c>
      <c r="B175" t="s">
        <v>4</v>
      </c>
      <c r="C175" t="s">
        <v>94</v>
      </c>
      <c r="D175">
        <v>2</v>
      </c>
      <c r="E175">
        <v>2021</v>
      </c>
      <c r="F175" s="2">
        <f>DATE(Table1[[#This Row],[Tahun]],Table1[[#This Row],[Bulan]],1)</f>
        <v>44228</v>
      </c>
      <c r="G175">
        <v>88</v>
      </c>
      <c r="H175">
        <v>89</v>
      </c>
      <c r="I175" s="6">
        <f>(Table1[[#This Row],[Aktual]]-Table1[[#This Row],[Target]])</f>
        <v>-1</v>
      </c>
      <c r="J175" s="3">
        <f>(Table1[[#This Row],[Aktual]]-Table1[[#This Row],[Target]])/Table1[[#This Row],[Target]]</f>
        <v>-1.1235955056179775E-2</v>
      </c>
      <c r="K175" t="str">
        <f>IF(Table1[[#This Row],[Performance Gap (%)]]&lt;0,"Tidak mencapai target", IF(Table1[[#This Row],[Performance Gap (%)]]=0,"Mencapai target", "Melebihi Target"))</f>
        <v>Tidak mencapai target</v>
      </c>
      <c r="L175">
        <f>VLOOKUP(Table1[[#This Row],[Propinsi]]&amp;"_"&amp;Table1[[#This Row],[Dati 2]]&amp;"_"&amp;Table1[[#This Row],[Tanggal]],Table2[[#All],[Kompetitor area]:[Jumlah Kompetitor]],7,0)</f>
        <v>51</v>
      </c>
      <c r="M175">
        <f>Table1[[#This Row],[Aktual]]-Table1[[#This Row],[Jumlah Kompetitor]]</f>
        <v>37</v>
      </c>
      <c r="N175" t="str">
        <f>IF(Table1[[#This Row],[vs Kompetitor]]&gt;0,"Win", "Lose")</f>
        <v>Win</v>
      </c>
    </row>
    <row r="176" spans="1:14" x14ac:dyDescent="0.25">
      <c r="A176">
        <v>175</v>
      </c>
      <c r="B176" t="s">
        <v>5</v>
      </c>
      <c r="C176" t="s">
        <v>95</v>
      </c>
      <c r="D176">
        <v>2</v>
      </c>
      <c r="E176">
        <v>2021</v>
      </c>
      <c r="F176" s="2">
        <f>DATE(Table1[[#This Row],[Tahun]],Table1[[#This Row],[Bulan]],1)</f>
        <v>44228</v>
      </c>
      <c r="G176">
        <v>629</v>
      </c>
      <c r="H176">
        <v>636</v>
      </c>
      <c r="I176" s="6">
        <f>(Table1[[#This Row],[Aktual]]-Table1[[#This Row],[Target]])</f>
        <v>-7</v>
      </c>
      <c r="J176" s="3">
        <f>(Table1[[#This Row],[Aktual]]-Table1[[#This Row],[Target]])/Table1[[#This Row],[Target]]</f>
        <v>-1.10062893081761E-2</v>
      </c>
      <c r="K176" t="str">
        <f>IF(Table1[[#This Row],[Performance Gap (%)]]&lt;0,"Tidak mencapai target", IF(Table1[[#This Row],[Performance Gap (%)]]=0,"Mencapai target", "Melebihi Target"))</f>
        <v>Tidak mencapai target</v>
      </c>
      <c r="L176">
        <f>VLOOKUP(Table1[[#This Row],[Propinsi]]&amp;"_"&amp;Table1[[#This Row],[Dati 2]]&amp;"_"&amp;Table1[[#This Row],[Tanggal]],Table2[[#All],[Kompetitor area]:[Jumlah Kompetitor]],7,0)</f>
        <v>37</v>
      </c>
      <c r="M176">
        <f>Table1[[#This Row],[Aktual]]-Table1[[#This Row],[Jumlah Kompetitor]]</f>
        <v>592</v>
      </c>
      <c r="N176" t="str">
        <f>IF(Table1[[#This Row],[vs Kompetitor]]&gt;0,"Win", "Lose")</f>
        <v>Win</v>
      </c>
    </row>
    <row r="177" spans="1:14" x14ac:dyDescent="0.25">
      <c r="A177">
        <v>176</v>
      </c>
      <c r="B177" t="s">
        <v>5</v>
      </c>
      <c r="C177" t="s">
        <v>96</v>
      </c>
      <c r="D177">
        <v>2</v>
      </c>
      <c r="E177">
        <v>2021</v>
      </c>
      <c r="F177" s="2">
        <f>DATE(Table1[[#This Row],[Tahun]],Table1[[#This Row],[Bulan]],1)</f>
        <v>44228</v>
      </c>
      <c r="G177">
        <v>143</v>
      </c>
      <c r="H177">
        <v>129</v>
      </c>
      <c r="I177" s="6">
        <f>(Table1[[#This Row],[Aktual]]-Table1[[#This Row],[Target]])</f>
        <v>14</v>
      </c>
      <c r="J177" s="3">
        <f>(Table1[[#This Row],[Aktual]]-Table1[[#This Row],[Target]])/Table1[[#This Row],[Target]]</f>
        <v>0.10852713178294573</v>
      </c>
      <c r="K177" t="str">
        <f>IF(Table1[[#This Row],[Performance Gap (%)]]&lt;0,"Tidak mencapai target", IF(Table1[[#This Row],[Performance Gap (%)]]=0,"Mencapai target", "Melebihi Target"))</f>
        <v>Melebihi Target</v>
      </c>
      <c r="L177">
        <f>VLOOKUP(Table1[[#This Row],[Propinsi]]&amp;"_"&amp;Table1[[#This Row],[Dati 2]]&amp;"_"&amp;Table1[[#This Row],[Tanggal]],Table2[[#All],[Kompetitor area]:[Jumlah Kompetitor]],7,0)</f>
        <v>60</v>
      </c>
      <c r="M177">
        <f>Table1[[#This Row],[Aktual]]-Table1[[#This Row],[Jumlah Kompetitor]]</f>
        <v>83</v>
      </c>
      <c r="N177" t="str">
        <f>IF(Table1[[#This Row],[vs Kompetitor]]&gt;0,"Win", "Lose")</f>
        <v>Win</v>
      </c>
    </row>
    <row r="178" spans="1:14" x14ac:dyDescent="0.25">
      <c r="A178">
        <v>177</v>
      </c>
      <c r="B178" t="s">
        <v>5</v>
      </c>
      <c r="C178" t="s">
        <v>97</v>
      </c>
      <c r="D178">
        <v>2</v>
      </c>
      <c r="E178">
        <v>2021</v>
      </c>
      <c r="F178" s="2">
        <f>DATE(Table1[[#This Row],[Tahun]],Table1[[#This Row],[Bulan]],1)</f>
        <v>44228</v>
      </c>
      <c r="G178">
        <v>153</v>
      </c>
      <c r="H178">
        <v>138</v>
      </c>
      <c r="I178" s="6">
        <f>(Table1[[#This Row],[Aktual]]-Table1[[#This Row],[Target]])</f>
        <v>15</v>
      </c>
      <c r="J178" s="3">
        <f>(Table1[[#This Row],[Aktual]]-Table1[[#This Row],[Target]])/Table1[[#This Row],[Target]]</f>
        <v>0.10869565217391304</v>
      </c>
      <c r="K178" t="str">
        <f>IF(Table1[[#This Row],[Performance Gap (%)]]&lt;0,"Tidak mencapai target", IF(Table1[[#This Row],[Performance Gap (%)]]=0,"Mencapai target", "Melebihi Target"))</f>
        <v>Melebihi Target</v>
      </c>
      <c r="L178">
        <f>VLOOKUP(Table1[[#This Row],[Propinsi]]&amp;"_"&amp;Table1[[#This Row],[Dati 2]]&amp;"_"&amp;Table1[[#This Row],[Tanggal]],Table2[[#All],[Kompetitor area]:[Jumlah Kompetitor]],7,0)</f>
        <v>88</v>
      </c>
      <c r="M178">
        <f>Table1[[#This Row],[Aktual]]-Table1[[#This Row],[Jumlah Kompetitor]]</f>
        <v>65</v>
      </c>
      <c r="N178" t="str">
        <f>IF(Table1[[#This Row],[vs Kompetitor]]&gt;0,"Win", "Lose")</f>
        <v>Win</v>
      </c>
    </row>
    <row r="179" spans="1:14" x14ac:dyDescent="0.25">
      <c r="A179">
        <v>178</v>
      </c>
      <c r="B179" t="s">
        <v>5</v>
      </c>
      <c r="C179" t="s">
        <v>98</v>
      </c>
      <c r="D179">
        <v>2</v>
      </c>
      <c r="E179">
        <v>2021</v>
      </c>
      <c r="F179" s="2">
        <f>DATE(Table1[[#This Row],[Tahun]],Table1[[#This Row],[Bulan]],1)</f>
        <v>44228</v>
      </c>
      <c r="G179">
        <v>502</v>
      </c>
      <c r="H179">
        <v>454</v>
      </c>
      <c r="I179" s="6">
        <f>(Table1[[#This Row],[Aktual]]-Table1[[#This Row],[Target]])</f>
        <v>48</v>
      </c>
      <c r="J179" s="3">
        <f>(Table1[[#This Row],[Aktual]]-Table1[[#This Row],[Target]])/Table1[[#This Row],[Target]]</f>
        <v>0.10572687224669604</v>
      </c>
      <c r="K179" t="str">
        <f>IF(Table1[[#This Row],[Performance Gap (%)]]&lt;0,"Tidak mencapai target", IF(Table1[[#This Row],[Performance Gap (%)]]=0,"Mencapai target", "Melebihi Target"))</f>
        <v>Melebihi Target</v>
      </c>
      <c r="L179">
        <f>VLOOKUP(Table1[[#This Row],[Propinsi]]&amp;"_"&amp;Table1[[#This Row],[Dati 2]]&amp;"_"&amp;Table1[[#This Row],[Tanggal]],Table2[[#All],[Kompetitor area]:[Jumlah Kompetitor]],7,0)</f>
        <v>63</v>
      </c>
      <c r="M179">
        <f>Table1[[#This Row],[Aktual]]-Table1[[#This Row],[Jumlah Kompetitor]]</f>
        <v>439</v>
      </c>
      <c r="N179" t="str">
        <f>IF(Table1[[#This Row],[vs Kompetitor]]&gt;0,"Win", "Lose")</f>
        <v>Win</v>
      </c>
    </row>
    <row r="180" spans="1:14" x14ac:dyDescent="0.25">
      <c r="A180">
        <v>179</v>
      </c>
      <c r="B180" t="s">
        <v>5</v>
      </c>
      <c r="C180" t="s">
        <v>99</v>
      </c>
      <c r="D180">
        <v>2</v>
      </c>
      <c r="E180">
        <v>2021</v>
      </c>
      <c r="F180" s="2">
        <f>DATE(Table1[[#This Row],[Tahun]],Table1[[#This Row],[Bulan]],1)</f>
        <v>44228</v>
      </c>
      <c r="G180">
        <v>769</v>
      </c>
      <c r="H180">
        <v>658</v>
      </c>
      <c r="I180" s="6">
        <f>(Table1[[#This Row],[Aktual]]-Table1[[#This Row],[Target]])</f>
        <v>111</v>
      </c>
      <c r="J180" s="3">
        <f>(Table1[[#This Row],[Aktual]]-Table1[[#This Row],[Target]])/Table1[[#This Row],[Target]]</f>
        <v>0.16869300911854104</v>
      </c>
      <c r="K180" t="str">
        <f>IF(Table1[[#This Row],[Performance Gap (%)]]&lt;0,"Tidak mencapai target", IF(Table1[[#This Row],[Performance Gap (%)]]=0,"Mencapai target", "Melebihi Target"))</f>
        <v>Melebihi Target</v>
      </c>
      <c r="L180">
        <f>VLOOKUP(Table1[[#This Row],[Propinsi]]&amp;"_"&amp;Table1[[#This Row],[Dati 2]]&amp;"_"&amp;Table1[[#This Row],[Tanggal]],Table2[[#All],[Kompetitor area]:[Jumlah Kompetitor]],7,0)</f>
        <v>59</v>
      </c>
      <c r="M180">
        <f>Table1[[#This Row],[Aktual]]-Table1[[#This Row],[Jumlah Kompetitor]]</f>
        <v>710</v>
      </c>
      <c r="N180" t="str">
        <f>IF(Table1[[#This Row],[vs Kompetitor]]&gt;0,"Win", "Lose")</f>
        <v>Win</v>
      </c>
    </row>
    <row r="181" spans="1:14" x14ac:dyDescent="0.25">
      <c r="A181">
        <v>180</v>
      </c>
      <c r="B181" t="s">
        <v>5</v>
      </c>
      <c r="C181" t="s">
        <v>100</v>
      </c>
      <c r="D181">
        <v>2</v>
      </c>
      <c r="E181">
        <v>2021</v>
      </c>
      <c r="F181" s="2">
        <f>DATE(Table1[[#This Row],[Tahun]],Table1[[#This Row],[Bulan]],1)</f>
        <v>44228</v>
      </c>
      <c r="G181">
        <v>202</v>
      </c>
      <c r="H181">
        <v>188</v>
      </c>
      <c r="I181" s="6">
        <f>(Table1[[#This Row],[Aktual]]-Table1[[#This Row],[Target]])</f>
        <v>14</v>
      </c>
      <c r="J181" s="3">
        <f>(Table1[[#This Row],[Aktual]]-Table1[[#This Row],[Target]])/Table1[[#This Row],[Target]]</f>
        <v>7.4468085106382975E-2</v>
      </c>
      <c r="K181" t="str">
        <f>IF(Table1[[#This Row],[Performance Gap (%)]]&lt;0,"Tidak mencapai target", IF(Table1[[#This Row],[Performance Gap (%)]]=0,"Mencapai target", "Melebihi Target"))</f>
        <v>Melebihi Target</v>
      </c>
      <c r="L181">
        <f>VLOOKUP(Table1[[#This Row],[Propinsi]]&amp;"_"&amp;Table1[[#This Row],[Dati 2]]&amp;"_"&amp;Table1[[#This Row],[Tanggal]],Table2[[#All],[Kompetitor area]:[Jumlah Kompetitor]],7,0)</f>
        <v>148</v>
      </c>
      <c r="M181">
        <f>Table1[[#This Row],[Aktual]]-Table1[[#This Row],[Jumlah Kompetitor]]</f>
        <v>54</v>
      </c>
      <c r="N181" t="str">
        <f>IF(Table1[[#This Row],[vs Kompetitor]]&gt;0,"Win", "Lose")</f>
        <v>Win</v>
      </c>
    </row>
    <row r="182" spans="1:14" x14ac:dyDescent="0.25">
      <c r="A182">
        <v>181</v>
      </c>
      <c r="B182" t="s">
        <v>5</v>
      </c>
      <c r="C182" t="s">
        <v>101</v>
      </c>
      <c r="D182">
        <v>2</v>
      </c>
      <c r="E182">
        <v>2021</v>
      </c>
      <c r="F182" s="2">
        <f>DATE(Table1[[#This Row],[Tahun]],Table1[[#This Row],[Bulan]],1)</f>
        <v>44228</v>
      </c>
      <c r="G182">
        <v>1095</v>
      </c>
      <c r="H182">
        <v>993</v>
      </c>
      <c r="I182" s="6">
        <f>(Table1[[#This Row],[Aktual]]-Table1[[#This Row],[Target]])</f>
        <v>102</v>
      </c>
      <c r="J182" s="3">
        <f>(Table1[[#This Row],[Aktual]]-Table1[[#This Row],[Target]])/Table1[[#This Row],[Target]]</f>
        <v>0.1027190332326284</v>
      </c>
      <c r="K182" t="str">
        <f>IF(Table1[[#This Row],[Performance Gap (%)]]&lt;0,"Tidak mencapai target", IF(Table1[[#This Row],[Performance Gap (%)]]=0,"Mencapai target", "Melebihi Target"))</f>
        <v>Melebihi Target</v>
      </c>
      <c r="L182">
        <f>VLOOKUP(Table1[[#This Row],[Propinsi]]&amp;"_"&amp;Table1[[#This Row],[Dati 2]]&amp;"_"&amp;Table1[[#This Row],[Tanggal]],Table2[[#All],[Kompetitor area]:[Jumlah Kompetitor]],7,0)</f>
        <v>86</v>
      </c>
      <c r="M182">
        <f>Table1[[#This Row],[Aktual]]-Table1[[#This Row],[Jumlah Kompetitor]]</f>
        <v>1009</v>
      </c>
      <c r="N182" t="str">
        <f>IF(Table1[[#This Row],[vs Kompetitor]]&gt;0,"Win", "Lose")</f>
        <v>Win</v>
      </c>
    </row>
    <row r="183" spans="1:14" x14ac:dyDescent="0.25">
      <c r="A183">
        <v>182</v>
      </c>
      <c r="B183" t="s">
        <v>5</v>
      </c>
      <c r="C183" t="s">
        <v>102</v>
      </c>
      <c r="D183">
        <v>2</v>
      </c>
      <c r="E183">
        <v>2021</v>
      </c>
      <c r="F183" s="2">
        <f>DATE(Table1[[#This Row],[Tahun]],Table1[[#This Row],[Bulan]],1)</f>
        <v>44228</v>
      </c>
      <c r="G183">
        <v>696</v>
      </c>
      <c r="H183">
        <v>680</v>
      </c>
      <c r="I183" s="6">
        <f>(Table1[[#This Row],[Aktual]]-Table1[[#This Row],[Target]])</f>
        <v>16</v>
      </c>
      <c r="J183" s="3">
        <f>(Table1[[#This Row],[Aktual]]-Table1[[#This Row],[Target]])/Table1[[#This Row],[Target]]</f>
        <v>2.3529411764705882E-2</v>
      </c>
      <c r="K183" t="str">
        <f>IF(Table1[[#This Row],[Performance Gap (%)]]&lt;0,"Tidak mencapai target", IF(Table1[[#This Row],[Performance Gap (%)]]=0,"Mencapai target", "Melebihi Target"))</f>
        <v>Melebihi Target</v>
      </c>
      <c r="L183">
        <f>VLOOKUP(Table1[[#This Row],[Propinsi]]&amp;"_"&amp;Table1[[#This Row],[Dati 2]]&amp;"_"&amp;Table1[[#This Row],[Tanggal]],Table2[[#All],[Kompetitor area]:[Jumlah Kompetitor]],7,0)</f>
        <v>130</v>
      </c>
      <c r="M183">
        <f>Table1[[#This Row],[Aktual]]-Table1[[#This Row],[Jumlah Kompetitor]]</f>
        <v>566</v>
      </c>
      <c r="N183" t="str">
        <f>IF(Table1[[#This Row],[vs Kompetitor]]&gt;0,"Win", "Lose")</f>
        <v>Win</v>
      </c>
    </row>
    <row r="184" spans="1:14" x14ac:dyDescent="0.25">
      <c r="A184">
        <v>183</v>
      </c>
      <c r="B184" t="s">
        <v>5</v>
      </c>
      <c r="C184" t="s">
        <v>103</v>
      </c>
      <c r="D184">
        <v>2</v>
      </c>
      <c r="E184">
        <v>2021</v>
      </c>
      <c r="F184" s="2">
        <f>DATE(Table1[[#This Row],[Tahun]],Table1[[#This Row],[Bulan]],1)</f>
        <v>44228</v>
      </c>
      <c r="G184">
        <v>1613</v>
      </c>
      <c r="H184">
        <v>1420</v>
      </c>
      <c r="I184" s="6">
        <f>(Table1[[#This Row],[Aktual]]-Table1[[#This Row],[Target]])</f>
        <v>193</v>
      </c>
      <c r="J184" s="3">
        <f>(Table1[[#This Row],[Aktual]]-Table1[[#This Row],[Target]])/Table1[[#This Row],[Target]]</f>
        <v>0.13591549295774649</v>
      </c>
      <c r="K184" t="str">
        <f>IF(Table1[[#This Row],[Performance Gap (%)]]&lt;0,"Tidak mencapai target", IF(Table1[[#This Row],[Performance Gap (%)]]=0,"Mencapai target", "Melebihi Target"))</f>
        <v>Melebihi Target</v>
      </c>
      <c r="L184">
        <f>VLOOKUP(Table1[[#This Row],[Propinsi]]&amp;"_"&amp;Table1[[#This Row],[Dati 2]]&amp;"_"&amp;Table1[[#This Row],[Tanggal]],Table2[[#All],[Kompetitor area]:[Jumlah Kompetitor]],7,0)</f>
        <v>65</v>
      </c>
      <c r="M184">
        <f>Table1[[#This Row],[Aktual]]-Table1[[#This Row],[Jumlah Kompetitor]]</f>
        <v>1548</v>
      </c>
      <c r="N184" t="str">
        <f>IF(Table1[[#This Row],[vs Kompetitor]]&gt;0,"Win", "Lose")</f>
        <v>Win</v>
      </c>
    </row>
    <row r="185" spans="1:14" x14ac:dyDescent="0.25">
      <c r="A185">
        <v>184</v>
      </c>
      <c r="B185" t="s">
        <v>5</v>
      </c>
      <c r="C185" t="s">
        <v>104</v>
      </c>
      <c r="D185">
        <v>2</v>
      </c>
      <c r="E185">
        <v>2021</v>
      </c>
      <c r="F185" s="2">
        <f>DATE(Table1[[#This Row],[Tahun]],Table1[[#This Row],[Bulan]],1)</f>
        <v>44228</v>
      </c>
      <c r="G185">
        <v>1427</v>
      </c>
      <c r="H185">
        <v>1360</v>
      </c>
      <c r="I185" s="6">
        <f>(Table1[[#This Row],[Aktual]]-Table1[[#This Row],[Target]])</f>
        <v>67</v>
      </c>
      <c r="J185" s="3">
        <f>(Table1[[#This Row],[Aktual]]-Table1[[#This Row],[Target]])/Table1[[#This Row],[Target]]</f>
        <v>4.926470588235294E-2</v>
      </c>
      <c r="K185" t="str">
        <f>IF(Table1[[#This Row],[Performance Gap (%)]]&lt;0,"Tidak mencapai target", IF(Table1[[#This Row],[Performance Gap (%)]]=0,"Mencapai target", "Melebihi Target"))</f>
        <v>Melebihi Target</v>
      </c>
      <c r="L185">
        <f>VLOOKUP(Table1[[#This Row],[Propinsi]]&amp;"_"&amp;Table1[[#This Row],[Dati 2]]&amp;"_"&amp;Table1[[#This Row],[Tanggal]],Table2[[#All],[Kompetitor area]:[Jumlah Kompetitor]],7,0)</f>
        <v>141</v>
      </c>
      <c r="M185">
        <f>Table1[[#This Row],[Aktual]]-Table1[[#This Row],[Jumlah Kompetitor]]</f>
        <v>1286</v>
      </c>
      <c r="N185" t="str">
        <f>IF(Table1[[#This Row],[vs Kompetitor]]&gt;0,"Win", "Lose")</f>
        <v>Win</v>
      </c>
    </row>
    <row r="186" spans="1:14" x14ac:dyDescent="0.25">
      <c r="A186">
        <v>185</v>
      </c>
      <c r="B186" t="s">
        <v>5</v>
      </c>
      <c r="C186" t="s">
        <v>105</v>
      </c>
      <c r="D186">
        <v>2</v>
      </c>
      <c r="E186">
        <v>2021</v>
      </c>
      <c r="F186" s="2">
        <f>DATE(Table1[[#This Row],[Tahun]],Table1[[#This Row],[Bulan]],1)</f>
        <v>44228</v>
      </c>
      <c r="G186">
        <v>622</v>
      </c>
      <c r="H186">
        <v>518</v>
      </c>
      <c r="I186" s="6">
        <f>(Table1[[#This Row],[Aktual]]-Table1[[#This Row],[Target]])</f>
        <v>104</v>
      </c>
      <c r="J186" s="3">
        <f>(Table1[[#This Row],[Aktual]]-Table1[[#This Row],[Target]])/Table1[[#This Row],[Target]]</f>
        <v>0.20077220077220076</v>
      </c>
      <c r="K186" t="str">
        <f>IF(Table1[[#This Row],[Performance Gap (%)]]&lt;0,"Tidak mencapai target", IF(Table1[[#This Row],[Performance Gap (%)]]=0,"Mencapai target", "Melebihi Target"))</f>
        <v>Melebihi Target</v>
      </c>
      <c r="L186">
        <f>VLOOKUP(Table1[[#This Row],[Propinsi]]&amp;"_"&amp;Table1[[#This Row],[Dati 2]]&amp;"_"&amp;Table1[[#This Row],[Tanggal]],Table2[[#All],[Kompetitor area]:[Jumlah Kompetitor]],7,0)</f>
        <v>67</v>
      </c>
      <c r="M186">
        <f>Table1[[#This Row],[Aktual]]-Table1[[#This Row],[Jumlah Kompetitor]]</f>
        <v>555</v>
      </c>
      <c r="N186" t="str">
        <f>IF(Table1[[#This Row],[vs Kompetitor]]&gt;0,"Win", "Lose")</f>
        <v>Win</v>
      </c>
    </row>
    <row r="187" spans="1:14" x14ac:dyDescent="0.25">
      <c r="A187">
        <v>186</v>
      </c>
      <c r="B187" t="s">
        <v>5</v>
      </c>
      <c r="C187" t="s">
        <v>106</v>
      </c>
      <c r="D187">
        <v>2</v>
      </c>
      <c r="E187">
        <v>2021</v>
      </c>
      <c r="F187" s="2">
        <f>DATE(Table1[[#This Row],[Tahun]],Table1[[#This Row],[Bulan]],1)</f>
        <v>44228</v>
      </c>
      <c r="G187">
        <v>478</v>
      </c>
      <c r="H187">
        <v>507</v>
      </c>
      <c r="I187" s="6">
        <f>(Table1[[#This Row],[Aktual]]-Table1[[#This Row],[Target]])</f>
        <v>-29</v>
      </c>
      <c r="J187" s="3">
        <f>(Table1[[#This Row],[Aktual]]-Table1[[#This Row],[Target]])/Table1[[#This Row],[Target]]</f>
        <v>-5.7199211045364892E-2</v>
      </c>
      <c r="K187" t="str">
        <f>IF(Table1[[#This Row],[Performance Gap (%)]]&lt;0,"Tidak mencapai target", IF(Table1[[#This Row],[Performance Gap (%)]]=0,"Mencapai target", "Melebihi Target"))</f>
        <v>Tidak mencapai target</v>
      </c>
      <c r="L187">
        <f>VLOOKUP(Table1[[#This Row],[Propinsi]]&amp;"_"&amp;Table1[[#This Row],[Dati 2]]&amp;"_"&amp;Table1[[#This Row],[Tanggal]],Table2[[#All],[Kompetitor area]:[Jumlah Kompetitor]],7,0)</f>
        <v>59</v>
      </c>
      <c r="M187">
        <f>Table1[[#This Row],[Aktual]]-Table1[[#This Row],[Jumlah Kompetitor]]</f>
        <v>419</v>
      </c>
      <c r="N187" t="str">
        <f>IF(Table1[[#This Row],[vs Kompetitor]]&gt;0,"Win", "Lose")</f>
        <v>Win</v>
      </c>
    </row>
    <row r="188" spans="1:14" x14ac:dyDescent="0.25">
      <c r="A188">
        <v>187</v>
      </c>
      <c r="B188" t="s">
        <v>5</v>
      </c>
      <c r="C188" t="s">
        <v>107</v>
      </c>
      <c r="D188">
        <v>2</v>
      </c>
      <c r="E188">
        <v>2021</v>
      </c>
      <c r="F188" s="2">
        <f>DATE(Table1[[#This Row],[Tahun]],Table1[[#This Row],[Bulan]],1)</f>
        <v>44228</v>
      </c>
      <c r="G188">
        <v>527</v>
      </c>
      <c r="H188">
        <v>516</v>
      </c>
      <c r="I188" s="6">
        <f>(Table1[[#This Row],[Aktual]]-Table1[[#This Row],[Target]])</f>
        <v>11</v>
      </c>
      <c r="J188" s="3">
        <f>(Table1[[#This Row],[Aktual]]-Table1[[#This Row],[Target]])/Table1[[#This Row],[Target]]</f>
        <v>2.1317829457364341E-2</v>
      </c>
      <c r="K188" t="str">
        <f>IF(Table1[[#This Row],[Performance Gap (%)]]&lt;0,"Tidak mencapai target", IF(Table1[[#This Row],[Performance Gap (%)]]=0,"Mencapai target", "Melebihi Target"))</f>
        <v>Melebihi Target</v>
      </c>
      <c r="L188">
        <f>VLOOKUP(Table1[[#This Row],[Propinsi]]&amp;"_"&amp;Table1[[#This Row],[Dati 2]]&amp;"_"&amp;Table1[[#This Row],[Tanggal]],Table2[[#All],[Kompetitor area]:[Jumlah Kompetitor]],7,0)</f>
        <v>111</v>
      </c>
      <c r="M188">
        <f>Table1[[#This Row],[Aktual]]-Table1[[#This Row],[Jumlah Kompetitor]]</f>
        <v>416</v>
      </c>
      <c r="N188" t="str">
        <f>IF(Table1[[#This Row],[vs Kompetitor]]&gt;0,"Win", "Lose")</f>
        <v>Win</v>
      </c>
    </row>
    <row r="189" spans="1:14" x14ac:dyDescent="0.25">
      <c r="A189">
        <v>188</v>
      </c>
      <c r="B189" t="s">
        <v>5</v>
      </c>
      <c r="C189" t="s">
        <v>108</v>
      </c>
      <c r="D189">
        <v>2</v>
      </c>
      <c r="E189">
        <v>2021</v>
      </c>
      <c r="F189" s="2">
        <f>DATE(Table1[[#This Row],[Tahun]],Table1[[#This Row],[Bulan]],1)</f>
        <v>44228</v>
      </c>
      <c r="G189">
        <v>1121</v>
      </c>
      <c r="H189">
        <v>983</v>
      </c>
      <c r="I189" s="6">
        <f>(Table1[[#This Row],[Aktual]]-Table1[[#This Row],[Target]])</f>
        <v>138</v>
      </c>
      <c r="J189" s="3">
        <f>(Table1[[#This Row],[Aktual]]-Table1[[#This Row],[Target]])/Table1[[#This Row],[Target]]</f>
        <v>0.14038657171922686</v>
      </c>
      <c r="K189" t="str">
        <f>IF(Table1[[#This Row],[Performance Gap (%)]]&lt;0,"Tidak mencapai target", IF(Table1[[#This Row],[Performance Gap (%)]]=0,"Mencapai target", "Melebihi Target"))</f>
        <v>Melebihi Target</v>
      </c>
      <c r="L189">
        <f>VLOOKUP(Table1[[#This Row],[Propinsi]]&amp;"_"&amp;Table1[[#This Row],[Dati 2]]&amp;"_"&amp;Table1[[#This Row],[Tanggal]],Table2[[#All],[Kompetitor area]:[Jumlah Kompetitor]],7,0)</f>
        <v>82</v>
      </c>
      <c r="M189">
        <f>Table1[[#This Row],[Aktual]]-Table1[[#This Row],[Jumlah Kompetitor]]</f>
        <v>1039</v>
      </c>
      <c r="N189" t="str">
        <f>IF(Table1[[#This Row],[vs Kompetitor]]&gt;0,"Win", "Lose")</f>
        <v>Win</v>
      </c>
    </row>
    <row r="190" spans="1:14" x14ac:dyDescent="0.25">
      <c r="A190">
        <v>189</v>
      </c>
      <c r="B190" t="s">
        <v>5</v>
      </c>
      <c r="C190" t="s">
        <v>109</v>
      </c>
      <c r="D190">
        <v>2</v>
      </c>
      <c r="E190">
        <v>2021</v>
      </c>
      <c r="F190" s="2">
        <f>DATE(Table1[[#This Row],[Tahun]],Table1[[#This Row],[Bulan]],1)</f>
        <v>44228</v>
      </c>
      <c r="G190">
        <v>969</v>
      </c>
      <c r="H190">
        <v>1016</v>
      </c>
      <c r="I190" s="6">
        <f>(Table1[[#This Row],[Aktual]]-Table1[[#This Row],[Target]])</f>
        <v>-47</v>
      </c>
      <c r="J190" s="3">
        <f>(Table1[[#This Row],[Aktual]]-Table1[[#This Row],[Target]])/Table1[[#This Row],[Target]]</f>
        <v>-4.625984251968504E-2</v>
      </c>
      <c r="K190" t="str">
        <f>IF(Table1[[#This Row],[Performance Gap (%)]]&lt;0,"Tidak mencapai target", IF(Table1[[#This Row],[Performance Gap (%)]]=0,"Mencapai target", "Melebihi Target"))</f>
        <v>Tidak mencapai target</v>
      </c>
      <c r="L190">
        <f>VLOOKUP(Table1[[#This Row],[Propinsi]]&amp;"_"&amp;Table1[[#This Row],[Dati 2]]&amp;"_"&amp;Table1[[#This Row],[Tanggal]],Table2[[#All],[Kompetitor area]:[Jumlah Kompetitor]],7,0)</f>
        <v>149</v>
      </c>
      <c r="M190">
        <f>Table1[[#This Row],[Aktual]]-Table1[[#This Row],[Jumlah Kompetitor]]</f>
        <v>820</v>
      </c>
      <c r="N190" t="str">
        <f>IF(Table1[[#This Row],[vs Kompetitor]]&gt;0,"Win", "Lose")</f>
        <v>Win</v>
      </c>
    </row>
    <row r="191" spans="1:14" x14ac:dyDescent="0.25">
      <c r="A191">
        <v>190</v>
      </c>
      <c r="B191" t="s">
        <v>5</v>
      </c>
      <c r="C191" t="s">
        <v>110</v>
      </c>
      <c r="D191">
        <v>2</v>
      </c>
      <c r="E191">
        <v>2021</v>
      </c>
      <c r="F191" s="2">
        <f>DATE(Table1[[#This Row],[Tahun]],Table1[[#This Row],[Bulan]],1)</f>
        <v>44228</v>
      </c>
      <c r="G191">
        <v>629</v>
      </c>
      <c r="H191">
        <v>618</v>
      </c>
      <c r="I191" s="6">
        <f>(Table1[[#This Row],[Aktual]]-Table1[[#This Row],[Target]])</f>
        <v>11</v>
      </c>
      <c r="J191" s="3">
        <f>(Table1[[#This Row],[Aktual]]-Table1[[#This Row],[Target]])/Table1[[#This Row],[Target]]</f>
        <v>1.7799352750809062E-2</v>
      </c>
      <c r="K191" t="str">
        <f>IF(Table1[[#This Row],[Performance Gap (%)]]&lt;0,"Tidak mencapai target", IF(Table1[[#This Row],[Performance Gap (%)]]=0,"Mencapai target", "Melebihi Target"))</f>
        <v>Melebihi Target</v>
      </c>
      <c r="L191">
        <f>VLOOKUP(Table1[[#This Row],[Propinsi]]&amp;"_"&amp;Table1[[#This Row],[Dati 2]]&amp;"_"&amp;Table1[[#This Row],[Tanggal]],Table2[[#All],[Kompetitor area]:[Jumlah Kompetitor]],7,0)</f>
        <v>66</v>
      </c>
      <c r="M191">
        <f>Table1[[#This Row],[Aktual]]-Table1[[#This Row],[Jumlah Kompetitor]]</f>
        <v>563</v>
      </c>
      <c r="N191" t="str">
        <f>IF(Table1[[#This Row],[vs Kompetitor]]&gt;0,"Win", "Lose")</f>
        <v>Win</v>
      </c>
    </row>
    <row r="192" spans="1:14" x14ac:dyDescent="0.25">
      <c r="A192">
        <v>191</v>
      </c>
      <c r="B192" t="s">
        <v>5</v>
      </c>
      <c r="C192" t="s">
        <v>111</v>
      </c>
      <c r="D192">
        <v>2</v>
      </c>
      <c r="E192">
        <v>2021</v>
      </c>
      <c r="F192" s="2">
        <f>DATE(Table1[[#This Row],[Tahun]],Table1[[#This Row],[Bulan]],1)</f>
        <v>44228</v>
      </c>
      <c r="G192">
        <v>531</v>
      </c>
      <c r="H192">
        <v>562</v>
      </c>
      <c r="I192" s="6">
        <f>(Table1[[#This Row],[Aktual]]-Table1[[#This Row],[Target]])</f>
        <v>-31</v>
      </c>
      <c r="J192" s="3">
        <f>(Table1[[#This Row],[Aktual]]-Table1[[#This Row],[Target]])/Table1[[#This Row],[Target]]</f>
        <v>-5.5160142348754451E-2</v>
      </c>
      <c r="K192" t="str">
        <f>IF(Table1[[#This Row],[Performance Gap (%)]]&lt;0,"Tidak mencapai target", IF(Table1[[#This Row],[Performance Gap (%)]]=0,"Mencapai target", "Melebihi Target"))</f>
        <v>Tidak mencapai target</v>
      </c>
      <c r="L192">
        <f>VLOOKUP(Table1[[#This Row],[Propinsi]]&amp;"_"&amp;Table1[[#This Row],[Dati 2]]&amp;"_"&amp;Table1[[#This Row],[Tanggal]],Table2[[#All],[Kompetitor area]:[Jumlah Kompetitor]],7,0)</f>
        <v>75</v>
      </c>
      <c r="M192">
        <f>Table1[[#This Row],[Aktual]]-Table1[[#This Row],[Jumlah Kompetitor]]</f>
        <v>456</v>
      </c>
      <c r="N192" t="str">
        <f>IF(Table1[[#This Row],[vs Kompetitor]]&gt;0,"Win", "Lose")</f>
        <v>Win</v>
      </c>
    </row>
    <row r="193" spans="1:14" x14ac:dyDescent="0.25">
      <c r="A193">
        <v>192</v>
      </c>
      <c r="B193" t="s">
        <v>5</v>
      </c>
      <c r="C193" t="s">
        <v>112</v>
      </c>
      <c r="D193">
        <v>2</v>
      </c>
      <c r="E193">
        <v>2021</v>
      </c>
      <c r="F193" s="2">
        <f>DATE(Table1[[#This Row],[Tahun]],Table1[[#This Row],[Bulan]],1)</f>
        <v>44228</v>
      </c>
      <c r="G193">
        <v>307</v>
      </c>
      <c r="H193">
        <v>321</v>
      </c>
      <c r="I193" s="6">
        <f>(Table1[[#This Row],[Aktual]]-Table1[[#This Row],[Target]])</f>
        <v>-14</v>
      </c>
      <c r="J193" s="3">
        <f>(Table1[[#This Row],[Aktual]]-Table1[[#This Row],[Target]])/Table1[[#This Row],[Target]]</f>
        <v>-4.3613707165109032E-2</v>
      </c>
      <c r="K193" t="str">
        <f>IF(Table1[[#This Row],[Performance Gap (%)]]&lt;0,"Tidak mencapai target", IF(Table1[[#This Row],[Performance Gap (%)]]=0,"Mencapai target", "Melebihi Target"))</f>
        <v>Tidak mencapai target</v>
      </c>
      <c r="L193">
        <f>VLOOKUP(Table1[[#This Row],[Propinsi]]&amp;"_"&amp;Table1[[#This Row],[Dati 2]]&amp;"_"&amp;Table1[[#This Row],[Tanggal]],Table2[[#All],[Kompetitor area]:[Jumlah Kompetitor]],7,0)</f>
        <v>43</v>
      </c>
      <c r="M193">
        <f>Table1[[#This Row],[Aktual]]-Table1[[#This Row],[Jumlah Kompetitor]]</f>
        <v>264</v>
      </c>
      <c r="N193" t="str">
        <f>IF(Table1[[#This Row],[vs Kompetitor]]&gt;0,"Win", "Lose")</f>
        <v>Win</v>
      </c>
    </row>
    <row r="194" spans="1:14" x14ac:dyDescent="0.25">
      <c r="A194">
        <v>193</v>
      </c>
      <c r="B194" t="s">
        <v>5</v>
      </c>
      <c r="C194" t="s">
        <v>113</v>
      </c>
      <c r="D194">
        <v>2</v>
      </c>
      <c r="E194">
        <v>2021</v>
      </c>
      <c r="F194" s="2">
        <f>DATE(Table1[[#This Row],[Tahun]],Table1[[#This Row],[Bulan]],1)</f>
        <v>44228</v>
      </c>
      <c r="G194">
        <v>874</v>
      </c>
      <c r="H194">
        <v>718</v>
      </c>
      <c r="I194" s="6">
        <f>(Table1[[#This Row],[Aktual]]-Table1[[#This Row],[Target]])</f>
        <v>156</v>
      </c>
      <c r="J194" s="3">
        <f>(Table1[[#This Row],[Aktual]]-Table1[[#This Row],[Target]])/Table1[[#This Row],[Target]]</f>
        <v>0.21727019498607242</v>
      </c>
      <c r="K194" t="str">
        <f>IF(Table1[[#This Row],[Performance Gap (%)]]&lt;0,"Tidak mencapai target", IF(Table1[[#This Row],[Performance Gap (%)]]=0,"Mencapai target", "Melebihi Target"))</f>
        <v>Melebihi Target</v>
      </c>
      <c r="L194">
        <f>VLOOKUP(Table1[[#This Row],[Propinsi]]&amp;"_"&amp;Table1[[#This Row],[Dati 2]]&amp;"_"&amp;Table1[[#This Row],[Tanggal]],Table2[[#All],[Kompetitor area]:[Jumlah Kompetitor]],7,0)</f>
        <v>10</v>
      </c>
      <c r="M194">
        <f>Table1[[#This Row],[Aktual]]-Table1[[#This Row],[Jumlah Kompetitor]]</f>
        <v>864</v>
      </c>
      <c r="N194" t="str">
        <f>IF(Table1[[#This Row],[vs Kompetitor]]&gt;0,"Win", "Lose")</f>
        <v>Win</v>
      </c>
    </row>
    <row r="195" spans="1:14" x14ac:dyDescent="0.25">
      <c r="A195">
        <v>194</v>
      </c>
      <c r="B195" t="s">
        <v>5</v>
      </c>
      <c r="C195" t="s">
        <v>114</v>
      </c>
      <c r="D195">
        <v>2</v>
      </c>
      <c r="E195">
        <v>2021</v>
      </c>
      <c r="F195" s="2">
        <f>DATE(Table1[[#This Row],[Tahun]],Table1[[#This Row],[Bulan]],1)</f>
        <v>44228</v>
      </c>
      <c r="G195">
        <v>535</v>
      </c>
      <c r="H195">
        <v>561</v>
      </c>
      <c r="I195" s="6">
        <f>(Table1[[#This Row],[Aktual]]-Table1[[#This Row],[Target]])</f>
        <v>-26</v>
      </c>
      <c r="J195" s="3">
        <f>(Table1[[#This Row],[Aktual]]-Table1[[#This Row],[Target]])/Table1[[#This Row],[Target]]</f>
        <v>-4.6345811051693407E-2</v>
      </c>
      <c r="K195" t="str">
        <f>IF(Table1[[#This Row],[Performance Gap (%)]]&lt;0,"Tidak mencapai target", IF(Table1[[#This Row],[Performance Gap (%)]]=0,"Mencapai target", "Melebihi Target"))</f>
        <v>Tidak mencapai target</v>
      </c>
      <c r="L195">
        <f>VLOOKUP(Table1[[#This Row],[Propinsi]]&amp;"_"&amp;Table1[[#This Row],[Dati 2]]&amp;"_"&amp;Table1[[#This Row],[Tanggal]],Table2[[#All],[Kompetitor area]:[Jumlah Kompetitor]],7,0)</f>
        <v>32</v>
      </c>
      <c r="M195">
        <f>Table1[[#This Row],[Aktual]]-Table1[[#This Row],[Jumlah Kompetitor]]</f>
        <v>503</v>
      </c>
      <c r="N195" t="str">
        <f>IF(Table1[[#This Row],[vs Kompetitor]]&gt;0,"Win", "Lose")</f>
        <v>Win</v>
      </c>
    </row>
    <row r="196" spans="1:14" x14ac:dyDescent="0.25">
      <c r="A196">
        <v>195</v>
      </c>
      <c r="B196" t="s">
        <v>5</v>
      </c>
      <c r="C196" t="s">
        <v>115</v>
      </c>
      <c r="D196">
        <v>2</v>
      </c>
      <c r="E196">
        <v>2021</v>
      </c>
      <c r="F196" s="2">
        <f>DATE(Table1[[#This Row],[Tahun]],Table1[[#This Row],[Bulan]],1)</f>
        <v>44228</v>
      </c>
      <c r="G196">
        <v>568</v>
      </c>
      <c r="H196">
        <v>507</v>
      </c>
      <c r="I196" s="6">
        <f>(Table1[[#This Row],[Aktual]]-Table1[[#This Row],[Target]])</f>
        <v>61</v>
      </c>
      <c r="J196" s="3">
        <f>(Table1[[#This Row],[Aktual]]-Table1[[#This Row],[Target]])/Table1[[#This Row],[Target]]</f>
        <v>0.1203155818540434</v>
      </c>
      <c r="K196" t="str">
        <f>IF(Table1[[#This Row],[Performance Gap (%)]]&lt;0,"Tidak mencapai target", IF(Table1[[#This Row],[Performance Gap (%)]]=0,"Mencapai target", "Melebihi Target"))</f>
        <v>Melebihi Target</v>
      </c>
      <c r="L196">
        <f>VLOOKUP(Table1[[#This Row],[Propinsi]]&amp;"_"&amp;Table1[[#This Row],[Dati 2]]&amp;"_"&amp;Table1[[#This Row],[Tanggal]],Table2[[#All],[Kompetitor area]:[Jumlah Kompetitor]],7,0)</f>
        <v>18</v>
      </c>
      <c r="M196">
        <f>Table1[[#This Row],[Aktual]]-Table1[[#This Row],[Jumlah Kompetitor]]</f>
        <v>550</v>
      </c>
      <c r="N196" t="str">
        <f>IF(Table1[[#This Row],[vs Kompetitor]]&gt;0,"Win", "Lose")</f>
        <v>Win</v>
      </c>
    </row>
    <row r="197" spans="1:14" x14ac:dyDescent="0.25">
      <c r="A197">
        <v>196</v>
      </c>
      <c r="B197" t="s">
        <v>5</v>
      </c>
      <c r="C197" t="s">
        <v>116</v>
      </c>
      <c r="D197">
        <v>2</v>
      </c>
      <c r="E197">
        <v>2021</v>
      </c>
      <c r="F197" s="2">
        <f>DATE(Table1[[#This Row],[Tahun]],Table1[[#This Row],[Bulan]],1)</f>
        <v>44228</v>
      </c>
      <c r="G197">
        <v>1039</v>
      </c>
      <c r="H197">
        <v>848</v>
      </c>
      <c r="I197" s="6">
        <f>(Table1[[#This Row],[Aktual]]-Table1[[#This Row],[Target]])</f>
        <v>191</v>
      </c>
      <c r="J197" s="3">
        <f>(Table1[[#This Row],[Aktual]]-Table1[[#This Row],[Target]])/Table1[[#This Row],[Target]]</f>
        <v>0.22523584905660377</v>
      </c>
      <c r="K197" t="str">
        <f>IF(Table1[[#This Row],[Performance Gap (%)]]&lt;0,"Tidak mencapai target", IF(Table1[[#This Row],[Performance Gap (%)]]=0,"Mencapai target", "Melebihi Target"))</f>
        <v>Melebihi Target</v>
      </c>
      <c r="L197">
        <f>VLOOKUP(Table1[[#This Row],[Propinsi]]&amp;"_"&amp;Table1[[#This Row],[Dati 2]]&amp;"_"&amp;Table1[[#This Row],[Tanggal]],Table2[[#All],[Kompetitor area]:[Jumlah Kompetitor]],7,0)</f>
        <v>37</v>
      </c>
      <c r="M197">
        <f>Table1[[#This Row],[Aktual]]-Table1[[#This Row],[Jumlah Kompetitor]]</f>
        <v>1002</v>
      </c>
      <c r="N197" t="str">
        <f>IF(Table1[[#This Row],[vs Kompetitor]]&gt;0,"Win", "Lose")</f>
        <v>Win</v>
      </c>
    </row>
    <row r="198" spans="1:14" x14ac:dyDescent="0.25">
      <c r="A198">
        <v>197</v>
      </c>
      <c r="B198" t="s">
        <v>5</v>
      </c>
      <c r="C198" t="s">
        <v>117</v>
      </c>
      <c r="D198">
        <v>2</v>
      </c>
      <c r="E198">
        <v>2021</v>
      </c>
      <c r="F198" s="2">
        <f>DATE(Table1[[#This Row],[Tahun]],Table1[[#This Row],[Bulan]],1)</f>
        <v>44228</v>
      </c>
      <c r="G198">
        <v>1200</v>
      </c>
      <c r="H198">
        <v>1044</v>
      </c>
      <c r="I198" s="6">
        <f>(Table1[[#This Row],[Aktual]]-Table1[[#This Row],[Target]])</f>
        <v>156</v>
      </c>
      <c r="J198" s="3">
        <f>(Table1[[#This Row],[Aktual]]-Table1[[#This Row],[Target]])/Table1[[#This Row],[Target]]</f>
        <v>0.14942528735632185</v>
      </c>
      <c r="K198" t="str">
        <f>IF(Table1[[#This Row],[Performance Gap (%)]]&lt;0,"Tidak mencapai target", IF(Table1[[#This Row],[Performance Gap (%)]]=0,"Mencapai target", "Melebihi Target"))</f>
        <v>Melebihi Target</v>
      </c>
      <c r="L198">
        <f>VLOOKUP(Table1[[#This Row],[Propinsi]]&amp;"_"&amp;Table1[[#This Row],[Dati 2]]&amp;"_"&amp;Table1[[#This Row],[Tanggal]],Table2[[#All],[Kompetitor area]:[Jumlah Kompetitor]],7,0)</f>
        <v>18</v>
      </c>
      <c r="M198">
        <f>Table1[[#This Row],[Aktual]]-Table1[[#This Row],[Jumlah Kompetitor]]</f>
        <v>1182</v>
      </c>
      <c r="N198" t="str">
        <f>IF(Table1[[#This Row],[vs Kompetitor]]&gt;0,"Win", "Lose")</f>
        <v>Win</v>
      </c>
    </row>
    <row r="199" spans="1:14" x14ac:dyDescent="0.25">
      <c r="A199">
        <v>198</v>
      </c>
      <c r="B199" t="s">
        <v>5</v>
      </c>
      <c r="C199" t="s">
        <v>118</v>
      </c>
      <c r="D199">
        <v>2</v>
      </c>
      <c r="E199">
        <v>2021</v>
      </c>
      <c r="F199" s="2">
        <f>DATE(Table1[[#This Row],[Tahun]],Table1[[#This Row],[Bulan]],1)</f>
        <v>44228</v>
      </c>
      <c r="G199">
        <v>752</v>
      </c>
      <c r="H199">
        <v>664</v>
      </c>
      <c r="I199" s="6">
        <f>(Table1[[#This Row],[Aktual]]-Table1[[#This Row],[Target]])</f>
        <v>88</v>
      </c>
      <c r="J199" s="3">
        <f>(Table1[[#This Row],[Aktual]]-Table1[[#This Row],[Target]])/Table1[[#This Row],[Target]]</f>
        <v>0.13253012048192772</v>
      </c>
      <c r="K199" t="str">
        <f>IF(Table1[[#This Row],[Performance Gap (%)]]&lt;0,"Tidak mencapai target", IF(Table1[[#This Row],[Performance Gap (%)]]=0,"Mencapai target", "Melebihi Target"))</f>
        <v>Melebihi Target</v>
      </c>
      <c r="L199">
        <f>VLOOKUP(Table1[[#This Row],[Propinsi]]&amp;"_"&amp;Table1[[#This Row],[Dati 2]]&amp;"_"&amp;Table1[[#This Row],[Tanggal]],Table2[[#All],[Kompetitor area]:[Jumlah Kompetitor]],7,0)</f>
        <v>123</v>
      </c>
      <c r="M199">
        <f>Table1[[#This Row],[Aktual]]-Table1[[#This Row],[Jumlah Kompetitor]]</f>
        <v>629</v>
      </c>
      <c r="N199" t="str">
        <f>IF(Table1[[#This Row],[vs Kompetitor]]&gt;0,"Win", "Lose")</f>
        <v>Win</v>
      </c>
    </row>
    <row r="200" spans="1:14" x14ac:dyDescent="0.25">
      <c r="A200">
        <v>199</v>
      </c>
      <c r="B200" t="s">
        <v>5</v>
      </c>
      <c r="C200" t="s">
        <v>119</v>
      </c>
      <c r="D200">
        <v>2</v>
      </c>
      <c r="E200">
        <v>2021</v>
      </c>
      <c r="F200" s="2">
        <f>DATE(Table1[[#This Row],[Tahun]],Table1[[#This Row],[Bulan]],1)</f>
        <v>44228</v>
      </c>
      <c r="G200">
        <v>781</v>
      </c>
      <c r="H200">
        <v>784</v>
      </c>
      <c r="I200" s="6">
        <f>(Table1[[#This Row],[Aktual]]-Table1[[#This Row],[Target]])</f>
        <v>-3</v>
      </c>
      <c r="J200" s="3">
        <f>(Table1[[#This Row],[Aktual]]-Table1[[#This Row],[Target]])/Table1[[#This Row],[Target]]</f>
        <v>-3.8265306122448979E-3</v>
      </c>
      <c r="K200" t="str">
        <f>IF(Table1[[#This Row],[Performance Gap (%)]]&lt;0,"Tidak mencapai target", IF(Table1[[#This Row],[Performance Gap (%)]]=0,"Mencapai target", "Melebihi Target"))</f>
        <v>Tidak mencapai target</v>
      </c>
      <c r="L200">
        <f>VLOOKUP(Table1[[#This Row],[Propinsi]]&amp;"_"&amp;Table1[[#This Row],[Dati 2]]&amp;"_"&amp;Table1[[#This Row],[Tanggal]],Table2[[#All],[Kompetitor area]:[Jumlah Kompetitor]],7,0)</f>
        <v>86</v>
      </c>
      <c r="M200">
        <f>Table1[[#This Row],[Aktual]]-Table1[[#This Row],[Jumlah Kompetitor]]</f>
        <v>695</v>
      </c>
      <c r="N200" t="str">
        <f>IF(Table1[[#This Row],[vs Kompetitor]]&gt;0,"Win", "Lose")</f>
        <v>Win</v>
      </c>
    </row>
    <row r="201" spans="1:14" x14ac:dyDescent="0.25">
      <c r="A201">
        <v>200</v>
      </c>
      <c r="B201" t="s">
        <v>5</v>
      </c>
      <c r="C201" t="s">
        <v>120</v>
      </c>
      <c r="D201">
        <v>2</v>
      </c>
      <c r="E201">
        <v>2021</v>
      </c>
      <c r="F201" s="2">
        <f>DATE(Table1[[#This Row],[Tahun]],Table1[[#This Row],[Bulan]],1)</f>
        <v>44228</v>
      </c>
      <c r="G201">
        <v>703</v>
      </c>
      <c r="H201">
        <v>680</v>
      </c>
      <c r="I201" s="6">
        <f>(Table1[[#This Row],[Aktual]]-Table1[[#This Row],[Target]])</f>
        <v>23</v>
      </c>
      <c r="J201" s="3">
        <f>(Table1[[#This Row],[Aktual]]-Table1[[#This Row],[Target]])/Table1[[#This Row],[Target]]</f>
        <v>3.3823529411764704E-2</v>
      </c>
      <c r="K201" t="str">
        <f>IF(Table1[[#This Row],[Performance Gap (%)]]&lt;0,"Tidak mencapai target", IF(Table1[[#This Row],[Performance Gap (%)]]=0,"Mencapai target", "Melebihi Target"))</f>
        <v>Melebihi Target</v>
      </c>
      <c r="L201">
        <f>VLOOKUP(Table1[[#This Row],[Propinsi]]&amp;"_"&amp;Table1[[#This Row],[Dati 2]]&amp;"_"&amp;Table1[[#This Row],[Tanggal]],Table2[[#All],[Kompetitor area]:[Jumlah Kompetitor]],7,0)</f>
        <v>51</v>
      </c>
      <c r="M201">
        <f>Table1[[#This Row],[Aktual]]-Table1[[#This Row],[Jumlah Kompetitor]]</f>
        <v>652</v>
      </c>
      <c r="N201" t="str">
        <f>IF(Table1[[#This Row],[vs Kompetitor]]&gt;0,"Win", "Lose")</f>
        <v>Win</v>
      </c>
    </row>
    <row r="202" spans="1:14" x14ac:dyDescent="0.25">
      <c r="A202">
        <v>201</v>
      </c>
      <c r="B202" t="s">
        <v>5</v>
      </c>
      <c r="C202" t="s">
        <v>121</v>
      </c>
      <c r="D202">
        <v>2</v>
      </c>
      <c r="E202">
        <v>2021</v>
      </c>
      <c r="F202" s="2">
        <f>DATE(Table1[[#This Row],[Tahun]],Table1[[#This Row],[Bulan]],1)</f>
        <v>44228</v>
      </c>
      <c r="G202">
        <v>965</v>
      </c>
      <c r="H202">
        <v>927</v>
      </c>
      <c r="I202" s="6">
        <f>(Table1[[#This Row],[Aktual]]-Table1[[#This Row],[Target]])</f>
        <v>38</v>
      </c>
      <c r="J202" s="3">
        <f>(Table1[[#This Row],[Aktual]]-Table1[[#This Row],[Target]])/Table1[[#This Row],[Target]]</f>
        <v>4.0992448759439054E-2</v>
      </c>
      <c r="K202" t="str">
        <f>IF(Table1[[#This Row],[Performance Gap (%)]]&lt;0,"Tidak mencapai target", IF(Table1[[#This Row],[Performance Gap (%)]]=0,"Mencapai target", "Melebihi Target"))</f>
        <v>Melebihi Target</v>
      </c>
      <c r="L202">
        <f>VLOOKUP(Table1[[#This Row],[Propinsi]]&amp;"_"&amp;Table1[[#This Row],[Dati 2]]&amp;"_"&amp;Table1[[#This Row],[Tanggal]],Table2[[#All],[Kompetitor area]:[Jumlah Kompetitor]],7,0)</f>
        <v>844</v>
      </c>
      <c r="M202">
        <f>Table1[[#This Row],[Aktual]]-Table1[[#This Row],[Jumlah Kompetitor]]</f>
        <v>121</v>
      </c>
      <c r="N202" t="str">
        <f>IF(Table1[[#This Row],[vs Kompetitor]]&gt;0,"Win", "Lose")</f>
        <v>Win</v>
      </c>
    </row>
    <row r="203" spans="1:14" x14ac:dyDescent="0.25">
      <c r="A203">
        <v>202</v>
      </c>
      <c r="B203" t="s">
        <v>5</v>
      </c>
      <c r="C203" t="s">
        <v>122</v>
      </c>
      <c r="D203">
        <v>2</v>
      </c>
      <c r="E203">
        <v>2021</v>
      </c>
      <c r="F203" s="2">
        <f>DATE(Table1[[#This Row],[Tahun]],Table1[[#This Row],[Bulan]],1)</f>
        <v>44228</v>
      </c>
      <c r="G203">
        <v>539</v>
      </c>
      <c r="H203">
        <v>498</v>
      </c>
      <c r="I203" s="6">
        <f>(Table1[[#This Row],[Aktual]]-Table1[[#This Row],[Target]])</f>
        <v>41</v>
      </c>
      <c r="J203" s="3">
        <f>(Table1[[#This Row],[Aktual]]-Table1[[#This Row],[Target]])/Table1[[#This Row],[Target]]</f>
        <v>8.2329317269076302E-2</v>
      </c>
      <c r="K203" t="str">
        <f>IF(Table1[[#This Row],[Performance Gap (%)]]&lt;0,"Tidak mencapai target", IF(Table1[[#This Row],[Performance Gap (%)]]=0,"Mencapai target", "Melebihi Target"))</f>
        <v>Melebihi Target</v>
      </c>
      <c r="L203">
        <f>VLOOKUP(Table1[[#This Row],[Propinsi]]&amp;"_"&amp;Table1[[#This Row],[Dati 2]]&amp;"_"&amp;Table1[[#This Row],[Tanggal]],Table2[[#All],[Kompetitor area]:[Jumlah Kompetitor]],7,0)</f>
        <v>477</v>
      </c>
      <c r="M203">
        <f>Table1[[#This Row],[Aktual]]-Table1[[#This Row],[Jumlah Kompetitor]]</f>
        <v>62</v>
      </c>
      <c r="N203" t="str">
        <f>IF(Table1[[#This Row],[vs Kompetitor]]&gt;0,"Win", "Lose")</f>
        <v>Win</v>
      </c>
    </row>
    <row r="204" spans="1:14" x14ac:dyDescent="0.25">
      <c r="A204">
        <v>203</v>
      </c>
      <c r="B204" t="s">
        <v>5</v>
      </c>
      <c r="C204" t="s">
        <v>123</v>
      </c>
      <c r="D204">
        <v>2</v>
      </c>
      <c r="E204">
        <v>2021</v>
      </c>
      <c r="F204" s="2">
        <f>DATE(Table1[[#This Row],[Tahun]],Table1[[#This Row],[Bulan]],1)</f>
        <v>44228</v>
      </c>
      <c r="G204">
        <v>504</v>
      </c>
      <c r="H204">
        <v>502</v>
      </c>
      <c r="I204" s="6">
        <f>(Table1[[#This Row],[Aktual]]-Table1[[#This Row],[Target]])</f>
        <v>2</v>
      </c>
      <c r="J204" s="3">
        <f>(Table1[[#This Row],[Aktual]]-Table1[[#This Row],[Target]])/Table1[[#This Row],[Target]]</f>
        <v>3.9840637450199202E-3</v>
      </c>
      <c r="K204" t="str">
        <f>IF(Table1[[#This Row],[Performance Gap (%)]]&lt;0,"Tidak mencapai target", IF(Table1[[#This Row],[Performance Gap (%)]]=0,"Mencapai target", "Melebihi Target"))</f>
        <v>Melebihi Target</v>
      </c>
      <c r="L204">
        <f>VLOOKUP(Table1[[#This Row],[Propinsi]]&amp;"_"&amp;Table1[[#This Row],[Dati 2]]&amp;"_"&amp;Table1[[#This Row],[Tanggal]],Table2[[#All],[Kompetitor area]:[Jumlah Kompetitor]],7,0)</f>
        <v>500</v>
      </c>
      <c r="M204">
        <f>Table1[[#This Row],[Aktual]]-Table1[[#This Row],[Jumlah Kompetitor]]</f>
        <v>4</v>
      </c>
      <c r="N204" t="str">
        <f>IF(Table1[[#This Row],[vs Kompetitor]]&gt;0,"Win", "Lose")</f>
        <v>Win</v>
      </c>
    </row>
    <row r="205" spans="1:14" x14ac:dyDescent="0.25">
      <c r="A205">
        <v>204</v>
      </c>
      <c r="B205" t="s">
        <v>5</v>
      </c>
      <c r="C205" t="s">
        <v>124</v>
      </c>
      <c r="D205">
        <v>2</v>
      </c>
      <c r="E205">
        <v>2021</v>
      </c>
      <c r="F205" s="2">
        <f>DATE(Table1[[#This Row],[Tahun]],Table1[[#This Row],[Bulan]],1)</f>
        <v>44228</v>
      </c>
      <c r="G205">
        <v>703</v>
      </c>
      <c r="H205">
        <v>576</v>
      </c>
      <c r="I205" s="6">
        <f>(Table1[[#This Row],[Aktual]]-Table1[[#This Row],[Target]])</f>
        <v>127</v>
      </c>
      <c r="J205" s="3">
        <f>(Table1[[#This Row],[Aktual]]-Table1[[#This Row],[Target]])/Table1[[#This Row],[Target]]</f>
        <v>0.2204861111111111</v>
      </c>
      <c r="K205" t="str">
        <f>IF(Table1[[#This Row],[Performance Gap (%)]]&lt;0,"Tidak mencapai target", IF(Table1[[#This Row],[Performance Gap (%)]]=0,"Mencapai target", "Melebihi Target"))</f>
        <v>Melebihi Target</v>
      </c>
      <c r="L205">
        <f>VLOOKUP(Table1[[#This Row],[Propinsi]]&amp;"_"&amp;Table1[[#This Row],[Dati 2]]&amp;"_"&amp;Table1[[#This Row],[Tanggal]],Table2[[#All],[Kompetitor area]:[Jumlah Kompetitor]],7,0)</f>
        <v>582</v>
      </c>
      <c r="M205">
        <f>Table1[[#This Row],[Aktual]]-Table1[[#This Row],[Jumlah Kompetitor]]</f>
        <v>121</v>
      </c>
      <c r="N205" t="str">
        <f>IF(Table1[[#This Row],[vs Kompetitor]]&gt;0,"Win", "Lose")</f>
        <v>Win</v>
      </c>
    </row>
    <row r="206" spans="1:14" x14ac:dyDescent="0.25">
      <c r="A206">
        <v>205</v>
      </c>
      <c r="B206" t="s">
        <v>5</v>
      </c>
      <c r="C206" t="s">
        <v>125</v>
      </c>
      <c r="D206">
        <v>2</v>
      </c>
      <c r="E206">
        <v>2021</v>
      </c>
      <c r="F206" s="2">
        <f>DATE(Table1[[#This Row],[Tahun]],Table1[[#This Row],[Bulan]],1)</f>
        <v>44228</v>
      </c>
      <c r="G206">
        <v>384</v>
      </c>
      <c r="H206">
        <v>426</v>
      </c>
      <c r="I206" s="6">
        <f>(Table1[[#This Row],[Aktual]]-Table1[[#This Row],[Target]])</f>
        <v>-42</v>
      </c>
      <c r="J206" s="3">
        <f>(Table1[[#This Row],[Aktual]]-Table1[[#This Row],[Target]])/Table1[[#This Row],[Target]]</f>
        <v>-9.8591549295774641E-2</v>
      </c>
      <c r="K206" t="str">
        <f>IF(Table1[[#This Row],[Performance Gap (%)]]&lt;0,"Tidak mencapai target", IF(Table1[[#This Row],[Performance Gap (%)]]=0,"Mencapai target", "Melebihi Target"))</f>
        <v>Tidak mencapai target</v>
      </c>
      <c r="L206">
        <f>VLOOKUP(Table1[[#This Row],[Propinsi]]&amp;"_"&amp;Table1[[#This Row],[Dati 2]]&amp;"_"&amp;Table1[[#This Row],[Tanggal]],Table2[[#All],[Kompetitor area]:[Jumlah Kompetitor]],7,0)</f>
        <v>393</v>
      </c>
      <c r="M206">
        <f>Table1[[#This Row],[Aktual]]-Table1[[#This Row],[Jumlah Kompetitor]]</f>
        <v>-9</v>
      </c>
      <c r="N206" t="str">
        <f>IF(Table1[[#This Row],[vs Kompetitor]]&gt;0,"Win", "Lose")</f>
        <v>Lose</v>
      </c>
    </row>
    <row r="207" spans="1:14" x14ac:dyDescent="0.25">
      <c r="A207">
        <v>206</v>
      </c>
      <c r="B207" t="s">
        <v>7</v>
      </c>
      <c r="C207" t="s">
        <v>126</v>
      </c>
      <c r="D207">
        <v>2</v>
      </c>
      <c r="E207">
        <v>2021</v>
      </c>
      <c r="F207" s="2">
        <f>DATE(Table1[[#This Row],[Tahun]],Table1[[#This Row],[Bulan]],1)</f>
        <v>44228</v>
      </c>
      <c r="G207">
        <v>937</v>
      </c>
      <c r="H207">
        <v>939</v>
      </c>
      <c r="I207" s="6">
        <f>(Table1[[#This Row],[Aktual]]-Table1[[#This Row],[Target]])</f>
        <v>-2</v>
      </c>
      <c r="J207" s="3">
        <f>(Table1[[#This Row],[Aktual]]-Table1[[#This Row],[Target]])/Table1[[#This Row],[Target]]</f>
        <v>-2.1299254526091589E-3</v>
      </c>
      <c r="K207" t="str">
        <f>IF(Table1[[#This Row],[Performance Gap (%)]]&lt;0,"Tidak mencapai target", IF(Table1[[#This Row],[Performance Gap (%)]]=0,"Mencapai target", "Melebihi Target"))</f>
        <v>Tidak mencapai target</v>
      </c>
      <c r="L207">
        <f>VLOOKUP(Table1[[#This Row],[Propinsi]]&amp;"_"&amp;Table1[[#This Row],[Dati 2]]&amp;"_"&amp;Table1[[#This Row],[Tanggal]],Table2[[#All],[Kompetitor area]:[Jumlah Kompetitor]],7,0)</f>
        <v>943</v>
      </c>
      <c r="M207">
        <f>Table1[[#This Row],[Aktual]]-Table1[[#This Row],[Jumlah Kompetitor]]</f>
        <v>-6</v>
      </c>
      <c r="N207" t="str">
        <f>IF(Table1[[#This Row],[vs Kompetitor]]&gt;0,"Win", "Lose")</f>
        <v>Lose</v>
      </c>
    </row>
    <row r="208" spans="1:14" x14ac:dyDescent="0.25">
      <c r="A208">
        <v>207</v>
      </c>
      <c r="B208" t="s">
        <v>7</v>
      </c>
      <c r="C208" t="s">
        <v>127</v>
      </c>
      <c r="D208">
        <v>2</v>
      </c>
      <c r="E208">
        <v>2021</v>
      </c>
      <c r="F208" s="2">
        <f>DATE(Table1[[#This Row],[Tahun]],Table1[[#This Row],[Bulan]],1)</f>
        <v>44228</v>
      </c>
      <c r="G208">
        <v>662</v>
      </c>
      <c r="H208">
        <v>618</v>
      </c>
      <c r="I208" s="6">
        <f>(Table1[[#This Row],[Aktual]]-Table1[[#This Row],[Target]])</f>
        <v>44</v>
      </c>
      <c r="J208" s="3">
        <f>(Table1[[#This Row],[Aktual]]-Table1[[#This Row],[Target]])/Table1[[#This Row],[Target]]</f>
        <v>7.1197411003236247E-2</v>
      </c>
      <c r="K208" t="str">
        <f>IF(Table1[[#This Row],[Performance Gap (%)]]&lt;0,"Tidak mencapai target", IF(Table1[[#This Row],[Performance Gap (%)]]=0,"Mencapai target", "Melebihi Target"))</f>
        <v>Melebihi Target</v>
      </c>
      <c r="L208">
        <f>VLOOKUP(Table1[[#This Row],[Propinsi]]&amp;"_"&amp;Table1[[#This Row],[Dati 2]]&amp;"_"&amp;Table1[[#This Row],[Tanggal]],Table2[[#All],[Kompetitor area]:[Jumlah Kompetitor]],7,0)</f>
        <v>602</v>
      </c>
      <c r="M208">
        <f>Table1[[#This Row],[Aktual]]-Table1[[#This Row],[Jumlah Kompetitor]]</f>
        <v>60</v>
      </c>
      <c r="N208" t="str">
        <f>IF(Table1[[#This Row],[vs Kompetitor]]&gt;0,"Win", "Lose")</f>
        <v>Win</v>
      </c>
    </row>
    <row r="209" spans="1:14" x14ac:dyDescent="0.25">
      <c r="A209">
        <v>208</v>
      </c>
      <c r="B209" t="s">
        <v>7</v>
      </c>
      <c r="C209" t="s">
        <v>128</v>
      </c>
      <c r="D209">
        <v>2</v>
      </c>
      <c r="E209">
        <v>2021</v>
      </c>
      <c r="F209" s="2">
        <f>DATE(Table1[[#This Row],[Tahun]],Table1[[#This Row],[Bulan]],1)</f>
        <v>44228</v>
      </c>
      <c r="G209">
        <v>440</v>
      </c>
      <c r="H209">
        <v>430</v>
      </c>
      <c r="I209" s="6">
        <f>(Table1[[#This Row],[Aktual]]-Table1[[#This Row],[Target]])</f>
        <v>10</v>
      </c>
      <c r="J209" s="3">
        <f>(Table1[[#This Row],[Aktual]]-Table1[[#This Row],[Target]])/Table1[[#This Row],[Target]]</f>
        <v>2.3255813953488372E-2</v>
      </c>
      <c r="K209" t="str">
        <f>IF(Table1[[#This Row],[Performance Gap (%)]]&lt;0,"Tidak mencapai target", IF(Table1[[#This Row],[Performance Gap (%)]]=0,"Mencapai target", "Melebihi Target"))</f>
        <v>Melebihi Target</v>
      </c>
      <c r="L209">
        <f>VLOOKUP(Table1[[#This Row],[Propinsi]]&amp;"_"&amp;Table1[[#This Row],[Dati 2]]&amp;"_"&amp;Table1[[#This Row],[Tanggal]],Table2[[#All],[Kompetitor area]:[Jumlah Kompetitor]],7,0)</f>
        <v>424</v>
      </c>
      <c r="M209">
        <f>Table1[[#This Row],[Aktual]]-Table1[[#This Row],[Jumlah Kompetitor]]</f>
        <v>16</v>
      </c>
      <c r="N209" t="str">
        <f>IF(Table1[[#This Row],[vs Kompetitor]]&gt;0,"Win", "Lose")</f>
        <v>Win</v>
      </c>
    </row>
    <row r="210" spans="1:14" x14ac:dyDescent="0.25">
      <c r="A210">
        <v>209</v>
      </c>
      <c r="B210" t="s">
        <v>7</v>
      </c>
      <c r="C210" t="s">
        <v>129</v>
      </c>
      <c r="D210">
        <v>2</v>
      </c>
      <c r="E210">
        <v>2021</v>
      </c>
      <c r="F210" s="2">
        <f>DATE(Table1[[#This Row],[Tahun]],Table1[[#This Row],[Bulan]],1)</f>
        <v>44228</v>
      </c>
      <c r="G210">
        <v>233</v>
      </c>
      <c r="H210">
        <v>244</v>
      </c>
      <c r="I210" s="6">
        <f>(Table1[[#This Row],[Aktual]]-Table1[[#This Row],[Target]])</f>
        <v>-11</v>
      </c>
      <c r="J210" s="3">
        <f>(Table1[[#This Row],[Aktual]]-Table1[[#This Row],[Target]])/Table1[[#This Row],[Target]]</f>
        <v>-4.5081967213114756E-2</v>
      </c>
      <c r="K210" t="str">
        <f>IF(Table1[[#This Row],[Performance Gap (%)]]&lt;0,"Tidak mencapai target", IF(Table1[[#This Row],[Performance Gap (%)]]=0,"Mencapai target", "Melebihi Target"))</f>
        <v>Tidak mencapai target</v>
      </c>
      <c r="L210">
        <f>VLOOKUP(Table1[[#This Row],[Propinsi]]&amp;"_"&amp;Table1[[#This Row],[Dati 2]]&amp;"_"&amp;Table1[[#This Row],[Tanggal]],Table2[[#All],[Kompetitor area]:[Jumlah Kompetitor]],7,0)</f>
        <v>229</v>
      </c>
      <c r="M210">
        <f>Table1[[#This Row],[Aktual]]-Table1[[#This Row],[Jumlah Kompetitor]]</f>
        <v>4</v>
      </c>
      <c r="N210" t="str">
        <f>IF(Table1[[#This Row],[vs Kompetitor]]&gt;0,"Win", "Lose")</f>
        <v>Win</v>
      </c>
    </row>
    <row r="211" spans="1:14" x14ac:dyDescent="0.25">
      <c r="A211">
        <v>210</v>
      </c>
      <c r="B211" t="s">
        <v>7</v>
      </c>
      <c r="C211" t="s">
        <v>130</v>
      </c>
      <c r="D211">
        <v>2</v>
      </c>
      <c r="E211">
        <v>2021</v>
      </c>
      <c r="F211" s="2">
        <f>DATE(Table1[[#This Row],[Tahun]],Table1[[#This Row],[Bulan]],1)</f>
        <v>44228</v>
      </c>
      <c r="G211">
        <v>153</v>
      </c>
      <c r="H211">
        <v>151</v>
      </c>
      <c r="I211" s="6">
        <f>(Table1[[#This Row],[Aktual]]-Table1[[#This Row],[Target]])</f>
        <v>2</v>
      </c>
      <c r="J211" s="3">
        <f>(Table1[[#This Row],[Aktual]]-Table1[[#This Row],[Target]])/Table1[[#This Row],[Target]]</f>
        <v>1.3245033112582781E-2</v>
      </c>
      <c r="K211" t="str">
        <f>IF(Table1[[#This Row],[Performance Gap (%)]]&lt;0,"Tidak mencapai target", IF(Table1[[#This Row],[Performance Gap (%)]]=0,"Mencapai target", "Melebihi Target"))</f>
        <v>Melebihi Target</v>
      </c>
      <c r="L211">
        <f>VLOOKUP(Table1[[#This Row],[Propinsi]]&amp;"_"&amp;Table1[[#This Row],[Dati 2]]&amp;"_"&amp;Table1[[#This Row],[Tanggal]],Table2[[#All],[Kompetitor area]:[Jumlah Kompetitor]],7,0)</f>
        <v>144</v>
      </c>
      <c r="M211">
        <f>Table1[[#This Row],[Aktual]]-Table1[[#This Row],[Jumlah Kompetitor]]</f>
        <v>9</v>
      </c>
      <c r="N211" t="str">
        <f>IF(Table1[[#This Row],[vs Kompetitor]]&gt;0,"Win", "Lose")</f>
        <v>Win</v>
      </c>
    </row>
    <row r="212" spans="1:14" x14ac:dyDescent="0.25">
      <c r="A212">
        <v>211</v>
      </c>
      <c r="B212" t="s">
        <v>7</v>
      </c>
      <c r="C212" t="s">
        <v>131</v>
      </c>
      <c r="D212">
        <v>2</v>
      </c>
      <c r="E212">
        <v>2021</v>
      </c>
      <c r="F212" s="2">
        <f>DATE(Table1[[#This Row],[Tahun]],Table1[[#This Row],[Bulan]],1)</f>
        <v>44228</v>
      </c>
      <c r="G212">
        <v>161</v>
      </c>
      <c r="H212">
        <v>146</v>
      </c>
      <c r="I212" s="6">
        <f>(Table1[[#This Row],[Aktual]]-Table1[[#This Row],[Target]])</f>
        <v>15</v>
      </c>
      <c r="J212" s="3">
        <f>(Table1[[#This Row],[Aktual]]-Table1[[#This Row],[Target]])/Table1[[#This Row],[Target]]</f>
        <v>0.10273972602739725</v>
      </c>
      <c r="K212" t="str">
        <f>IF(Table1[[#This Row],[Performance Gap (%)]]&lt;0,"Tidak mencapai target", IF(Table1[[#This Row],[Performance Gap (%)]]=0,"Mencapai target", "Melebihi Target"))</f>
        <v>Melebihi Target</v>
      </c>
      <c r="L212">
        <f>VLOOKUP(Table1[[#This Row],[Propinsi]]&amp;"_"&amp;Table1[[#This Row],[Dati 2]]&amp;"_"&amp;Table1[[#This Row],[Tanggal]],Table2[[#All],[Kompetitor area]:[Jumlah Kompetitor]],7,0)</f>
        <v>132</v>
      </c>
      <c r="M212">
        <f>Table1[[#This Row],[Aktual]]-Table1[[#This Row],[Jumlah Kompetitor]]</f>
        <v>29</v>
      </c>
      <c r="N212" t="str">
        <f>IF(Table1[[#This Row],[vs Kompetitor]]&gt;0,"Win", "Lose")</f>
        <v>Win</v>
      </c>
    </row>
    <row r="213" spans="1:14" x14ac:dyDescent="0.25">
      <c r="A213">
        <v>212</v>
      </c>
      <c r="B213" t="s">
        <v>7</v>
      </c>
      <c r="C213" t="s">
        <v>132</v>
      </c>
      <c r="D213">
        <v>2</v>
      </c>
      <c r="E213">
        <v>2021</v>
      </c>
      <c r="F213" s="2">
        <f>DATE(Table1[[#This Row],[Tahun]],Table1[[#This Row],[Bulan]],1)</f>
        <v>44228</v>
      </c>
      <c r="G213">
        <v>212</v>
      </c>
      <c r="H213">
        <v>184</v>
      </c>
      <c r="I213" s="6">
        <f>(Table1[[#This Row],[Aktual]]-Table1[[#This Row],[Target]])</f>
        <v>28</v>
      </c>
      <c r="J213" s="3">
        <f>(Table1[[#This Row],[Aktual]]-Table1[[#This Row],[Target]])/Table1[[#This Row],[Target]]</f>
        <v>0.15217391304347827</v>
      </c>
      <c r="K213" t="str">
        <f>IF(Table1[[#This Row],[Performance Gap (%)]]&lt;0,"Tidak mencapai target", IF(Table1[[#This Row],[Performance Gap (%)]]=0,"Mencapai target", "Melebihi Target"))</f>
        <v>Melebihi Target</v>
      </c>
      <c r="L213">
        <f>VLOOKUP(Table1[[#This Row],[Propinsi]]&amp;"_"&amp;Table1[[#This Row],[Dati 2]]&amp;"_"&amp;Table1[[#This Row],[Tanggal]],Table2[[#All],[Kompetitor area]:[Jumlah Kompetitor]],7,0)</f>
        <v>191</v>
      </c>
      <c r="M213">
        <f>Table1[[#This Row],[Aktual]]-Table1[[#This Row],[Jumlah Kompetitor]]</f>
        <v>21</v>
      </c>
      <c r="N213" t="str">
        <f>IF(Table1[[#This Row],[vs Kompetitor]]&gt;0,"Win", "Lose")</f>
        <v>Win</v>
      </c>
    </row>
    <row r="214" spans="1:14" x14ac:dyDescent="0.25">
      <c r="A214">
        <v>213</v>
      </c>
      <c r="B214" t="s">
        <v>7</v>
      </c>
      <c r="C214" t="s">
        <v>133</v>
      </c>
      <c r="D214">
        <v>2</v>
      </c>
      <c r="E214">
        <v>2021</v>
      </c>
      <c r="F214" s="2">
        <f>DATE(Table1[[#This Row],[Tahun]],Table1[[#This Row],[Bulan]],1)</f>
        <v>44228</v>
      </c>
      <c r="G214">
        <v>222</v>
      </c>
      <c r="H214">
        <v>196</v>
      </c>
      <c r="I214" s="6">
        <f>(Table1[[#This Row],[Aktual]]-Table1[[#This Row],[Target]])</f>
        <v>26</v>
      </c>
      <c r="J214" s="3">
        <f>(Table1[[#This Row],[Aktual]]-Table1[[#This Row],[Target]])/Table1[[#This Row],[Target]]</f>
        <v>0.1326530612244898</v>
      </c>
      <c r="K214" t="str">
        <f>IF(Table1[[#This Row],[Performance Gap (%)]]&lt;0,"Tidak mencapai target", IF(Table1[[#This Row],[Performance Gap (%)]]=0,"Mencapai target", "Melebihi Target"))</f>
        <v>Melebihi Target</v>
      </c>
      <c r="L214">
        <f>VLOOKUP(Table1[[#This Row],[Propinsi]]&amp;"_"&amp;Table1[[#This Row],[Dati 2]]&amp;"_"&amp;Table1[[#This Row],[Tanggal]],Table2[[#All],[Kompetitor area]:[Jumlah Kompetitor]],7,0)</f>
        <v>190</v>
      </c>
      <c r="M214">
        <f>Table1[[#This Row],[Aktual]]-Table1[[#This Row],[Jumlah Kompetitor]]</f>
        <v>32</v>
      </c>
      <c r="N214" t="str">
        <f>IF(Table1[[#This Row],[vs Kompetitor]]&gt;0,"Win", "Lose")</f>
        <v>Win</v>
      </c>
    </row>
    <row r="215" spans="1:14" x14ac:dyDescent="0.25">
      <c r="A215">
        <v>214</v>
      </c>
      <c r="B215" t="s">
        <v>7</v>
      </c>
      <c r="C215" t="s">
        <v>134</v>
      </c>
      <c r="D215">
        <v>2</v>
      </c>
      <c r="E215">
        <v>2021</v>
      </c>
      <c r="F215" s="2">
        <f>DATE(Table1[[#This Row],[Tahun]],Table1[[#This Row],[Bulan]],1)</f>
        <v>44228</v>
      </c>
      <c r="G215">
        <v>88</v>
      </c>
      <c r="H215">
        <v>103</v>
      </c>
      <c r="I215" s="6">
        <f>(Table1[[#This Row],[Aktual]]-Table1[[#This Row],[Target]])</f>
        <v>-15</v>
      </c>
      <c r="J215" s="3">
        <f>(Table1[[#This Row],[Aktual]]-Table1[[#This Row],[Target]])/Table1[[#This Row],[Target]]</f>
        <v>-0.14563106796116504</v>
      </c>
      <c r="K215" t="str">
        <f>IF(Table1[[#This Row],[Performance Gap (%)]]&lt;0,"Tidak mencapai target", IF(Table1[[#This Row],[Performance Gap (%)]]=0,"Mencapai target", "Melebihi Target"))</f>
        <v>Tidak mencapai target</v>
      </c>
      <c r="L215">
        <f>VLOOKUP(Table1[[#This Row],[Propinsi]]&amp;"_"&amp;Table1[[#This Row],[Dati 2]]&amp;"_"&amp;Table1[[#This Row],[Tanggal]],Table2[[#All],[Kompetitor area]:[Jumlah Kompetitor]],7,0)</f>
        <v>96</v>
      </c>
      <c r="M215">
        <f>Table1[[#This Row],[Aktual]]-Table1[[#This Row],[Jumlah Kompetitor]]</f>
        <v>-8</v>
      </c>
      <c r="N215" t="str">
        <f>IF(Table1[[#This Row],[vs Kompetitor]]&gt;0,"Win", "Lose")</f>
        <v>Lose</v>
      </c>
    </row>
    <row r="216" spans="1:14" x14ac:dyDescent="0.25">
      <c r="A216">
        <v>215</v>
      </c>
      <c r="B216" t="s">
        <v>7</v>
      </c>
      <c r="C216" t="s">
        <v>135</v>
      </c>
      <c r="D216">
        <v>2</v>
      </c>
      <c r="E216">
        <v>2021</v>
      </c>
      <c r="F216" s="2">
        <f>DATE(Table1[[#This Row],[Tahun]],Table1[[#This Row],[Bulan]],1)</f>
        <v>44228</v>
      </c>
      <c r="G216">
        <v>329</v>
      </c>
      <c r="H216">
        <v>289</v>
      </c>
      <c r="I216" s="6">
        <f>(Table1[[#This Row],[Aktual]]-Table1[[#This Row],[Target]])</f>
        <v>40</v>
      </c>
      <c r="J216" s="3">
        <f>(Table1[[#This Row],[Aktual]]-Table1[[#This Row],[Target]])/Table1[[#This Row],[Target]]</f>
        <v>0.13840830449826991</v>
      </c>
      <c r="K216" t="str">
        <f>IF(Table1[[#This Row],[Performance Gap (%)]]&lt;0,"Tidak mencapai target", IF(Table1[[#This Row],[Performance Gap (%)]]=0,"Mencapai target", "Melebihi Target"))</f>
        <v>Melebihi Target</v>
      </c>
      <c r="L216">
        <f>VLOOKUP(Table1[[#This Row],[Propinsi]]&amp;"_"&amp;Table1[[#This Row],[Dati 2]]&amp;"_"&amp;Table1[[#This Row],[Tanggal]],Table2[[#All],[Kompetitor area]:[Jumlah Kompetitor]],7,0)</f>
        <v>276</v>
      </c>
      <c r="M216">
        <f>Table1[[#This Row],[Aktual]]-Table1[[#This Row],[Jumlah Kompetitor]]</f>
        <v>53</v>
      </c>
      <c r="N216" t="str">
        <f>IF(Table1[[#This Row],[vs Kompetitor]]&gt;0,"Win", "Lose")</f>
        <v>Win</v>
      </c>
    </row>
    <row r="217" spans="1:14" x14ac:dyDescent="0.25">
      <c r="A217">
        <v>216</v>
      </c>
      <c r="B217" t="s">
        <v>7</v>
      </c>
      <c r="C217" t="s">
        <v>136</v>
      </c>
      <c r="D217">
        <v>2</v>
      </c>
      <c r="E217">
        <v>2021</v>
      </c>
      <c r="F217" s="2">
        <f>DATE(Table1[[#This Row],[Tahun]],Table1[[#This Row],[Bulan]],1)</f>
        <v>44228</v>
      </c>
      <c r="G217">
        <v>161</v>
      </c>
      <c r="H217">
        <v>126</v>
      </c>
      <c r="I217" s="6">
        <f>(Table1[[#This Row],[Aktual]]-Table1[[#This Row],[Target]])</f>
        <v>35</v>
      </c>
      <c r="J217" s="3">
        <f>(Table1[[#This Row],[Aktual]]-Table1[[#This Row],[Target]])/Table1[[#This Row],[Target]]</f>
        <v>0.27777777777777779</v>
      </c>
      <c r="K217" t="str">
        <f>IF(Table1[[#This Row],[Performance Gap (%)]]&lt;0,"Tidak mencapai target", IF(Table1[[#This Row],[Performance Gap (%)]]=0,"Mencapai target", "Melebihi Target"))</f>
        <v>Melebihi Target</v>
      </c>
      <c r="L217">
        <f>VLOOKUP(Table1[[#This Row],[Propinsi]]&amp;"_"&amp;Table1[[#This Row],[Dati 2]]&amp;"_"&amp;Table1[[#This Row],[Tanggal]],Table2[[#All],[Kompetitor area]:[Jumlah Kompetitor]],7,0)</f>
        <v>128</v>
      </c>
      <c r="M217">
        <f>Table1[[#This Row],[Aktual]]-Table1[[#This Row],[Jumlah Kompetitor]]</f>
        <v>33</v>
      </c>
      <c r="N217" t="str">
        <f>IF(Table1[[#This Row],[vs Kompetitor]]&gt;0,"Win", "Lose")</f>
        <v>Win</v>
      </c>
    </row>
    <row r="218" spans="1:14" x14ac:dyDescent="0.25">
      <c r="A218">
        <v>217</v>
      </c>
      <c r="B218" t="s">
        <v>7</v>
      </c>
      <c r="C218" t="s">
        <v>137</v>
      </c>
      <c r="D218">
        <v>2</v>
      </c>
      <c r="E218">
        <v>2021</v>
      </c>
      <c r="F218" s="2">
        <f>DATE(Table1[[#This Row],[Tahun]],Table1[[#This Row],[Bulan]],1)</f>
        <v>44228</v>
      </c>
      <c r="G218">
        <v>98</v>
      </c>
      <c r="H218">
        <v>80</v>
      </c>
      <c r="I218" s="6">
        <f>(Table1[[#This Row],[Aktual]]-Table1[[#This Row],[Target]])</f>
        <v>18</v>
      </c>
      <c r="J218" s="3">
        <f>(Table1[[#This Row],[Aktual]]-Table1[[#This Row],[Target]])/Table1[[#This Row],[Target]]</f>
        <v>0.22500000000000001</v>
      </c>
      <c r="K218" t="str">
        <f>IF(Table1[[#This Row],[Performance Gap (%)]]&lt;0,"Tidak mencapai target", IF(Table1[[#This Row],[Performance Gap (%)]]=0,"Mencapai target", "Melebihi Target"))</f>
        <v>Melebihi Target</v>
      </c>
      <c r="L218">
        <f>VLOOKUP(Table1[[#This Row],[Propinsi]]&amp;"_"&amp;Table1[[#This Row],[Dati 2]]&amp;"_"&amp;Table1[[#This Row],[Tanggal]],Table2[[#All],[Kompetitor area]:[Jumlah Kompetitor]],7,0)</f>
        <v>79</v>
      </c>
      <c r="M218">
        <f>Table1[[#This Row],[Aktual]]-Table1[[#This Row],[Jumlah Kompetitor]]</f>
        <v>19</v>
      </c>
      <c r="N218" t="str">
        <f>IF(Table1[[#This Row],[vs Kompetitor]]&gt;0,"Win", "Lose")</f>
        <v>Win</v>
      </c>
    </row>
    <row r="219" spans="1:14" x14ac:dyDescent="0.25">
      <c r="A219">
        <v>218</v>
      </c>
      <c r="B219" t="s">
        <v>7</v>
      </c>
      <c r="C219" t="s">
        <v>138</v>
      </c>
      <c r="D219">
        <v>2</v>
      </c>
      <c r="E219">
        <v>2021</v>
      </c>
      <c r="F219" s="2">
        <f>DATE(Table1[[#This Row],[Tahun]],Table1[[#This Row],[Bulan]],1)</f>
        <v>44228</v>
      </c>
      <c r="G219">
        <v>194</v>
      </c>
      <c r="H219">
        <v>161</v>
      </c>
      <c r="I219" s="6">
        <f>(Table1[[#This Row],[Aktual]]-Table1[[#This Row],[Target]])</f>
        <v>33</v>
      </c>
      <c r="J219" s="3">
        <f>(Table1[[#This Row],[Aktual]]-Table1[[#This Row],[Target]])/Table1[[#This Row],[Target]]</f>
        <v>0.20496894409937888</v>
      </c>
      <c r="K219" t="str">
        <f>IF(Table1[[#This Row],[Performance Gap (%)]]&lt;0,"Tidak mencapai target", IF(Table1[[#This Row],[Performance Gap (%)]]=0,"Mencapai target", "Melebihi Target"))</f>
        <v>Melebihi Target</v>
      </c>
      <c r="L219">
        <f>VLOOKUP(Table1[[#This Row],[Propinsi]]&amp;"_"&amp;Table1[[#This Row],[Dati 2]]&amp;"_"&amp;Table1[[#This Row],[Tanggal]],Table2[[#All],[Kompetitor area]:[Jumlah Kompetitor]],7,0)</f>
        <v>165</v>
      </c>
      <c r="M219">
        <f>Table1[[#This Row],[Aktual]]-Table1[[#This Row],[Jumlah Kompetitor]]</f>
        <v>29</v>
      </c>
      <c r="N219" t="str">
        <f>IF(Table1[[#This Row],[vs Kompetitor]]&gt;0,"Win", "Lose")</f>
        <v>Win</v>
      </c>
    </row>
    <row r="220" spans="1:14" x14ac:dyDescent="0.25">
      <c r="A220">
        <v>219</v>
      </c>
      <c r="B220" t="s">
        <v>7</v>
      </c>
      <c r="C220" t="s">
        <v>139</v>
      </c>
      <c r="D220">
        <v>2</v>
      </c>
      <c r="E220">
        <v>2021</v>
      </c>
      <c r="F220" s="2">
        <f>DATE(Table1[[#This Row],[Tahun]],Table1[[#This Row],[Bulan]],1)</f>
        <v>44228</v>
      </c>
      <c r="G220">
        <v>254</v>
      </c>
      <c r="H220">
        <v>231</v>
      </c>
      <c r="I220" s="6">
        <f>(Table1[[#This Row],[Aktual]]-Table1[[#This Row],[Target]])</f>
        <v>23</v>
      </c>
      <c r="J220" s="3">
        <f>(Table1[[#This Row],[Aktual]]-Table1[[#This Row],[Target]])/Table1[[#This Row],[Target]]</f>
        <v>9.9567099567099568E-2</v>
      </c>
      <c r="K220" t="str">
        <f>IF(Table1[[#This Row],[Performance Gap (%)]]&lt;0,"Tidak mencapai target", IF(Table1[[#This Row],[Performance Gap (%)]]=0,"Mencapai target", "Melebihi Target"))</f>
        <v>Melebihi Target</v>
      </c>
      <c r="L220">
        <f>VLOOKUP(Table1[[#This Row],[Propinsi]]&amp;"_"&amp;Table1[[#This Row],[Dati 2]]&amp;"_"&amp;Table1[[#This Row],[Tanggal]],Table2[[#All],[Kompetitor area]:[Jumlah Kompetitor]],7,0)</f>
        <v>216</v>
      </c>
      <c r="M220">
        <f>Table1[[#This Row],[Aktual]]-Table1[[#This Row],[Jumlah Kompetitor]]</f>
        <v>38</v>
      </c>
      <c r="N220" t="str">
        <f>IF(Table1[[#This Row],[vs Kompetitor]]&gt;0,"Win", "Lose")</f>
        <v>Win</v>
      </c>
    </row>
    <row r="221" spans="1:14" x14ac:dyDescent="0.25">
      <c r="A221">
        <v>220</v>
      </c>
      <c r="B221" t="s">
        <v>7</v>
      </c>
      <c r="C221" t="s">
        <v>140</v>
      </c>
      <c r="D221">
        <v>2</v>
      </c>
      <c r="E221">
        <v>2021</v>
      </c>
      <c r="F221" s="2">
        <f>DATE(Table1[[#This Row],[Tahun]],Table1[[#This Row],[Bulan]],1)</f>
        <v>44228</v>
      </c>
      <c r="G221">
        <v>209</v>
      </c>
      <c r="H221">
        <v>173</v>
      </c>
      <c r="I221" s="6">
        <f>(Table1[[#This Row],[Aktual]]-Table1[[#This Row],[Target]])</f>
        <v>36</v>
      </c>
      <c r="J221" s="3">
        <f>(Table1[[#This Row],[Aktual]]-Table1[[#This Row],[Target]])/Table1[[#This Row],[Target]]</f>
        <v>0.20809248554913296</v>
      </c>
      <c r="K221" t="str">
        <f>IF(Table1[[#This Row],[Performance Gap (%)]]&lt;0,"Tidak mencapai target", IF(Table1[[#This Row],[Performance Gap (%)]]=0,"Mencapai target", "Melebihi Target"))</f>
        <v>Melebihi Target</v>
      </c>
      <c r="L221">
        <f>VLOOKUP(Table1[[#This Row],[Propinsi]]&amp;"_"&amp;Table1[[#This Row],[Dati 2]]&amp;"_"&amp;Table1[[#This Row],[Tanggal]],Table2[[#All],[Kompetitor area]:[Jumlah Kompetitor]],7,0)</f>
        <v>173</v>
      </c>
      <c r="M221">
        <f>Table1[[#This Row],[Aktual]]-Table1[[#This Row],[Jumlah Kompetitor]]</f>
        <v>36</v>
      </c>
      <c r="N221" t="str">
        <f>IF(Table1[[#This Row],[vs Kompetitor]]&gt;0,"Win", "Lose")</f>
        <v>Win</v>
      </c>
    </row>
    <row r="222" spans="1:14" x14ac:dyDescent="0.25">
      <c r="A222">
        <v>221</v>
      </c>
      <c r="B222" t="s">
        <v>7</v>
      </c>
      <c r="C222" t="s">
        <v>141</v>
      </c>
      <c r="D222">
        <v>2</v>
      </c>
      <c r="E222">
        <v>2021</v>
      </c>
      <c r="F222" s="2">
        <f>DATE(Table1[[#This Row],[Tahun]],Table1[[#This Row],[Bulan]],1)</f>
        <v>44228</v>
      </c>
      <c r="G222">
        <v>125</v>
      </c>
      <c r="H222">
        <v>123</v>
      </c>
      <c r="I222" s="6">
        <f>(Table1[[#This Row],[Aktual]]-Table1[[#This Row],[Target]])</f>
        <v>2</v>
      </c>
      <c r="J222" s="3">
        <f>(Table1[[#This Row],[Aktual]]-Table1[[#This Row],[Target]])/Table1[[#This Row],[Target]]</f>
        <v>1.6260162601626018E-2</v>
      </c>
      <c r="K222" t="str">
        <f>IF(Table1[[#This Row],[Performance Gap (%)]]&lt;0,"Tidak mencapai target", IF(Table1[[#This Row],[Performance Gap (%)]]=0,"Mencapai target", "Melebihi Target"))</f>
        <v>Melebihi Target</v>
      </c>
      <c r="L222">
        <f>VLOOKUP(Table1[[#This Row],[Propinsi]]&amp;"_"&amp;Table1[[#This Row],[Dati 2]]&amp;"_"&amp;Table1[[#This Row],[Tanggal]],Table2[[#All],[Kompetitor area]:[Jumlah Kompetitor]],7,0)</f>
        <v>123</v>
      </c>
      <c r="M222">
        <f>Table1[[#This Row],[Aktual]]-Table1[[#This Row],[Jumlah Kompetitor]]</f>
        <v>2</v>
      </c>
      <c r="N222" t="str">
        <f>IF(Table1[[#This Row],[vs Kompetitor]]&gt;0,"Win", "Lose")</f>
        <v>Win</v>
      </c>
    </row>
    <row r="223" spans="1:14" x14ac:dyDescent="0.25">
      <c r="A223">
        <v>222</v>
      </c>
      <c r="B223" t="s">
        <v>7</v>
      </c>
      <c r="C223" t="s">
        <v>142</v>
      </c>
      <c r="D223">
        <v>2</v>
      </c>
      <c r="E223">
        <v>2021</v>
      </c>
      <c r="F223" s="2">
        <f>DATE(Table1[[#This Row],[Tahun]],Table1[[#This Row],[Bulan]],1)</f>
        <v>44228</v>
      </c>
      <c r="G223">
        <v>163</v>
      </c>
      <c r="H223">
        <v>149</v>
      </c>
      <c r="I223" s="6">
        <f>(Table1[[#This Row],[Aktual]]-Table1[[#This Row],[Target]])</f>
        <v>14</v>
      </c>
      <c r="J223" s="3">
        <f>(Table1[[#This Row],[Aktual]]-Table1[[#This Row],[Target]])/Table1[[#This Row],[Target]]</f>
        <v>9.3959731543624164E-2</v>
      </c>
      <c r="K223" t="str">
        <f>IF(Table1[[#This Row],[Performance Gap (%)]]&lt;0,"Tidak mencapai target", IF(Table1[[#This Row],[Performance Gap (%)]]=0,"Mencapai target", "Melebihi Target"))</f>
        <v>Melebihi Target</v>
      </c>
      <c r="L223">
        <f>VLOOKUP(Table1[[#This Row],[Propinsi]]&amp;"_"&amp;Table1[[#This Row],[Dati 2]]&amp;"_"&amp;Table1[[#This Row],[Tanggal]],Table2[[#All],[Kompetitor area]:[Jumlah Kompetitor]],7,0)</f>
        <v>140</v>
      </c>
      <c r="M223">
        <f>Table1[[#This Row],[Aktual]]-Table1[[#This Row],[Jumlah Kompetitor]]</f>
        <v>23</v>
      </c>
      <c r="N223" t="str">
        <f>IF(Table1[[#This Row],[vs Kompetitor]]&gt;0,"Win", "Lose")</f>
        <v>Win</v>
      </c>
    </row>
    <row r="224" spans="1:14" x14ac:dyDescent="0.25">
      <c r="A224">
        <v>223</v>
      </c>
      <c r="B224" t="s">
        <v>7</v>
      </c>
      <c r="C224" t="s">
        <v>143</v>
      </c>
      <c r="D224">
        <v>2</v>
      </c>
      <c r="E224">
        <v>2021</v>
      </c>
      <c r="F224" s="2">
        <f>DATE(Table1[[#This Row],[Tahun]],Table1[[#This Row],[Bulan]],1)</f>
        <v>44228</v>
      </c>
      <c r="G224">
        <v>199</v>
      </c>
      <c r="H224">
        <v>178</v>
      </c>
      <c r="I224" s="6">
        <f>(Table1[[#This Row],[Aktual]]-Table1[[#This Row],[Target]])</f>
        <v>21</v>
      </c>
      <c r="J224" s="3">
        <f>(Table1[[#This Row],[Aktual]]-Table1[[#This Row],[Target]])/Table1[[#This Row],[Target]]</f>
        <v>0.11797752808988764</v>
      </c>
      <c r="K224" t="str">
        <f>IF(Table1[[#This Row],[Performance Gap (%)]]&lt;0,"Tidak mencapai target", IF(Table1[[#This Row],[Performance Gap (%)]]=0,"Mencapai target", "Melebihi Target"))</f>
        <v>Melebihi Target</v>
      </c>
      <c r="L224">
        <f>VLOOKUP(Table1[[#This Row],[Propinsi]]&amp;"_"&amp;Table1[[#This Row],[Dati 2]]&amp;"_"&amp;Table1[[#This Row],[Tanggal]],Table2[[#All],[Kompetitor area]:[Jumlah Kompetitor]],7,0)</f>
        <v>172</v>
      </c>
      <c r="M224">
        <f>Table1[[#This Row],[Aktual]]-Table1[[#This Row],[Jumlah Kompetitor]]</f>
        <v>27</v>
      </c>
      <c r="N224" t="str">
        <f>IF(Table1[[#This Row],[vs Kompetitor]]&gt;0,"Win", "Lose")</f>
        <v>Win</v>
      </c>
    </row>
    <row r="225" spans="1:14" x14ac:dyDescent="0.25">
      <c r="A225">
        <v>224</v>
      </c>
      <c r="B225" t="s">
        <v>7</v>
      </c>
      <c r="C225" t="s">
        <v>144</v>
      </c>
      <c r="D225">
        <v>2</v>
      </c>
      <c r="E225">
        <v>2021</v>
      </c>
      <c r="F225" s="2">
        <f>DATE(Table1[[#This Row],[Tahun]],Table1[[#This Row],[Bulan]],1)</f>
        <v>44228</v>
      </c>
      <c r="G225">
        <v>110</v>
      </c>
      <c r="H225">
        <v>102</v>
      </c>
      <c r="I225" s="6">
        <f>(Table1[[#This Row],[Aktual]]-Table1[[#This Row],[Target]])</f>
        <v>8</v>
      </c>
      <c r="J225" s="3">
        <f>(Table1[[#This Row],[Aktual]]-Table1[[#This Row],[Target]])/Table1[[#This Row],[Target]]</f>
        <v>7.8431372549019607E-2</v>
      </c>
      <c r="K225" t="str">
        <f>IF(Table1[[#This Row],[Performance Gap (%)]]&lt;0,"Tidak mencapai target", IF(Table1[[#This Row],[Performance Gap (%)]]=0,"Mencapai target", "Melebihi Target"))</f>
        <v>Melebihi Target</v>
      </c>
      <c r="L225">
        <f>VLOOKUP(Table1[[#This Row],[Propinsi]]&amp;"_"&amp;Table1[[#This Row],[Dati 2]]&amp;"_"&amp;Table1[[#This Row],[Tanggal]],Table2[[#All],[Kompetitor area]:[Jumlah Kompetitor]],7,0)</f>
        <v>97</v>
      </c>
      <c r="M225">
        <f>Table1[[#This Row],[Aktual]]-Table1[[#This Row],[Jumlah Kompetitor]]</f>
        <v>13</v>
      </c>
      <c r="N225" t="str">
        <f>IF(Table1[[#This Row],[vs Kompetitor]]&gt;0,"Win", "Lose")</f>
        <v>Win</v>
      </c>
    </row>
    <row r="226" spans="1:14" x14ac:dyDescent="0.25">
      <c r="A226">
        <v>225</v>
      </c>
      <c r="B226" t="s">
        <v>7</v>
      </c>
      <c r="C226" t="s">
        <v>145</v>
      </c>
      <c r="D226">
        <v>2</v>
      </c>
      <c r="E226">
        <v>2021</v>
      </c>
      <c r="F226" s="2">
        <f>DATE(Table1[[#This Row],[Tahun]],Table1[[#This Row],[Bulan]],1)</f>
        <v>44228</v>
      </c>
      <c r="G226">
        <v>100</v>
      </c>
      <c r="H226">
        <v>112</v>
      </c>
      <c r="I226" s="6">
        <f>(Table1[[#This Row],[Aktual]]-Table1[[#This Row],[Target]])</f>
        <v>-12</v>
      </c>
      <c r="J226" s="3">
        <f>(Table1[[#This Row],[Aktual]]-Table1[[#This Row],[Target]])/Table1[[#This Row],[Target]]</f>
        <v>-0.10714285714285714</v>
      </c>
      <c r="K226" t="str">
        <f>IF(Table1[[#This Row],[Performance Gap (%)]]&lt;0,"Tidak mencapai target", IF(Table1[[#This Row],[Performance Gap (%)]]=0,"Mencapai target", "Melebihi Target"))</f>
        <v>Tidak mencapai target</v>
      </c>
      <c r="L226">
        <f>VLOOKUP(Table1[[#This Row],[Propinsi]]&amp;"_"&amp;Table1[[#This Row],[Dati 2]]&amp;"_"&amp;Table1[[#This Row],[Tanggal]],Table2[[#All],[Kompetitor area]:[Jumlah Kompetitor]],7,0)</f>
        <v>112</v>
      </c>
      <c r="M226">
        <f>Table1[[#This Row],[Aktual]]-Table1[[#This Row],[Jumlah Kompetitor]]</f>
        <v>-12</v>
      </c>
      <c r="N226" t="str">
        <f>IF(Table1[[#This Row],[vs Kompetitor]]&gt;0,"Win", "Lose")</f>
        <v>Lose</v>
      </c>
    </row>
    <row r="227" spans="1:14" x14ac:dyDescent="0.25">
      <c r="A227">
        <v>226</v>
      </c>
      <c r="B227" t="s">
        <v>7</v>
      </c>
      <c r="C227" t="s">
        <v>146</v>
      </c>
      <c r="D227">
        <v>2</v>
      </c>
      <c r="E227">
        <v>2021</v>
      </c>
      <c r="F227" s="2">
        <f>DATE(Table1[[#This Row],[Tahun]],Table1[[#This Row],[Bulan]],1)</f>
        <v>44228</v>
      </c>
      <c r="G227">
        <v>222</v>
      </c>
      <c r="H227">
        <v>196</v>
      </c>
      <c r="I227" s="6">
        <f>(Table1[[#This Row],[Aktual]]-Table1[[#This Row],[Target]])</f>
        <v>26</v>
      </c>
      <c r="J227" s="3">
        <f>(Table1[[#This Row],[Aktual]]-Table1[[#This Row],[Target]])/Table1[[#This Row],[Target]]</f>
        <v>0.1326530612244898</v>
      </c>
      <c r="K227" t="str">
        <f>IF(Table1[[#This Row],[Performance Gap (%)]]&lt;0,"Tidak mencapai target", IF(Table1[[#This Row],[Performance Gap (%)]]=0,"Mencapai target", "Melebihi Target"))</f>
        <v>Melebihi Target</v>
      </c>
      <c r="L227">
        <f>VLOOKUP(Table1[[#This Row],[Propinsi]]&amp;"_"&amp;Table1[[#This Row],[Dati 2]]&amp;"_"&amp;Table1[[#This Row],[Tanggal]],Table2[[#All],[Kompetitor area]:[Jumlah Kompetitor]],7,0)</f>
        <v>199</v>
      </c>
      <c r="M227">
        <f>Table1[[#This Row],[Aktual]]-Table1[[#This Row],[Jumlah Kompetitor]]</f>
        <v>23</v>
      </c>
      <c r="N227" t="str">
        <f>IF(Table1[[#This Row],[vs Kompetitor]]&gt;0,"Win", "Lose")</f>
        <v>Win</v>
      </c>
    </row>
    <row r="228" spans="1:14" x14ac:dyDescent="0.25">
      <c r="A228">
        <v>227</v>
      </c>
      <c r="B228" t="s">
        <v>7</v>
      </c>
      <c r="C228" t="s">
        <v>147</v>
      </c>
      <c r="D228">
        <v>2</v>
      </c>
      <c r="E228">
        <v>2021</v>
      </c>
      <c r="F228" s="2">
        <f>DATE(Table1[[#This Row],[Tahun]],Table1[[#This Row],[Bulan]],1)</f>
        <v>44228</v>
      </c>
      <c r="G228">
        <v>122</v>
      </c>
      <c r="H228">
        <v>111</v>
      </c>
      <c r="I228" s="6">
        <f>(Table1[[#This Row],[Aktual]]-Table1[[#This Row],[Target]])</f>
        <v>11</v>
      </c>
      <c r="J228" s="3">
        <f>(Table1[[#This Row],[Aktual]]-Table1[[#This Row],[Target]])/Table1[[#This Row],[Target]]</f>
        <v>9.90990990990991E-2</v>
      </c>
      <c r="K228" t="str">
        <f>IF(Table1[[#This Row],[Performance Gap (%)]]&lt;0,"Tidak mencapai target", IF(Table1[[#This Row],[Performance Gap (%)]]=0,"Mencapai target", "Melebihi Target"))</f>
        <v>Melebihi Target</v>
      </c>
      <c r="L228">
        <f>VLOOKUP(Table1[[#This Row],[Propinsi]]&amp;"_"&amp;Table1[[#This Row],[Dati 2]]&amp;"_"&amp;Table1[[#This Row],[Tanggal]],Table2[[#All],[Kompetitor area]:[Jumlah Kompetitor]],7,0)</f>
        <v>112</v>
      </c>
      <c r="M228">
        <f>Table1[[#This Row],[Aktual]]-Table1[[#This Row],[Jumlah Kompetitor]]</f>
        <v>10</v>
      </c>
      <c r="N228" t="str">
        <f>IF(Table1[[#This Row],[vs Kompetitor]]&gt;0,"Win", "Lose")</f>
        <v>Win</v>
      </c>
    </row>
    <row r="229" spans="1:14" x14ac:dyDescent="0.25">
      <c r="A229">
        <v>228</v>
      </c>
      <c r="B229" t="s">
        <v>7</v>
      </c>
      <c r="C229" t="s">
        <v>148</v>
      </c>
      <c r="D229">
        <v>2</v>
      </c>
      <c r="E229">
        <v>2021</v>
      </c>
      <c r="F229" s="2">
        <f>DATE(Table1[[#This Row],[Tahun]],Table1[[#This Row],[Bulan]],1)</f>
        <v>44228</v>
      </c>
      <c r="G229">
        <v>171</v>
      </c>
      <c r="H229">
        <v>169</v>
      </c>
      <c r="I229" s="6">
        <f>(Table1[[#This Row],[Aktual]]-Table1[[#This Row],[Target]])</f>
        <v>2</v>
      </c>
      <c r="J229" s="3">
        <f>(Table1[[#This Row],[Aktual]]-Table1[[#This Row],[Target]])/Table1[[#This Row],[Target]]</f>
        <v>1.1834319526627219E-2</v>
      </c>
      <c r="K229" t="str">
        <f>IF(Table1[[#This Row],[Performance Gap (%)]]&lt;0,"Tidak mencapai target", IF(Table1[[#This Row],[Performance Gap (%)]]=0,"Mencapai target", "Melebihi Target"))</f>
        <v>Melebihi Target</v>
      </c>
      <c r="L229">
        <f>VLOOKUP(Table1[[#This Row],[Propinsi]]&amp;"_"&amp;Table1[[#This Row],[Dati 2]]&amp;"_"&amp;Table1[[#This Row],[Tanggal]],Table2[[#All],[Kompetitor area]:[Jumlah Kompetitor]],7,0)</f>
        <v>159</v>
      </c>
      <c r="M229">
        <f>Table1[[#This Row],[Aktual]]-Table1[[#This Row],[Jumlah Kompetitor]]</f>
        <v>12</v>
      </c>
      <c r="N229" t="str">
        <f>IF(Table1[[#This Row],[vs Kompetitor]]&gt;0,"Win", "Lose")</f>
        <v>Win</v>
      </c>
    </row>
    <row r="230" spans="1:14" x14ac:dyDescent="0.25">
      <c r="A230">
        <v>229</v>
      </c>
      <c r="B230" t="s">
        <v>7</v>
      </c>
      <c r="C230" t="s">
        <v>149</v>
      </c>
      <c r="D230">
        <v>2</v>
      </c>
      <c r="E230">
        <v>2021</v>
      </c>
      <c r="F230" s="2">
        <f>DATE(Table1[[#This Row],[Tahun]],Table1[[#This Row],[Bulan]],1)</f>
        <v>44228</v>
      </c>
      <c r="G230">
        <v>57</v>
      </c>
      <c r="H230">
        <v>52</v>
      </c>
      <c r="I230" s="6">
        <f>(Table1[[#This Row],[Aktual]]-Table1[[#This Row],[Target]])</f>
        <v>5</v>
      </c>
      <c r="J230" s="3">
        <f>(Table1[[#This Row],[Aktual]]-Table1[[#This Row],[Target]])/Table1[[#This Row],[Target]]</f>
        <v>9.6153846153846159E-2</v>
      </c>
      <c r="K230" t="str">
        <f>IF(Table1[[#This Row],[Performance Gap (%)]]&lt;0,"Tidak mencapai target", IF(Table1[[#This Row],[Performance Gap (%)]]=0,"Mencapai target", "Melebihi Target"))</f>
        <v>Melebihi Target</v>
      </c>
      <c r="L230">
        <f>VLOOKUP(Table1[[#This Row],[Propinsi]]&amp;"_"&amp;Table1[[#This Row],[Dati 2]]&amp;"_"&amp;Table1[[#This Row],[Tanggal]],Table2[[#All],[Kompetitor area]:[Jumlah Kompetitor]],7,0)</f>
        <v>55</v>
      </c>
      <c r="M230">
        <f>Table1[[#This Row],[Aktual]]-Table1[[#This Row],[Jumlah Kompetitor]]</f>
        <v>2</v>
      </c>
      <c r="N230" t="str">
        <f>IF(Table1[[#This Row],[vs Kompetitor]]&gt;0,"Win", "Lose")</f>
        <v>Win</v>
      </c>
    </row>
    <row r="231" spans="1:14" x14ac:dyDescent="0.25">
      <c r="A231">
        <v>230</v>
      </c>
      <c r="B231" t="s">
        <v>8</v>
      </c>
      <c r="C231" t="s">
        <v>150</v>
      </c>
      <c r="D231">
        <v>2</v>
      </c>
      <c r="E231">
        <v>2021</v>
      </c>
      <c r="F231" s="2">
        <f>DATE(Table1[[#This Row],[Tahun]],Table1[[#This Row],[Bulan]],1)</f>
        <v>44228</v>
      </c>
      <c r="G231">
        <v>648</v>
      </c>
      <c r="H231">
        <v>664</v>
      </c>
      <c r="I231" s="6">
        <f>(Table1[[#This Row],[Aktual]]-Table1[[#This Row],[Target]])</f>
        <v>-16</v>
      </c>
      <c r="J231" s="3">
        <f>(Table1[[#This Row],[Aktual]]-Table1[[#This Row],[Target]])/Table1[[#This Row],[Target]]</f>
        <v>-2.4096385542168676E-2</v>
      </c>
      <c r="K231" t="str">
        <f>IF(Table1[[#This Row],[Performance Gap (%)]]&lt;0,"Tidak mencapai target", IF(Table1[[#This Row],[Performance Gap (%)]]=0,"Mencapai target", "Melebihi Target"))</f>
        <v>Tidak mencapai target</v>
      </c>
      <c r="L231">
        <f>VLOOKUP(Table1[[#This Row],[Propinsi]]&amp;"_"&amp;Table1[[#This Row],[Dati 2]]&amp;"_"&amp;Table1[[#This Row],[Tanggal]],Table2[[#All],[Kompetitor area]:[Jumlah Kompetitor]],7,0)</f>
        <v>660</v>
      </c>
      <c r="M231">
        <f>Table1[[#This Row],[Aktual]]-Table1[[#This Row],[Jumlah Kompetitor]]</f>
        <v>-12</v>
      </c>
      <c r="N231" t="str">
        <f>IF(Table1[[#This Row],[vs Kompetitor]]&gt;0,"Win", "Lose")</f>
        <v>Lose</v>
      </c>
    </row>
    <row r="232" spans="1:14" x14ac:dyDescent="0.25">
      <c r="A232">
        <v>231</v>
      </c>
      <c r="B232" t="s">
        <v>8</v>
      </c>
      <c r="C232" t="s">
        <v>151</v>
      </c>
      <c r="D232">
        <v>2</v>
      </c>
      <c r="E232">
        <v>2021</v>
      </c>
      <c r="F232" s="2">
        <f>DATE(Table1[[#This Row],[Tahun]],Table1[[#This Row],[Bulan]],1)</f>
        <v>44228</v>
      </c>
      <c r="G232">
        <v>582</v>
      </c>
      <c r="H232">
        <v>509</v>
      </c>
      <c r="I232" s="6">
        <f>(Table1[[#This Row],[Aktual]]-Table1[[#This Row],[Target]])</f>
        <v>73</v>
      </c>
      <c r="J232" s="3">
        <f>(Table1[[#This Row],[Aktual]]-Table1[[#This Row],[Target]])/Table1[[#This Row],[Target]]</f>
        <v>0.14341846758349705</v>
      </c>
      <c r="K232" t="str">
        <f>IF(Table1[[#This Row],[Performance Gap (%)]]&lt;0,"Tidak mencapai target", IF(Table1[[#This Row],[Performance Gap (%)]]=0,"Mencapai target", "Melebihi Target"))</f>
        <v>Melebihi Target</v>
      </c>
      <c r="L232">
        <f>VLOOKUP(Table1[[#This Row],[Propinsi]]&amp;"_"&amp;Table1[[#This Row],[Dati 2]]&amp;"_"&amp;Table1[[#This Row],[Tanggal]],Table2[[#All],[Kompetitor area]:[Jumlah Kompetitor]],7,0)</f>
        <v>516</v>
      </c>
      <c r="M232">
        <f>Table1[[#This Row],[Aktual]]-Table1[[#This Row],[Jumlah Kompetitor]]</f>
        <v>66</v>
      </c>
      <c r="N232" t="str">
        <f>IF(Table1[[#This Row],[vs Kompetitor]]&gt;0,"Win", "Lose")</f>
        <v>Win</v>
      </c>
    </row>
    <row r="233" spans="1:14" x14ac:dyDescent="0.25">
      <c r="A233">
        <v>232</v>
      </c>
      <c r="B233" t="s">
        <v>8</v>
      </c>
      <c r="C233" t="s">
        <v>152</v>
      </c>
      <c r="D233">
        <v>2</v>
      </c>
      <c r="E233">
        <v>2021</v>
      </c>
      <c r="F233" s="2">
        <f>DATE(Table1[[#This Row],[Tahun]],Table1[[#This Row],[Bulan]],1)</f>
        <v>44228</v>
      </c>
      <c r="G233">
        <v>213</v>
      </c>
      <c r="H233">
        <v>171</v>
      </c>
      <c r="I233" s="6">
        <f>(Table1[[#This Row],[Aktual]]-Table1[[#This Row],[Target]])</f>
        <v>42</v>
      </c>
      <c r="J233" s="3">
        <f>(Table1[[#This Row],[Aktual]]-Table1[[#This Row],[Target]])/Table1[[#This Row],[Target]]</f>
        <v>0.24561403508771928</v>
      </c>
      <c r="K233" t="str">
        <f>IF(Table1[[#This Row],[Performance Gap (%)]]&lt;0,"Tidak mencapai target", IF(Table1[[#This Row],[Performance Gap (%)]]=0,"Mencapai target", "Melebihi Target"))</f>
        <v>Melebihi Target</v>
      </c>
      <c r="L233">
        <f>VLOOKUP(Table1[[#This Row],[Propinsi]]&amp;"_"&amp;Table1[[#This Row],[Dati 2]]&amp;"_"&amp;Table1[[#This Row],[Tanggal]],Table2[[#All],[Kompetitor area]:[Jumlah Kompetitor]],7,0)</f>
        <v>169</v>
      </c>
      <c r="M233">
        <f>Table1[[#This Row],[Aktual]]-Table1[[#This Row],[Jumlah Kompetitor]]</f>
        <v>44</v>
      </c>
      <c r="N233" t="str">
        <f>IF(Table1[[#This Row],[vs Kompetitor]]&gt;0,"Win", "Lose")</f>
        <v>Win</v>
      </c>
    </row>
    <row r="234" spans="1:14" x14ac:dyDescent="0.25">
      <c r="A234">
        <v>233</v>
      </c>
      <c r="B234" t="s">
        <v>8</v>
      </c>
      <c r="C234" t="s">
        <v>153</v>
      </c>
      <c r="D234">
        <v>2</v>
      </c>
      <c r="E234">
        <v>2021</v>
      </c>
      <c r="F234" s="2">
        <f>DATE(Table1[[#This Row],[Tahun]],Table1[[#This Row],[Bulan]],1)</f>
        <v>44228</v>
      </c>
      <c r="G234">
        <v>438</v>
      </c>
      <c r="H234">
        <v>432</v>
      </c>
      <c r="I234" s="6">
        <f>(Table1[[#This Row],[Aktual]]-Table1[[#This Row],[Target]])</f>
        <v>6</v>
      </c>
      <c r="J234" s="3">
        <f>(Table1[[#This Row],[Aktual]]-Table1[[#This Row],[Target]])/Table1[[#This Row],[Target]]</f>
        <v>1.3888888888888888E-2</v>
      </c>
      <c r="K234" t="str">
        <f>IF(Table1[[#This Row],[Performance Gap (%)]]&lt;0,"Tidak mencapai target", IF(Table1[[#This Row],[Performance Gap (%)]]=0,"Mencapai target", "Melebihi Target"))</f>
        <v>Melebihi Target</v>
      </c>
      <c r="L234">
        <f>VLOOKUP(Table1[[#This Row],[Propinsi]]&amp;"_"&amp;Table1[[#This Row],[Dati 2]]&amp;"_"&amp;Table1[[#This Row],[Tanggal]],Table2[[#All],[Kompetitor area]:[Jumlah Kompetitor]],7,0)</f>
        <v>423</v>
      </c>
      <c r="M234">
        <f>Table1[[#This Row],[Aktual]]-Table1[[#This Row],[Jumlah Kompetitor]]</f>
        <v>15</v>
      </c>
      <c r="N234" t="str">
        <f>IF(Table1[[#This Row],[vs Kompetitor]]&gt;0,"Win", "Lose")</f>
        <v>Win</v>
      </c>
    </row>
    <row r="235" spans="1:14" x14ac:dyDescent="0.25">
      <c r="A235">
        <v>234</v>
      </c>
      <c r="B235" t="s">
        <v>8</v>
      </c>
      <c r="C235" t="s">
        <v>154</v>
      </c>
      <c r="D235">
        <v>2</v>
      </c>
      <c r="E235">
        <v>2021</v>
      </c>
      <c r="F235" s="2">
        <f>DATE(Table1[[#This Row],[Tahun]],Table1[[#This Row],[Bulan]],1)</f>
        <v>44228</v>
      </c>
      <c r="G235">
        <v>247</v>
      </c>
      <c r="H235">
        <v>249</v>
      </c>
      <c r="I235" s="6">
        <f>(Table1[[#This Row],[Aktual]]-Table1[[#This Row],[Target]])</f>
        <v>-2</v>
      </c>
      <c r="J235" s="3">
        <f>(Table1[[#This Row],[Aktual]]-Table1[[#This Row],[Target]])/Table1[[#This Row],[Target]]</f>
        <v>-8.0321285140562242E-3</v>
      </c>
      <c r="K235" t="str">
        <f>IF(Table1[[#This Row],[Performance Gap (%)]]&lt;0,"Tidak mencapai target", IF(Table1[[#This Row],[Performance Gap (%)]]=0,"Mencapai target", "Melebihi Target"))</f>
        <v>Tidak mencapai target</v>
      </c>
      <c r="L235">
        <f>VLOOKUP(Table1[[#This Row],[Propinsi]]&amp;"_"&amp;Table1[[#This Row],[Dati 2]]&amp;"_"&amp;Table1[[#This Row],[Tanggal]],Table2[[#All],[Kompetitor area]:[Jumlah Kompetitor]],7,0)</f>
        <v>243</v>
      </c>
      <c r="M235">
        <f>Table1[[#This Row],[Aktual]]-Table1[[#This Row],[Jumlah Kompetitor]]</f>
        <v>4</v>
      </c>
      <c r="N235" t="str">
        <f>IF(Table1[[#This Row],[vs Kompetitor]]&gt;0,"Win", "Lose")</f>
        <v>Win</v>
      </c>
    </row>
    <row r="236" spans="1:14" x14ac:dyDescent="0.25">
      <c r="A236">
        <v>235</v>
      </c>
      <c r="B236" t="s">
        <v>8</v>
      </c>
      <c r="C236" t="s">
        <v>155</v>
      </c>
      <c r="D236">
        <v>2</v>
      </c>
      <c r="E236">
        <v>2021</v>
      </c>
      <c r="F236" s="2">
        <f>DATE(Table1[[#This Row],[Tahun]],Table1[[#This Row],[Bulan]],1)</f>
        <v>44228</v>
      </c>
      <c r="G236">
        <v>386</v>
      </c>
      <c r="H236">
        <v>334</v>
      </c>
      <c r="I236" s="6">
        <f>(Table1[[#This Row],[Aktual]]-Table1[[#This Row],[Target]])</f>
        <v>52</v>
      </c>
      <c r="J236" s="3">
        <f>(Table1[[#This Row],[Aktual]]-Table1[[#This Row],[Target]])/Table1[[#This Row],[Target]]</f>
        <v>0.15568862275449102</v>
      </c>
      <c r="K236" t="str">
        <f>IF(Table1[[#This Row],[Performance Gap (%)]]&lt;0,"Tidak mencapai target", IF(Table1[[#This Row],[Performance Gap (%)]]=0,"Mencapai target", "Melebihi Target"))</f>
        <v>Melebihi Target</v>
      </c>
      <c r="L236">
        <f>VLOOKUP(Table1[[#This Row],[Propinsi]]&amp;"_"&amp;Table1[[#This Row],[Dati 2]]&amp;"_"&amp;Table1[[#This Row],[Tanggal]],Table2[[#All],[Kompetitor area]:[Jumlah Kompetitor]],7,0)</f>
        <v>325</v>
      </c>
      <c r="M236">
        <f>Table1[[#This Row],[Aktual]]-Table1[[#This Row],[Jumlah Kompetitor]]</f>
        <v>61</v>
      </c>
      <c r="N236" t="str">
        <f>IF(Table1[[#This Row],[vs Kompetitor]]&gt;0,"Win", "Lose")</f>
        <v>Win</v>
      </c>
    </row>
    <row r="237" spans="1:14" x14ac:dyDescent="0.25">
      <c r="A237">
        <v>236</v>
      </c>
      <c r="B237" t="s">
        <v>8</v>
      </c>
      <c r="C237" t="s">
        <v>156</v>
      </c>
      <c r="D237">
        <v>2</v>
      </c>
      <c r="E237">
        <v>2021</v>
      </c>
      <c r="F237" s="2">
        <f>DATE(Table1[[#This Row],[Tahun]],Table1[[#This Row],[Bulan]],1)</f>
        <v>44228</v>
      </c>
      <c r="G237">
        <v>149</v>
      </c>
      <c r="H237">
        <v>139</v>
      </c>
      <c r="I237" s="6">
        <f>(Table1[[#This Row],[Aktual]]-Table1[[#This Row],[Target]])</f>
        <v>10</v>
      </c>
      <c r="J237" s="3">
        <f>(Table1[[#This Row],[Aktual]]-Table1[[#This Row],[Target]])/Table1[[#This Row],[Target]]</f>
        <v>7.1942446043165464E-2</v>
      </c>
      <c r="K237" t="str">
        <f>IF(Table1[[#This Row],[Performance Gap (%)]]&lt;0,"Tidak mencapai target", IF(Table1[[#This Row],[Performance Gap (%)]]=0,"Mencapai target", "Melebihi Target"))</f>
        <v>Melebihi Target</v>
      </c>
      <c r="L237">
        <f>VLOOKUP(Table1[[#This Row],[Propinsi]]&amp;"_"&amp;Table1[[#This Row],[Dati 2]]&amp;"_"&amp;Table1[[#This Row],[Tanggal]],Table2[[#All],[Kompetitor area]:[Jumlah Kompetitor]],7,0)</f>
        <v>136</v>
      </c>
      <c r="M237">
        <f>Table1[[#This Row],[Aktual]]-Table1[[#This Row],[Jumlah Kompetitor]]</f>
        <v>13</v>
      </c>
      <c r="N237" t="str">
        <f>IF(Table1[[#This Row],[vs Kompetitor]]&gt;0,"Win", "Lose")</f>
        <v>Win</v>
      </c>
    </row>
    <row r="238" spans="1:14" x14ac:dyDescent="0.25">
      <c r="A238">
        <v>237</v>
      </c>
      <c r="B238" t="s">
        <v>8</v>
      </c>
      <c r="C238" t="s">
        <v>157</v>
      </c>
      <c r="D238">
        <v>2</v>
      </c>
      <c r="E238">
        <v>2021</v>
      </c>
      <c r="F238" s="2">
        <f>DATE(Table1[[#This Row],[Tahun]],Table1[[#This Row],[Bulan]],1)</f>
        <v>44228</v>
      </c>
      <c r="G238">
        <v>277</v>
      </c>
      <c r="H238">
        <v>234</v>
      </c>
      <c r="I238" s="6">
        <f>(Table1[[#This Row],[Aktual]]-Table1[[#This Row],[Target]])</f>
        <v>43</v>
      </c>
      <c r="J238" s="3">
        <f>(Table1[[#This Row],[Aktual]]-Table1[[#This Row],[Target]])/Table1[[#This Row],[Target]]</f>
        <v>0.18376068376068377</v>
      </c>
      <c r="K238" t="str">
        <f>IF(Table1[[#This Row],[Performance Gap (%)]]&lt;0,"Tidak mencapai target", IF(Table1[[#This Row],[Performance Gap (%)]]=0,"Mencapai target", "Melebihi Target"))</f>
        <v>Melebihi Target</v>
      </c>
      <c r="L238">
        <f>VLOOKUP(Table1[[#This Row],[Propinsi]]&amp;"_"&amp;Table1[[#This Row],[Dati 2]]&amp;"_"&amp;Table1[[#This Row],[Tanggal]],Table2[[#All],[Kompetitor area]:[Jumlah Kompetitor]],7,0)</f>
        <v>214</v>
      </c>
      <c r="M238">
        <f>Table1[[#This Row],[Aktual]]-Table1[[#This Row],[Jumlah Kompetitor]]</f>
        <v>63</v>
      </c>
      <c r="N238" t="str">
        <f>IF(Table1[[#This Row],[vs Kompetitor]]&gt;0,"Win", "Lose")</f>
        <v>Win</v>
      </c>
    </row>
    <row r="239" spans="1:14" x14ac:dyDescent="0.25">
      <c r="A239">
        <v>238</v>
      </c>
      <c r="B239" t="s">
        <v>8</v>
      </c>
      <c r="C239" t="s">
        <v>158</v>
      </c>
      <c r="D239">
        <v>2</v>
      </c>
      <c r="E239">
        <v>2021</v>
      </c>
      <c r="F239" s="2">
        <f>DATE(Table1[[#This Row],[Tahun]],Table1[[#This Row],[Bulan]],1)</f>
        <v>44228</v>
      </c>
      <c r="G239">
        <v>184</v>
      </c>
      <c r="H239">
        <v>183</v>
      </c>
      <c r="I239" s="6">
        <f>(Table1[[#This Row],[Aktual]]-Table1[[#This Row],[Target]])</f>
        <v>1</v>
      </c>
      <c r="J239" s="3">
        <f>(Table1[[#This Row],[Aktual]]-Table1[[#This Row],[Target]])/Table1[[#This Row],[Target]]</f>
        <v>5.4644808743169399E-3</v>
      </c>
      <c r="K239" t="str">
        <f>IF(Table1[[#This Row],[Performance Gap (%)]]&lt;0,"Tidak mencapai target", IF(Table1[[#This Row],[Performance Gap (%)]]=0,"Mencapai target", "Melebihi Target"))</f>
        <v>Melebihi Target</v>
      </c>
      <c r="L239">
        <f>VLOOKUP(Table1[[#This Row],[Propinsi]]&amp;"_"&amp;Table1[[#This Row],[Dati 2]]&amp;"_"&amp;Table1[[#This Row],[Tanggal]],Table2[[#All],[Kompetitor area]:[Jumlah Kompetitor]],7,0)</f>
        <v>186</v>
      </c>
      <c r="M239">
        <f>Table1[[#This Row],[Aktual]]-Table1[[#This Row],[Jumlah Kompetitor]]</f>
        <v>-2</v>
      </c>
      <c r="N239" t="str">
        <f>IF(Table1[[#This Row],[vs Kompetitor]]&gt;0,"Win", "Lose")</f>
        <v>Lose</v>
      </c>
    </row>
    <row r="240" spans="1:14" x14ac:dyDescent="0.25">
      <c r="A240">
        <v>239</v>
      </c>
      <c r="B240" t="s">
        <v>8</v>
      </c>
      <c r="C240" t="s">
        <v>159</v>
      </c>
      <c r="D240">
        <v>2</v>
      </c>
      <c r="E240">
        <v>2021</v>
      </c>
      <c r="F240" s="2">
        <f>DATE(Table1[[#This Row],[Tahun]],Table1[[#This Row],[Bulan]],1)</f>
        <v>44228</v>
      </c>
      <c r="G240">
        <v>177</v>
      </c>
      <c r="H240">
        <v>163</v>
      </c>
      <c r="I240" s="6">
        <f>(Table1[[#This Row],[Aktual]]-Table1[[#This Row],[Target]])</f>
        <v>14</v>
      </c>
      <c r="J240" s="3">
        <f>(Table1[[#This Row],[Aktual]]-Table1[[#This Row],[Target]])/Table1[[#This Row],[Target]]</f>
        <v>8.5889570552147243E-2</v>
      </c>
      <c r="K240" t="str">
        <f>IF(Table1[[#This Row],[Performance Gap (%)]]&lt;0,"Tidak mencapai target", IF(Table1[[#This Row],[Performance Gap (%)]]=0,"Mencapai target", "Melebihi Target"))</f>
        <v>Melebihi Target</v>
      </c>
      <c r="L240">
        <f>VLOOKUP(Table1[[#This Row],[Propinsi]]&amp;"_"&amp;Table1[[#This Row],[Dati 2]]&amp;"_"&amp;Table1[[#This Row],[Tanggal]],Table2[[#All],[Kompetitor area]:[Jumlah Kompetitor]],7,0)</f>
        <v>163</v>
      </c>
      <c r="M240">
        <f>Table1[[#This Row],[Aktual]]-Table1[[#This Row],[Jumlah Kompetitor]]</f>
        <v>14</v>
      </c>
      <c r="N240" t="str">
        <f>IF(Table1[[#This Row],[vs Kompetitor]]&gt;0,"Win", "Lose")</f>
        <v>Win</v>
      </c>
    </row>
    <row r="241" spans="1:14" x14ac:dyDescent="0.25">
      <c r="A241">
        <v>240</v>
      </c>
      <c r="B241" t="s">
        <v>8</v>
      </c>
      <c r="C241" t="s">
        <v>160</v>
      </c>
      <c r="D241">
        <v>2</v>
      </c>
      <c r="E241">
        <v>2021</v>
      </c>
      <c r="F241" s="2">
        <f>DATE(Table1[[#This Row],[Tahun]],Table1[[#This Row],[Bulan]],1)</f>
        <v>44228</v>
      </c>
      <c r="G241">
        <v>124</v>
      </c>
      <c r="H241">
        <v>101</v>
      </c>
      <c r="I241" s="6">
        <f>(Table1[[#This Row],[Aktual]]-Table1[[#This Row],[Target]])</f>
        <v>23</v>
      </c>
      <c r="J241" s="3">
        <f>(Table1[[#This Row],[Aktual]]-Table1[[#This Row],[Target]])/Table1[[#This Row],[Target]]</f>
        <v>0.22772277227722773</v>
      </c>
      <c r="K241" t="str">
        <f>IF(Table1[[#This Row],[Performance Gap (%)]]&lt;0,"Tidak mencapai target", IF(Table1[[#This Row],[Performance Gap (%)]]=0,"Mencapai target", "Melebihi Target"))</f>
        <v>Melebihi Target</v>
      </c>
      <c r="L241">
        <f>VLOOKUP(Table1[[#This Row],[Propinsi]]&amp;"_"&amp;Table1[[#This Row],[Dati 2]]&amp;"_"&amp;Table1[[#This Row],[Tanggal]],Table2[[#All],[Kompetitor area]:[Jumlah Kompetitor]],7,0)</f>
        <v>99</v>
      </c>
      <c r="M241">
        <f>Table1[[#This Row],[Aktual]]-Table1[[#This Row],[Jumlah Kompetitor]]</f>
        <v>25</v>
      </c>
      <c r="N241" t="str">
        <f>IF(Table1[[#This Row],[vs Kompetitor]]&gt;0,"Win", "Lose")</f>
        <v>Win</v>
      </c>
    </row>
    <row r="242" spans="1:14" x14ac:dyDescent="0.25">
      <c r="A242">
        <v>241</v>
      </c>
      <c r="B242" t="s">
        <v>8</v>
      </c>
      <c r="C242" t="s">
        <v>161</v>
      </c>
      <c r="D242">
        <v>2</v>
      </c>
      <c r="E242">
        <v>2021</v>
      </c>
      <c r="F242" s="2">
        <f>DATE(Table1[[#This Row],[Tahun]],Table1[[#This Row],[Bulan]],1)</f>
        <v>44228</v>
      </c>
      <c r="G242">
        <v>201</v>
      </c>
      <c r="H242">
        <v>168</v>
      </c>
      <c r="I242" s="6">
        <f>(Table1[[#This Row],[Aktual]]-Table1[[#This Row],[Target]])</f>
        <v>33</v>
      </c>
      <c r="J242" s="3">
        <f>(Table1[[#This Row],[Aktual]]-Table1[[#This Row],[Target]])/Table1[[#This Row],[Target]]</f>
        <v>0.19642857142857142</v>
      </c>
      <c r="K242" t="str">
        <f>IF(Table1[[#This Row],[Performance Gap (%)]]&lt;0,"Tidak mencapai target", IF(Table1[[#This Row],[Performance Gap (%)]]=0,"Mencapai target", "Melebihi Target"))</f>
        <v>Melebihi Target</v>
      </c>
      <c r="L242">
        <f>VLOOKUP(Table1[[#This Row],[Propinsi]]&amp;"_"&amp;Table1[[#This Row],[Dati 2]]&amp;"_"&amp;Table1[[#This Row],[Tanggal]],Table2[[#All],[Kompetitor area]:[Jumlah Kompetitor]],7,0)</f>
        <v>172</v>
      </c>
      <c r="M242">
        <f>Table1[[#This Row],[Aktual]]-Table1[[#This Row],[Jumlah Kompetitor]]</f>
        <v>29</v>
      </c>
      <c r="N242" t="str">
        <f>IF(Table1[[#This Row],[vs Kompetitor]]&gt;0,"Win", "Lose")</f>
        <v>Win</v>
      </c>
    </row>
    <row r="243" spans="1:14" x14ac:dyDescent="0.25">
      <c r="A243">
        <v>242</v>
      </c>
      <c r="B243" t="s">
        <v>8</v>
      </c>
      <c r="C243" t="s">
        <v>162</v>
      </c>
      <c r="D243">
        <v>2</v>
      </c>
      <c r="E243">
        <v>2021</v>
      </c>
      <c r="F243" s="2">
        <f>DATE(Table1[[#This Row],[Tahun]],Table1[[#This Row],[Bulan]],1)</f>
        <v>44228</v>
      </c>
      <c r="G243">
        <v>116</v>
      </c>
      <c r="H243">
        <v>117</v>
      </c>
      <c r="I243" s="6">
        <f>(Table1[[#This Row],[Aktual]]-Table1[[#This Row],[Target]])</f>
        <v>-1</v>
      </c>
      <c r="J243" s="3">
        <f>(Table1[[#This Row],[Aktual]]-Table1[[#This Row],[Target]])/Table1[[#This Row],[Target]]</f>
        <v>-8.5470085470085479E-3</v>
      </c>
      <c r="K243" t="str">
        <f>IF(Table1[[#This Row],[Performance Gap (%)]]&lt;0,"Tidak mencapai target", IF(Table1[[#This Row],[Performance Gap (%)]]=0,"Mencapai target", "Melebihi Target"))</f>
        <v>Tidak mencapai target</v>
      </c>
      <c r="L243">
        <f>VLOOKUP(Table1[[#This Row],[Propinsi]]&amp;"_"&amp;Table1[[#This Row],[Dati 2]]&amp;"_"&amp;Table1[[#This Row],[Tanggal]],Table2[[#All],[Kompetitor area]:[Jumlah Kompetitor]],7,0)</f>
        <v>112</v>
      </c>
      <c r="M243">
        <f>Table1[[#This Row],[Aktual]]-Table1[[#This Row],[Jumlah Kompetitor]]</f>
        <v>4</v>
      </c>
      <c r="N243" t="str">
        <f>IF(Table1[[#This Row],[vs Kompetitor]]&gt;0,"Win", "Lose")</f>
        <v>Win</v>
      </c>
    </row>
    <row r="244" spans="1:14" x14ac:dyDescent="0.25">
      <c r="A244">
        <v>243</v>
      </c>
      <c r="B244" t="s">
        <v>8</v>
      </c>
      <c r="C244" t="s">
        <v>163</v>
      </c>
      <c r="D244">
        <v>2</v>
      </c>
      <c r="E244">
        <v>2021</v>
      </c>
      <c r="F244" s="2">
        <f>DATE(Table1[[#This Row],[Tahun]],Table1[[#This Row],[Bulan]],1)</f>
        <v>44228</v>
      </c>
      <c r="G244">
        <v>243</v>
      </c>
      <c r="H244">
        <v>257</v>
      </c>
      <c r="I244" s="6">
        <f>(Table1[[#This Row],[Aktual]]-Table1[[#This Row],[Target]])</f>
        <v>-14</v>
      </c>
      <c r="J244" s="3">
        <f>(Table1[[#This Row],[Aktual]]-Table1[[#This Row],[Target]])/Table1[[#This Row],[Target]]</f>
        <v>-5.4474708171206226E-2</v>
      </c>
      <c r="K244" t="str">
        <f>IF(Table1[[#This Row],[Performance Gap (%)]]&lt;0,"Tidak mencapai target", IF(Table1[[#This Row],[Performance Gap (%)]]=0,"Mencapai target", "Melebihi Target"))</f>
        <v>Tidak mencapai target</v>
      </c>
      <c r="L244">
        <f>VLOOKUP(Table1[[#This Row],[Propinsi]]&amp;"_"&amp;Table1[[#This Row],[Dati 2]]&amp;"_"&amp;Table1[[#This Row],[Tanggal]],Table2[[#All],[Kompetitor area]:[Jumlah Kompetitor]],7,0)</f>
        <v>260</v>
      </c>
      <c r="M244">
        <f>Table1[[#This Row],[Aktual]]-Table1[[#This Row],[Jumlah Kompetitor]]</f>
        <v>-17</v>
      </c>
      <c r="N244" t="str">
        <f>IF(Table1[[#This Row],[vs Kompetitor]]&gt;0,"Win", "Lose")</f>
        <v>Lose</v>
      </c>
    </row>
    <row r="245" spans="1:14" x14ac:dyDescent="0.25">
      <c r="A245">
        <v>244</v>
      </c>
      <c r="B245" t="s">
        <v>8</v>
      </c>
      <c r="C245" t="s">
        <v>164</v>
      </c>
      <c r="D245">
        <v>2</v>
      </c>
      <c r="E245">
        <v>2021</v>
      </c>
      <c r="F245" s="2">
        <f>DATE(Table1[[#This Row],[Tahun]],Table1[[#This Row],[Bulan]],1)</f>
        <v>44228</v>
      </c>
      <c r="G245">
        <v>300</v>
      </c>
      <c r="H245">
        <v>273</v>
      </c>
      <c r="I245" s="6">
        <f>(Table1[[#This Row],[Aktual]]-Table1[[#This Row],[Target]])</f>
        <v>27</v>
      </c>
      <c r="J245" s="3">
        <f>(Table1[[#This Row],[Aktual]]-Table1[[#This Row],[Target]])/Table1[[#This Row],[Target]]</f>
        <v>9.8901098901098897E-2</v>
      </c>
      <c r="K245" t="str">
        <f>IF(Table1[[#This Row],[Performance Gap (%)]]&lt;0,"Tidak mencapai target", IF(Table1[[#This Row],[Performance Gap (%)]]=0,"Mencapai target", "Melebihi Target"))</f>
        <v>Melebihi Target</v>
      </c>
      <c r="L245">
        <f>VLOOKUP(Table1[[#This Row],[Propinsi]]&amp;"_"&amp;Table1[[#This Row],[Dati 2]]&amp;"_"&amp;Table1[[#This Row],[Tanggal]],Table2[[#All],[Kompetitor area]:[Jumlah Kompetitor]],7,0)</f>
        <v>256</v>
      </c>
      <c r="M245">
        <f>Table1[[#This Row],[Aktual]]-Table1[[#This Row],[Jumlah Kompetitor]]</f>
        <v>44</v>
      </c>
      <c r="N245" t="str">
        <f>IF(Table1[[#This Row],[vs Kompetitor]]&gt;0,"Win", "Lose")</f>
        <v>Win</v>
      </c>
    </row>
    <row r="246" spans="1:14" x14ac:dyDescent="0.25">
      <c r="A246">
        <v>245</v>
      </c>
      <c r="B246" t="s">
        <v>6</v>
      </c>
      <c r="C246" t="s">
        <v>43</v>
      </c>
      <c r="D246">
        <v>3</v>
      </c>
      <c r="E246">
        <v>2021</v>
      </c>
      <c r="F246" s="2">
        <f>DATE(Table1[[#This Row],[Tahun]],Table1[[#This Row],[Bulan]],1)</f>
        <v>44256</v>
      </c>
      <c r="G246">
        <v>1303</v>
      </c>
      <c r="H246">
        <v>1242</v>
      </c>
      <c r="I246" s="6">
        <f>(Table1[[#This Row],[Aktual]]-Table1[[#This Row],[Target]])</f>
        <v>61</v>
      </c>
      <c r="J246" s="3">
        <f>(Table1[[#This Row],[Aktual]]-Table1[[#This Row],[Target]])/Table1[[#This Row],[Target]]</f>
        <v>4.9114331723027378E-2</v>
      </c>
      <c r="K246" t="str">
        <f>IF(Table1[[#This Row],[Performance Gap (%)]]&lt;0,"Tidak mencapai target", IF(Table1[[#This Row],[Performance Gap (%)]]=0,"Mencapai target", "Melebihi Target"))</f>
        <v>Melebihi Target</v>
      </c>
      <c r="L246">
        <f>VLOOKUP(Table1[[#This Row],[Propinsi]]&amp;"_"&amp;Table1[[#This Row],[Dati 2]]&amp;"_"&amp;Table1[[#This Row],[Tanggal]],Table2[[#All],[Kompetitor area]:[Jumlah Kompetitor]],7,0)</f>
        <v>344</v>
      </c>
      <c r="M246">
        <f>Table1[[#This Row],[Aktual]]-Table1[[#This Row],[Jumlah Kompetitor]]</f>
        <v>959</v>
      </c>
      <c r="N246" t="str">
        <f>IF(Table1[[#This Row],[vs Kompetitor]]&gt;0,"Win", "Lose")</f>
        <v>Win</v>
      </c>
    </row>
    <row r="247" spans="1:14" x14ac:dyDescent="0.25">
      <c r="A247">
        <v>246</v>
      </c>
      <c r="B247" t="s">
        <v>6</v>
      </c>
      <c r="C247" t="s">
        <v>44</v>
      </c>
      <c r="D247">
        <v>3</v>
      </c>
      <c r="E247">
        <v>2021</v>
      </c>
      <c r="F247" s="2">
        <f>DATE(Table1[[#This Row],[Tahun]],Table1[[#This Row],[Bulan]],1)</f>
        <v>44256</v>
      </c>
      <c r="G247">
        <v>667</v>
      </c>
      <c r="H247">
        <v>696</v>
      </c>
      <c r="I247" s="6">
        <f>(Table1[[#This Row],[Aktual]]-Table1[[#This Row],[Target]])</f>
        <v>-29</v>
      </c>
      <c r="J247" s="3">
        <f>(Table1[[#This Row],[Aktual]]-Table1[[#This Row],[Target]])/Table1[[#This Row],[Target]]</f>
        <v>-4.1666666666666664E-2</v>
      </c>
      <c r="K247" t="str">
        <f>IF(Table1[[#This Row],[Performance Gap (%)]]&lt;0,"Tidak mencapai target", IF(Table1[[#This Row],[Performance Gap (%)]]=0,"Mencapai target", "Melebihi Target"))</f>
        <v>Tidak mencapai target</v>
      </c>
      <c r="L247">
        <f>VLOOKUP(Table1[[#This Row],[Propinsi]]&amp;"_"&amp;Table1[[#This Row],[Dati 2]]&amp;"_"&amp;Table1[[#This Row],[Tanggal]],Table2[[#All],[Kompetitor area]:[Jumlah Kompetitor]],7,0)</f>
        <v>141</v>
      </c>
      <c r="M247">
        <f>Table1[[#This Row],[Aktual]]-Table1[[#This Row],[Jumlah Kompetitor]]</f>
        <v>526</v>
      </c>
      <c r="N247" t="str">
        <f>IF(Table1[[#This Row],[vs Kompetitor]]&gt;0,"Win", "Lose")</f>
        <v>Win</v>
      </c>
    </row>
    <row r="248" spans="1:14" x14ac:dyDescent="0.25">
      <c r="A248">
        <v>247</v>
      </c>
      <c r="B248" t="s">
        <v>6</v>
      </c>
      <c r="C248" t="s">
        <v>45</v>
      </c>
      <c r="D248">
        <v>3</v>
      </c>
      <c r="E248">
        <v>2021</v>
      </c>
      <c r="F248" s="2">
        <f>DATE(Table1[[#This Row],[Tahun]],Table1[[#This Row],[Bulan]],1)</f>
        <v>44256</v>
      </c>
      <c r="G248">
        <v>847</v>
      </c>
      <c r="H248">
        <v>805</v>
      </c>
      <c r="I248" s="6">
        <f>(Table1[[#This Row],[Aktual]]-Table1[[#This Row],[Target]])</f>
        <v>42</v>
      </c>
      <c r="J248" s="3">
        <f>(Table1[[#This Row],[Aktual]]-Table1[[#This Row],[Target]])/Table1[[#This Row],[Target]]</f>
        <v>5.2173913043478258E-2</v>
      </c>
      <c r="K248" t="str">
        <f>IF(Table1[[#This Row],[Performance Gap (%)]]&lt;0,"Tidak mencapai target", IF(Table1[[#This Row],[Performance Gap (%)]]=0,"Mencapai target", "Melebihi Target"))</f>
        <v>Melebihi Target</v>
      </c>
      <c r="L248">
        <f>VLOOKUP(Table1[[#This Row],[Propinsi]]&amp;"_"&amp;Table1[[#This Row],[Dati 2]]&amp;"_"&amp;Table1[[#This Row],[Tanggal]],Table2[[#All],[Kompetitor area]:[Jumlah Kompetitor]],7,0)</f>
        <v>224</v>
      </c>
      <c r="M248">
        <f>Table1[[#This Row],[Aktual]]-Table1[[#This Row],[Jumlah Kompetitor]]</f>
        <v>623</v>
      </c>
      <c r="N248" t="str">
        <f>IF(Table1[[#This Row],[vs Kompetitor]]&gt;0,"Win", "Lose")</f>
        <v>Win</v>
      </c>
    </row>
    <row r="249" spans="1:14" x14ac:dyDescent="0.25">
      <c r="A249">
        <v>248</v>
      </c>
      <c r="B249" t="s">
        <v>6</v>
      </c>
      <c r="C249" t="s">
        <v>46</v>
      </c>
      <c r="D249">
        <v>3</v>
      </c>
      <c r="E249">
        <v>2021</v>
      </c>
      <c r="F249" s="2">
        <f>DATE(Table1[[#This Row],[Tahun]],Table1[[#This Row],[Bulan]],1)</f>
        <v>44256</v>
      </c>
      <c r="G249">
        <v>106</v>
      </c>
      <c r="H249">
        <v>108</v>
      </c>
      <c r="I249" s="6">
        <f>(Table1[[#This Row],[Aktual]]-Table1[[#This Row],[Target]])</f>
        <v>-2</v>
      </c>
      <c r="J249" s="3">
        <f>(Table1[[#This Row],[Aktual]]-Table1[[#This Row],[Target]])/Table1[[#This Row],[Target]]</f>
        <v>-1.8518518518518517E-2</v>
      </c>
      <c r="K249" t="str">
        <f>IF(Table1[[#This Row],[Performance Gap (%)]]&lt;0,"Tidak mencapai target", IF(Table1[[#This Row],[Performance Gap (%)]]=0,"Mencapai target", "Melebihi Target"))</f>
        <v>Tidak mencapai target</v>
      </c>
      <c r="L249">
        <f>VLOOKUP(Table1[[#This Row],[Propinsi]]&amp;"_"&amp;Table1[[#This Row],[Dati 2]]&amp;"_"&amp;Table1[[#This Row],[Tanggal]],Table2[[#All],[Kompetitor area]:[Jumlah Kompetitor]],7,0)</f>
        <v>141</v>
      </c>
      <c r="M249">
        <f>Table1[[#This Row],[Aktual]]-Table1[[#This Row],[Jumlah Kompetitor]]</f>
        <v>-35</v>
      </c>
      <c r="N249" t="str">
        <f>IF(Table1[[#This Row],[vs Kompetitor]]&gt;0,"Win", "Lose")</f>
        <v>Lose</v>
      </c>
    </row>
    <row r="250" spans="1:14" x14ac:dyDescent="0.25">
      <c r="A250">
        <v>249</v>
      </c>
      <c r="B250" t="s">
        <v>6</v>
      </c>
      <c r="C250" t="s">
        <v>47</v>
      </c>
      <c r="D250">
        <v>3</v>
      </c>
      <c r="E250">
        <v>2021</v>
      </c>
      <c r="F250" s="2">
        <f>DATE(Table1[[#This Row],[Tahun]],Table1[[#This Row],[Bulan]],1)</f>
        <v>44256</v>
      </c>
      <c r="G250">
        <v>1336</v>
      </c>
      <c r="H250">
        <v>1170</v>
      </c>
      <c r="I250" s="6">
        <f>(Table1[[#This Row],[Aktual]]-Table1[[#This Row],[Target]])</f>
        <v>166</v>
      </c>
      <c r="J250" s="3">
        <f>(Table1[[#This Row],[Aktual]]-Table1[[#This Row],[Target]])/Table1[[#This Row],[Target]]</f>
        <v>0.14188034188034188</v>
      </c>
      <c r="K250" t="str">
        <f>IF(Table1[[#This Row],[Performance Gap (%)]]&lt;0,"Tidak mencapai target", IF(Table1[[#This Row],[Performance Gap (%)]]=0,"Mencapai target", "Melebihi Target"))</f>
        <v>Melebihi Target</v>
      </c>
      <c r="L250">
        <f>VLOOKUP(Table1[[#This Row],[Propinsi]]&amp;"_"&amp;Table1[[#This Row],[Dati 2]]&amp;"_"&amp;Table1[[#This Row],[Tanggal]],Table2[[#All],[Kompetitor area]:[Jumlah Kompetitor]],7,0)</f>
        <v>19</v>
      </c>
      <c r="M250">
        <f>Table1[[#This Row],[Aktual]]-Table1[[#This Row],[Jumlah Kompetitor]]</f>
        <v>1317</v>
      </c>
      <c r="N250" t="str">
        <f>IF(Table1[[#This Row],[vs Kompetitor]]&gt;0,"Win", "Lose")</f>
        <v>Win</v>
      </c>
    </row>
    <row r="251" spans="1:14" x14ac:dyDescent="0.25">
      <c r="A251">
        <v>250</v>
      </c>
      <c r="B251" t="s">
        <v>6</v>
      </c>
      <c r="C251" t="s">
        <v>48</v>
      </c>
      <c r="D251">
        <v>3</v>
      </c>
      <c r="E251">
        <v>2021</v>
      </c>
      <c r="F251" s="2">
        <f>DATE(Table1[[#This Row],[Tahun]],Table1[[#This Row],[Bulan]],1)</f>
        <v>44256</v>
      </c>
      <c r="G251">
        <v>517</v>
      </c>
      <c r="H251">
        <v>593</v>
      </c>
      <c r="I251" s="6">
        <f>(Table1[[#This Row],[Aktual]]-Table1[[#This Row],[Target]])</f>
        <v>-76</v>
      </c>
      <c r="J251" s="3">
        <f>(Table1[[#This Row],[Aktual]]-Table1[[#This Row],[Target]])/Table1[[#This Row],[Target]]</f>
        <v>-0.12816188870151771</v>
      </c>
      <c r="K251" t="str">
        <f>IF(Table1[[#This Row],[Performance Gap (%)]]&lt;0,"Tidak mencapai target", IF(Table1[[#This Row],[Performance Gap (%)]]=0,"Mencapai target", "Melebihi Target"))</f>
        <v>Tidak mencapai target</v>
      </c>
      <c r="L251">
        <f>VLOOKUP(Table1[[#This Row],[Propinsi]]&amp;"_"&amp;Table1[[#This Row],[Dati 2]]&amp;"_"&amp;Table1[[#This Row],[Tanggal]],Table2[[#All],[Kompetitor area]:[Jumlah Kompetitor]],7,0)</f>
        <v>32</v>
      </c>
      <c r="M251">
        <f>Table1[[#This Row],[Aktual]]-Table1[[#This Row],[Jumlah Kompetitor]]</f>
        <v>485</v>
      </c>
      <c r="N251" t="str">
        <f>IF(Table1[[#This Row],[vs Kompetitor]]&gt;0,"Win", "Lose")</f>
        <v>Win</v>
      </c>
    </row>
    <row r="252" spans="1:14" x14ac:dyDescent="0.25">
      <c r="A252">
        <v>251</v>
      </c>
      <c r="B252" t="s">
        <v>6</v>
      </c>
      <c r="C252" t="s">
        <v>49</v>
      </c>
      <c r="D252">
        <v>3</v>
      </c>
      <c r="E252">
        <v>2021</v>
      </c>
      <c r="F252" s="2">
        <f>DATE(Table1[[#This Row],[Tahun]],Table1[[#This Row],[Bulan]],1)</f>
        <v>44256</v>
      </c>
      <c r="G252">
        <v>1052</v>
      </c>
      <c r="H252">
        <v>1064</v>
      </c>
      <c r="I252" s="6">
        <f>(Table1[[#This Row],[Aktual]]-Table1[[#This Row],[Target]])</f>
        <v>-12</v>
      </c>
      <c r="J252" s="3">
        <f>(Table1[[#This Row],[Aktual]]-Table1[[#This Row],[Target]])/Table1[[#This Row],[Target]]</f>
        <v>-1.1278195488721804E-2</v>
      </c>
      <c r="K252" t="str">
        <f>IF(Table1[[#This Row],[Performance Gap (%)]]&lt;0,"Tidak mencapai target", IF(Table1[[#This Row],[Performance Gap (%)]]=0,"Mencapai target", "Melebihi Target"))</f>
        <v>Tidak mencapai target</v>
      </c>
      <c r="L252">
        <f>VLOOKUP(Table1[[#This Row],[Propinsi]]&amp;"_"&amp;Table1[[#This Row],[Dati 2]]&amp;"_"&amp;Table1[[#This Row],[Tanggal]],Table2[[#All],[Kompetitor area]:[Jumlah Kompetitor]],7,0)</f>
        <v>128</v>
      </c>
      <c r="M252">
        <f>Table1[[#This Row],[Aktual]]-Table1[[#This Row],[Jumlah Kompetitor]]</f>
        <v>924</v>
      </c>
      <c r="N252" t="str">
        <f>IF(Table1[[#This Row],[vs Kompetitor]]&gt;0,"Win", "Lose")</f>
        <v>Win</v>
      </c>
    </row>
    <row r="253" spans="1:14" x14ac:dyDescent="0.25">
      <c r="A253">
        <v>252</v>
      </c>
      <c r="B253" t="s">
        <v>6</v>
      </c>
      <c r="C253" t="s">
        <v>50</v>
      </c>
      <c r="D253">
        <v>3</v>
      </c>
      <c r="E253">
        <v>2021</v>
      </c>
      <c r="F253" s="2">
        <f>DATE(Table1[[#This Row],[Tahun]],Table1[[#This Row],[Bulan]],1)</f>
        <v>44256</v>
      </c>
      <c r="G253">
        <v>912</v>
      </c>
      <c r="H253">
        <v>878</v>
      </c>
      <c r="I253" s="6">
        <f>(Table1[[#This Row],[Aktual]]-Table1[[#This Row],[Target]])</f>
        <v>34</v>
      </c>
      <c r="J253" s="3">
        <f>(Table1[[#This Row],[Aktual]]-Table1[[#This Row],[Target]])/Table1[[#This Row],[Target]]</f>
        <v>3.8724373576309798E-2</v>
      </c>
      <c r="K253" t="str">
        <f>IF(Table1[[#This Row],[Performance Gap (%)]]&lt;0,"Tidak mencapai target", IF(Table1[[#This Row],[Performance Gap (%)]]=0,"Mencapai target", "Melebihi Target"))</f>
        <v>Melebihi Target</v>
      </c>
      <c r="L253">
        <f>VLOOKUP(Table1[[#This Row],[Propinsi]]&amp;"_"&amp;Table1[[#This Row],[Dati 2]]&amp;"_"&amp;Table1[[#This Row],[Tanggal]],Table2[[#All],[Kompetitor area]:[Jumlah Kompetitor]],7,0)</f>
        <v>100</v>
      </c>
      <c r="M253">
        <f>Table1[[#This Row],[Aktual]]-Table1[[#This Row],[Jumlah Kompetitor]]</f>
        <v>812</v>
      </c>
      <c r="N253" t="str">
        <f>IF(Table1[[#This Row],[vs Kompetitor]]&gt;0,"Win", "Lose")</f>
        <v>Win</v>
      </c>
    </row>
    <row r="254" spans="1:14" x14ac:dyDescent="0.25">
      <c r="A254">
        <v>253</v>
      </c>
      <c r="B254" t="s">
        <v>6</v>
      </c>
      <c r="C254" t="s">
        <v>51</v>
      </c>
      <c r="D254">
        <v>3</v>
      </c>
      <c r="E254">
        <v>2021</v>
      </c>
      <c r="F254" s="2">
        <f>DATE(Table1[[#This Row],[Tahun]],Table1[[#This Row],[Bulan]],1)</f>
        <v>44256</v>
      </c>
      <c r="G254">
        <v>161</v>
      </c>
      <c r="H254">
        <v>155</v>
      </c>
      <c r="I254" s="6">
        <f>(Table1[[#This Row],[Aktual]]-Table1[[#This Row],[Target]])</f>
        <v>6</v>
      </c>
      <c r="J254" s="3">
        <f>(Table1[[#This Row],[Aktual]]-Table1[[#This Row],[Target]])/Table1[[#This Row],[Target]]</f>
        <v>3.870967741935484E-2</v>
      </c>
      <c r="K254" t="str">
        <f>IF(Table1[[#This Row],[Performance Gap (%)]]&lt;0,"Tidak mencapai target", IF(Table1[[#This Row],[Performance Gap (%)]]=0,"Mencapai target", "Melebihi Target"))</f>
        <v>Melebihi Target</v>
      </c>
      <c r="L254">
        <f>VLOOKUP(Table1[[#This Row],[Propinsi]]&amp;"_"&amp;Table1[[#This Row],[Dati 2]]&amp;"_"&amp;Table1[[#This Row],[Tanggal]],Table2[[#All],[Kompetitor area]:[Jumlah Kompetitor]],7,0)</f>
        <v>103</v>
      </c>
      <c r="M254">
        <f>Table1[[#This Row],[Aktual]]-Table1[[#This Row],[Jumlah Kompetitor]]</f>
        <v>58</v>
      </c>
      <c r="N254" t="str">
        <f>IF(Table1[[#This Row],[vs Kompetitor]]&gt;0,"Win", "Lose")</f>
        <v>Win</v>
      </c>
    </row>
    <row r="255" spans="1:14" x14ac:dyDescent="0.25">
      <c r="A255">
        <v>254</v>
      </c>
      <c r="B255" t="s">
        <v>6</v>
      </c>
      <c r="C255" t="s">
        <v>52</v>
      </c>
      <c r="D255">
        <v>3</v>
      </c>
      <c r="E255">
        <v>2021</v>
      </c>
      <c r="F255" s="2">
        <f>DATE(Table1[[#This Row],[Tahun]],Table1[[#This Row],[Bulan]],1)</f>
        <v>44256</v>
      </c>
      <c r="G255">
        <v>510</v>
      </c>
      <c r="H255">
        <v>564</v>
      </c>
      <c r="I255" s="6">
        <f>(Table1[[#This Row],[Aktual]]-Table1[[#This Row],[Target]])</f>
        <v>-54</v>
      </c>
      <c r="J255" s="3">
        <f>(Table1[[#This Row],[Aktual]]-Table1[[#This Row],[Target]])/Table1[[#This Row],[Target]]</f>
        <v>-9.5744680851063829E-2</v>
      </c>
      <c r="K255" t="str">
        <f>IF(Table1[[#This Row],[Performance Gap (%)]]&lt;0,"Tidak mencapai target", IF(Table1[[#This Row],[Performance Gap (%)]]=0,"Mencapai target", "Melebihi Target"))</f>
        <v>Tidak mencapai target</v>
      </c>
      <c r="L255">
        <f>VLOOKUP(Table1[[#This Row],[Propinsi]]&amp;"_"&amp;Table1[[#This Row],[Dati 2]]&amp;"_"&amp;Table1[[#This Row],[Tanggal]],Table2[[#All],[Kompetitor area]:[Jumlah Kompetitor]],7,0)</f>
        <v>110</v>
      </c>
      <c r="M255">
        <f>Table1[[#This Row],[Aktual]]-Table1[[#This Row],[Jumlah Kompetitor]]</f>
        <v>400</v>
      </c>
      <c r="N255" t="str">
        <f>IF(Table1[[#This Row],[vs Kompetitor]]&gt;0,"Win", "Lose")</f>
        <v>Win</v>
      </c>
    </row>
    <row r="256" spans="1:14" x14ac:dyDescent="0.25">
      <c r="A256">
        <v>255</v>
      </c>
      <c r="B256" t="s">
        <v>6</v>
      </c>
      <c r="C256" t="s">
        <v>53</v>
      </c>
      <c r="D256">
        <v>3</v>
      </c>
      <c r="E256">
        <v>2021</v>
      </c>
      <c r="F256" s="2">
        <f>DATE(Table1[[#This Row],[Tahun]],Table1[[#This Row],[Bulan]],1)</f>
        <v>44256</v>
      </c>
      <c r="G256">
        <v>530</v>
      </c>
      <c r="H256">
        <v>487</v>
      </c>
      <c r="I256" s="6">
        <f>(Table1[[#This Row],[Aktual]]-Table1[[#This Row],[Target]])</f>
        <v>43</v>
      </c>
      <c r="J256" s="3">
        <f>(Table1[[#This Row],[Aktual]]-Table1[[#This Row],[Target]])/Table1[[#This Row],[Target]]</f>
        <v>8.8295687885010271E-2</v>
      </c>
      <c r="K256" t="str">
        <f>IF(Table1[[#This Row],[Performance Gap (%)]]&lt;0,"Tidak mencapai target", IF(Table1[[#This Row],[Performance Gap (%)]]=0,"Mencapai target", "Melebihi Target"))</f>
        <v>Melebihi Target</v>
      </c>
      <c r="L256">
        <f>VLOOKUP(Table1[[#This Row],[Propinsi]]&amp;"_"&amp;Table1[[#This Row],[Dati 2]]&amp;"_"&amp;Table1[[#This Row],[Tanggal]],Table2[[#All],[Kompetitor area]:[Jumlah Kompetitor]],7,0)</f>
        <v>225</v>
      </c>
      <c r="M256">
        <f>Table1[[#This Row],[Aktual]]-Table1[[#This Row],[Jumlah Kompetitor]]</f>
        <v>305</v>
      </c>
      <c r="N256" t="str">
        <f>IF(Table1[[#This Row],[vs Kompetitor]]&gt;0,"Win", "Lose")</f>
        <v>Win</v>
      </c>
    </row>
    <row r="257" spans="1:14" x14ac:dyDescent="0.25">
      <c r="A257">
        <v>256</v>
      </c>
      <c r="B257" t="s">
        <v>6</v>
      </c>
      <c r="C257" t="s">
        <v>54</v>
      </c>
      <c r="D257">
        <v>3</v>
      </c>
      <c r="E257">
        <v>2021</v>
      </c>
      <c r="F257" s="2">
        <f>DATE(Table1[[#This Row],[Tahun]],Table1[[#This Row],[Bulan]],1)</f>
        <v>44256</v>
      </c>
      <c r="G257">
        <v>526</v>
      </c>
      <c r="H257">
        <v>513</v>
      </c>
      <c r="I257" s="6">
        <f>(Table1[[#This Row],[Aktual]]-Table1[[#This Row],[Target]])</f>
        <v>13</v>
      </c>
      <c r="J257" s="3">
        <f>(Table1[[#This Row],[Aktual]]-Table1[[#This Row],[Target]])/Table1[[#This Row],[Target]]</f>
        <v>2.5341130604288498E-2</v>
      </c>
      <c r="K257" t="str">
        <f>IF(Table1[[#This Row],[Performance Gap (%)]]&lt;0,"Tidak mencapai target", IF(Table1[[#This Row],[Performance Gap (%)]]=0,"Mencapai target", "Melebihi Target"))</f>
        <v>Melebihi Target</v>
      </c>
      <c r="L257">
        <f>VLOOKUP(Table1[[#This Row],[Propinsi]]&amp;"_"&amp;Table1[[#This Row],[Dati 2]]&amp;"_"&amp;Table1[[#This Row],[Tanggal]],Table2[[#All],[Kompetitor area]:[Jumlah Kompetitor]],7,0)</f>
        <v>262</v>
      </c>
      <c r="M257">
        <f>Table1[[#This Row],[Aktual]]-Table1[[#This Row],[Jumlah Kompetitor]]</f>
        <v>264</v>
      </c>
      <c r="N257" t="str">
        <f>IF(Table1[[#This Row],[vs Kompetitor]]&gt;0,"Win", "Lose")</f>
        <v>Win</v>
      </c>
    </row>
    <row r="258" spans="1:14" x14ac:dyDescent="0.25">
      <c r="A258">
        <v>257</v>
      </c>
      <c r="B258" t="s">
        <v>6</v>
      </c>
      <c r="C258" t="s">
        <v>55</v>
      </c>
      <c r="D258">
        <v>3</v>
      </c>
      <c r="E258">
        <v>2021</v>
      </c>
      <c r="F258" s="2">
        <f>DATE(Table1[[#This Row],[Tahun]],Table1[[#This Row],[Bulan]],1)</f>
        <v>44256</v>
      </c>
      <c r="G258">
        <v>324</v>
      </c>
      <c r="H258">
        <v>300</v>
      </c>
      <c r="I258" s="6">
        <f>(Table1[[#This Row],[Aktual]]-Table1[[#This Row],[Target]])</f>
        <v>24</v>
      </c>
      <c r="J258" s="3">
        <f>(Table1[[#This Row],[Aktual]]-Table1[[#This Row],[Target]])/Table1[[#This Row],[Target]]</f>
        <v>0.08</v>
      </c>
      <c r="K258" t="str">
        <f>IF(Table1[[#This Row],[Performance Gap (%)]]&lt;0,"Tidak mencapai target", IF(Table1[[#This Row],[Performance Gap (%)]]=0,"Mencapai target", "Melebihi Target"))</f>
        <v>Melebihi Target</v>
      </c>
      <c r="L258">
        <f>VLOOKUP(Table1[[#This Row],[Propinsi]]&amp;"_"&amp;Table1[[#This Row],[Dati 2]]&amp;"_"&amp;Table1[[#This Row],[Tanggal]],Table2[[#All],[Kompetitor area]:[Jumlah Kompetitor]],7,0)</f>
        <v>218</v>
      </c>
      <c r="M258">
        <f>Table1[[#This Row],[Aktual]]-Table1[[#This Row],[Jumlah Kompetitor]]</f>
        <v>106</v>
      </c>
      <c r="N258" t="str">
        <f>IF(Table1[[#This Row],[vs Kompetitor]]&gt;0,"Win", "Lose")</f>
        <v>Win</v>
      </c>
    </row>
    <row r="259" spans="1:14" x14ac:dyDescent="0.25">
      <c r="A259">
        <v>258</v>
      </c>
      <c r="B259" t="s">
        <v>6</v>
      </c>
      <c r="C259" t="s">
        <v>56</v>
      </c>
      <c r="D259">
        <v>3</v>
      </c>
      <c r="E259">
        <v>2021</v>
      </c>
      <c r="F259" s="2">
        <f>DATE(Table1[[#This Row],[Tahun]],Table1[[#This Row],[Bulan]],1)</f>
        <v>44256</v>
      </c>
      <c r="G259">
        <v>138</v>
      </c>
      <c r="H259">
        <v>149</v>
      </c>
      <c r="I259" s="6">
        <f>(Table1[[#This Row],[Aktual]]-Table1[[#This Row],[Target]])</f>
        <v>-11</v>
      </c>
      <c r="J259" s="3">
        <f>(Table1[[#This Row],[Aktual]]-Table1[[#This Row],[Target]])/Table1[[#This Row],[Target]]</f>
        <v>-7.3825503355704702E-2</v>
      </c>
      <c r="K259" t="str">
        <f>IF(Table1[[#This Row],[Performance Gap (%)]]&lt;0,"Tidak mencapai target", IF(Table1[[#This Row],[Performance Gap (%)]]=0,"Mencapai target", "Melebihi Target"))</f>
        <v>Tidak mencapai target</v>
      </c>
      <c r="L259">
        <f>VLOOKUP(Table1[[#This Row],[Propinsi]]&amp;"_"&amp;Table1[[#This Row],[Dati 2]]&amp;"_"&amp;Table1[[#This Row],[Tanggal]],Table2[[#All],[Kompetitor area]:[Jumlah Kompetitor]],7,0)</f>
        <v>140</v>
      </c>
      <c r="M259">
        <f>Table1[[#This Row],[Aktual]]-Table1[[#This Row],[Jumlah Kompetitor]]</f>
        <v>-2</v>
      </c>
      <c r="N259" t="str">
        <f>IF(Table1[[#This Row],[vs Kompetitor]]&gt;0,"Win", "Lose")</f>
        <v>Lose</v>
      </c>
    </row>
    <row r="260" spans="1:14" x14ac:dyDescent="0.25">
      <c r="A260">
        <v>259</v>
      </c>
      <c r="B260" t="s">
        <v>6</v>
      </c>
      <c r="C260" t="s">
        <v>57</v>
      </c>
      <c r="D260">
        <v>3</v>
      </c>
      <c r="E260">
        <v>2021</v>
      </c>
      <c r="F260" s="2">
        <f>DATE(Table1[[#This Row],[Tahun]],Table1[[#This Row],[Bulan]],1)</f>
        <v>44256</v>
      </c>
      <c r="G260">
        <v>558</v>
      </c>
      <c r="H260">
        <v>535</v>
      </c>
      <c r="I260" s="6">
        <f>(Table1[[#This Row],[Aktual]]-Table1[[#This Row],[Target]])</f>
        <v>23</v>
      </c>
      <c r="J260" s="3">
        <f>(Table1[[#This Row],[Aktual]]-Table1[[#This Row],[Target]])/Table1[[#This Row],[Target]]</f>
        <v>4.2990654205607479E-2</v>
      </c>
      <c r="K260" t="str">
        <f>IF(Table1[[#This Row],[Performance Gap (%)]]&lt;0,"Tidak mencapai target", IF(Table1[[#This Row],[Performance Gap (%)]]=0,"Mencapai target", "Melebihi Target"))</f>
        <v>Melebihi Target</v>
      </c>
      <c r="L260">
        <f>VLOOKUP(Table1[[#This Row],[Propinsi]]&amp;"_"&amp;Table1[[#This Row],[Dati 2]]&amp;"_"&amp;Table1[[#This Row],[Tanggal]],Table2[[#All],[Kompetitor area]:[Jumlah Kompetitor]],7,0)</f>
        <v>8</v>
      </c>
      <c r="M260">
        <f>Table1[[#This Row],[Aktual]]-Table1[[#This Row],[Jumlah Kompetitor]]</f>
        <v>550</v>
      </c>
      <c r="N260" t="str">
        <f>IF(Table1[[#This Row],[vs Kompetitor]]&gt;0,"Win", "Lose")</f>
        <v>Win</v>
      </c>
    </row>
    <row r="261" spans="1:14" x14ac:dyDescent="0.25">
      <c r="A261">
        <v>260</v>
      </c>
      <c r="B261" t="s">
        <v>6</v>
      </c>
      <c r="C261" t="s">
        <v>58</v>
      </c>
      <c r="D261">
        <v>3</v>
      </c>
      <c r="E261">
        <v>2021</v>
      </c>
      <c r="F261" s="2">
        <f>DATE(Table1[[#This Row],[Tahun]],Table1[[#This Row],[Bulan]],1)</f>
        <v>44256</v>
      </c>
      <c r="G261">
        <v>572</v>
      </c>
      <c r="H261">
        <v>523</v>
      </c>
      <c r="I261" s="6">
        <f>(Table1[[#This Row],[Aktual]]-Table1[[#This Row],[Target]])</f>
        <v>49</v>
      </c>
      <c r="J261" s="3">
        <f>(Table1[[#This Row],[Aktual]]-Table1[[#This Row],[Target]])/Table1[[#This Row],[Target]]</f>
        <v>9.3690248565965584E-2</v>
      </c>
      <c r="K261" t="str">
        <f>IF(Table1[[#This Row],[Performance Gap (%)]]&lt;0,"Tidak mencapai target", IF(Table1[[#This Row],[Performance Gap (%)]]=0,"Mencapai target", "Melebihi Target"))</f>
        <v>Melebihi Target</v>
      </c>
      <c r="L261">
        <f>VLOOKUP(Table1[[#This Row],[Propinsi]]&amp;"_"&amp;Table1[[#This Row],[Dati 2]]&amp;"_"&amp;Table1[[#This Row],[Tanggal]],Table2[[#All],[Kompetitor area]:[Jumlah Kompetitor]],7,0)</f>
        <v>108</v>
      </c>
      <c r="M261">
        <f>Table1[[#This Row],[Aktual]]-Table1[[#This Row],[Jumlah Kompetitor]]</f>
        <v>464</v>
      </c>
      <c r="N261" t="str">
        <f>IF(Table1[[#This Row],[vs Kompetitor]]&gt;0,"Win", "Lose")</f>
        <v>Win</v>
      </c>
    </row>
    <row r="262" spans="1:14" x14ac:dyDescent="0.25">
      <c r="A262">
        <v>261</v>
      </c>
      <c r="B262" t="s">
        <v>6</v>
      </c>
      <c r="C262" t="s">
        <v>59</v>
      </c>
      <c r="D262">
        <v>3</v>
      </c>
      <c r="E262">
        <v>2021</v>
      </c>
      <c r="F262" s="2">
        <f>DATE(Table1[[#This Row],[Tahun]],Table1[[#This Row],[Bulan]],1)</f>
        <v>44256</v>
      </c>
      <c r="G262">
        <v>195</v>
      </c>
      <c r="H262">
        <v>157</v>
      </c>
      <c r="I262" s="6">
        <f>(Table1[[#This Row],[Aktual]]-Table1[[#This Row],[Target]])</f>
        <v>38</v>
      </c>
      <c r="J262" s="3">
        <f>(Table1[[#This Row],[Aktual]]-Table1[[#This Row],[Target]])/Table1[[#This Row],[Target]]</f>
        <v>0.24203821656050956</v>
      </c>
      <c r="K262" t="str">
        <f>IF(Table1[[#This Row],[Performance Gap (%)]]&lt;0,"Tidak mencapai target", IF(Table1[[#This Row],[Performance Gap (%)]]=0,"Mencapai target", "Melebihi Target"))</f>
        <v>Melebihi Target</v>
      </c>
      <c r="L262">
        <f>VLOOKUP(Table1[[#This Row],[Propinsi]]&amp;"_"&amp;Table1[[#This Row],[Dati 2]]&amp;"_"&amp;Table1[[#This Row],[Tanggal]],Table2[[#All],[Kompetitor area]:[Jumlah Kompetitor]],7,0)</f>
        <v>131</v>
      </c>
      <c r="M262">
        <f>Table1[[#This Row],[Aktual]]-Table1[[#This Row],[Jumlah Kompetitor]]</f>
        <v>64</v>
      </c>
      <c r="N262" t="str">
        <f>IF(Table1[[#This Row],[vs Kompetitor]]&gt;0,"Win", "Lose")</f>
        <v>Win</v>
      </c>
    </row>
    <row r="263" spans="1:14" x14ac:dyDescent="0.25">
      <c r="A263">
        <v>262</v>
      </c>
      <c r="B263" t="s">
        <v>6</v>
      </c>
      <c r="C263" t="s">
        <v>60</v>
      </c>
      <c r="D263">
        <v>3</v>
      </c>
      <c r="E263">
        <v>2021</v>
      </c>
      <c r="F263" s="2">
        <f>DATE(Table1[[#This Row],[Tahun]],Table1[[#This Row],[Bulan]],1)</f>
        <v>44256</v>
      </c>
      <c r="G263">
        <v>87</v>
      </c>
      <c r="H263">
        <v>75</v>
      </c>
      <c r="I263" s="6">
        <f>(Table1[[#This Row],[Aktual]]-Table1[[#This Row],[Target]])</f>
        <v>12</v>
      </c>
      <c r="J263" s="3">
        <f>(Table1[[#This Row],[Aktual]]-Table1[[#This Row],[Target]])/Table1[[#This Row],[Target]]</f>
        <v>0.16</v>
      </c>
      <c r="K263" t="str">
        <f>IF(Table1[[#This Row],[Performance Gap (%)]]&lt;0,"Tidak mencapai target", IF(Table1[[#This Row],[Performance Gap (%)]]=0,"Mencapai target", "Melebihi Target"))</f>
        <v>Melebihi Target</v>
      </c>
      <c r="L263">
        <f>VLOOKUP(Table1[[#This Row],[Propinsi]]&amp;"_"&amp;Table1[[#This Row],[Dati 2]]&amp;"_"&amp;Table1[[#This Row],[Tanggal]],Table2[[#All],[Kompetitor area]:[Jumlah Kompetitor]],7,0)</f>
        <v>94</v>
      </c>
      <c r="M263">
        <f>Table1[[#This Row],[Aktual]]-Table1[[#This Row],[Jumlah Kompetitor]]</f>
        <v>-7</v>
      </c>
      <c r="N263" t="str">
        <f>IF(Table1[[#This Row],[vs Kompetitor]]&gt;0,"Win", "Lose")</f>
        <v>Lose</v>
      </c>
    </row>
    <row r="264" spans="1:14" x14ac:dyDescent="0.25">
      <c r="A264">
        <v>263</v>
      </c>
      <c r="B264" t="s">
        <v>6</v>
      </c>
      <c r="C264" t="s">
        <v>61</v>
      </c>
      <c r="D264">
        <v>3</v>
      </c>
      <c r="E264">
        <v>2021</v>
      </c>
      <c r="F264" s="2">
        <f>DATE(Table1[[#This Row],[Tahun]],Table1[[#This Row],[Bulan]],1)</f>
        <v>44256</v>
      </c>
      <c r="G264">
        <v>610</v>
      </c>
      <c r="H264">
        <v>575</v>
      </c>
      <c r="I264" s="6">
        <f>(Table1[[#This Row],[Aktual]]-Table1[[#This Row],[Target]])</f>
        <v>35</v>
      </c>
      <c r="J264" s="3">
        <f>(Table1[[#This Row],[Aktual]]-Table1[[#This Row],[Target]])/Table1[[#This Row],[Target]]</f>
        <v>6.0869565217391307E-2</v>
      </c>
      <c r="K264" t="str">
        <f>IF(Table1[[#This Row],[Performance Gap (%)]]&lt;0,"Tidak mencapai target", IF(Table1[[#This Row],[Performance Gap (%)]]=0,"Mencapai target", "Melebihi Target"))</f>
        <v>Melebihi Target</v>
      </c>
      <c r="L264">
        <f>VLOOKUP(Table1[[#This Row],[Propinsi]]&amp;"_"&amp;Table1[[#This Row],[Dati 2]]&amp;"_"&amp;Table1[[#This Row],[Tanggal]],Table2[[#All],[Kompetitor area]:[Jumlah Kompetitor]],7,0)</f>
        <v>159</v>
      </c>
      <c r="M264">
        <f>Table1[[#This Row],[Aktual]]-Table1[[#This Row],[Jumlah Kompetitor]]</f>
        <v>451</v>
      </c>
      <c r="N264" t="str">
        <f>IF(Table1[[#This Row],[vs Kompetitor]]&gt;0,"Win", "Lose")</f>
        <v>Win</v>
      </c>
    </row>
    <row r="265" spans="1:14" x14ac:dyDescent="0.25">
      <c r="A265">
        <v>264</v>
      </c>
      <c r="B265" t="s">
        <v>3</v>
      </c>
      <c r="C265" t="s">
        <v>62</v>
      </c>
      <c r="D265">
        <v>3</v>
      </c>
      <c r="E265">
        <v>2021</v>
      </c>
      <c r="F265" s="2">
        <f>DATE(Table1[[#This Row],[Tahun]],Table1[[#This Row],[Bulan]],1)</f>
        <v>44256</v>
      </c>
      <c r="G265">
        <v>782</v>
      </c>
      <c r="H265">
        <v>625</v>
      </c>
      <c r="I265" s="6">
        <f>(Table1[[#This Row],[Aktual]]-Table1[[#This Row],[Target]])</f>
        <v>157</v>
      </c>
      <c r="J265" s="3">
        <f>(Table1[[#This Row],[Aktual]]-Table1[[#This Row],[Target]])/Table1[[#This Row],[Target]]</f>
        <v>0.25119999999999998</v>
      </c>
      <c r="K265" t="str">
        <f>IF(Table1[[#This Row],[Performance Gap (%)]]&lt;0,"Tidak mencapai target", IF(Table1[[#This Row],[Performance Gap (%)]]=0,"Mencapai target", "Melebihi Target"))</f>
        <v>Melebihi Target</v>
      </c>
      <c r="L265">
        <f>VLOOKUP(Table1[[#This Row],[Propinsi]]&amp;"_"&amp;Table1[[#This Row],[Dati 2]]&amp;"_"&amp;Table1[[#This Row],[Tanggal]],Table2[[#All],[Kompetitor area]:[Jumlah Kompetitor]],7,0)</f>
        <v>273</v>
      </c>
      <c r="M265">
        <f>Table1[[#This Row],[Aktual]]-Table1[[#This Row],[Jumlah Kompetitor]]</f>
        <v>509</v>
      </c>
      <c r="N265" t="str">
        <f>IF(Table1[[#This Row],[vs Kompetitor]]&gt;0,"Win", "Lose")</f>
        <v>Win</v>
      </c>
    </row>
    <row r="266" spans="1:14" x14ac:dyDescent="0.25">
      <c r="A266">
        <v>265</v>
      </c>
      <c r="B266" t="s">
        <v>3</v>
      </c>
      <c r="C266" t="s">
        <v>63</v>
      </c>
      <c r="D266">
        <v>3</v>
      </c>
      <c r="E266">
        <v>2021</v>
      </c>
      <c r="F266" s="2">
        <f>DATE(Table1[[#This Row],[Tahun]],Table1[[#This Row],[Bulan]],1)</f>
        <v>44256</v>
      </c>
      <c r="G266">
        <v>1011</v>
      </c>
      <c r="H266">
        <v>995</v>
      </c>
      <c r="I266" s="6">
        <f>(Table1[[#This Row],[Aktual]]-Table1[[#This Row],[Target]])</f>
        <v>16</v>
      </c>
      <c r="J266" s="3">
        <f>(Table1[[#This Row],[Aktual]]-Table1[[#This Row],[Target]])/Table1[[#This Row],[Target]]</f>
        <v>1.6080402010050253E-2</v>
      </c>
      <c r="K266" t="str">
        <f>IF(Table1[[#This Row],[Performance Gap (%)]]&lt;0,"Tidak mencapai target", IF(Table1[[#This Row],[Performance Gap (%)]]=0,"Mencapai target", "Melebihi Target"))</f>
        <v>Melebihi Target</v>
      </c>
      <c r="L266">
        <f>VLOOKUP(Table1[[#This Row],[Propinsi]]&amp;"_"&amp;Table1[[#This Row],[Dati 2]]&amp;"_"&amp;Table1[[#This Row],[Tanggal]],Table2[[#All],[Kompetitor area]:[Jumlah Kompetitor]],7,0)</f>
        <v>295</v>
      </c>
      <c r="M266">
        <f>Table1[[#This Row],[Aktual]]-Table1[[#This Row],[Jumlah Kompetitor]]</f>
        <v>716</v>
      </c>
      <c r="N266" t="str">
        <f>IF(Table1[[#This Row],[vs Kompetitor]]&gt;0,"Win", "Lose")</f>
        <v>Win</v>
      </c>
    </row>
    <row r="267" spans="1:14" x14ac:dyDescent="0.25">
      <c r="A267">
        <v>266</v>
      </c>
      <c r="B267" t="s">
        <v>3</v>
      </c>
      <c r="C267" t="s">
        <v>64</v>
      </c>
      <c r="D267">
        <v>3</v>
      </c>
      <c r="E267">
        <v>2021</v>
      </c>
      <c r="F267" s="2">
        <f>DATE(Table1[[#This Row],[Tahun]],Table1[[#This Row],[Bulan]],1)</f>
        <v>44256</v>
      </c>
      <c r="G267">
        <v>650</v>
      </c>
      <c r="H267">
        <v>702</v>
      </c>
      <c r="I267" s="6">
        <f>(Table1[[#This Row],[Aktual]]-Table1[[#This Row],[Target]])</f>
        <v>-52</v>
      </c>
      <c r="J267" s="3">
        <f>(Table1[[#This Row],[Aktual]]-Table1[[#This Row],[Target]])/Table1[[#This Row],[Target]]</f>
        <v>-7.407407407407407E-2</v>
      </c>
      <c r="K267" t="str">
        <f>IF(Table1[[#This Row],[Performance Gap (%)]]&lt;0,"Tidak mencapai target", IF(Table1[[#This Row],[Performance Gap (%)]]=0,"Mencapai target", "Melebihi Target"))</f>
        <v>Tidak mencapai target</v>
      </c>
      <c r="L267">
        <f>VLOOKUP(Table1[[#This Row],[Propinsi]]&amp;"_"&amp;Table1[[#This Row],[Dati 2]]&amp;"_"&amp;Table1[[#This Row],[Tanggal]],Table2[[#All],[Kompetitor area]:[Jumlah Kompetitor]],7,0)</f>
        <v>129</v>
      </c>
      <c r="M267">
        <f>Table1[[#This Row],[Aktual]]-Table1[[#This Row],[Jumlah Kompetitor]]</f>
        <v>521</v>
      </c>
      <c r="N267" t="str">
        <f>IF(Table1[[#This Row],[vs Kompetitor]]&gt;0,"Win", "Lose")</f>
        <v>Win</v>
      </c>
    </row>
    <row r="268" spans="1:14" x14ac:dyDescent="0.25">
      <c r="A268">
        <v>267</v>
      </c>
      <c r="B268" t="s">
        <v>3</v>
      </c>
      <c r="C268" t="s">
        <v>65</v>
      </c>
      <c r="D268">
        <v>3</v>
      </c>
      <c r="E268">
        <v>2021</v>
      </c>
      <c r="F268" s="2">
        <f>DATE(Table1[[#This Row],[Tahun]],Table1[[#This Row],[Bulan]],1)</f>
        <v>44256</v>
      </c>
      <c r="G268">
        <v>1332</v>
      </c>
      <c r="H268">
        <v>1109</v>
      </c>
      <c r="I268" s="6">
        <f>(Table1[[#This Row],[Aktual]]-Table1[[#This Row],[Target]])</f>
        <v>223</v>
      </c>
      <c r="J268" s="3">
        <f>(Table1[[#This Row],[Aktual]]-Table1[[#This Row],[Target]])/Table1[[#This Row],[Target]]</f>
        <v>0.20108205590622183</v>
      </c>
      <c r="K268" t="str">
        <f>IF(Table1[[#This Row],[Performance Gap (%)]]&lt;0,"Tidak mencapai target", IF(Table1[[#This Row],[Performance Gap (%)]]=0,"Mencapai target", "Melebihi Target"))</f>
        <v>Melebihi Target</v>
      </c>
      <c r="L268">
        <f>VLOOKUP(Table1[[#This Row],[Propinsi]]&amp;"_"&amp;Table1[[#This Row],[Dati 2]]&amp;"_"&amp;Table1[[#This Row],[Tanggal]],Table2[[#All],[Kompetitor area]:[Jumlah Kompetitor]],7,0)</f>
        <v>179</v>
      </c>
      <c r="M268">
        <f>Table1[[#This Row],[Aktual]]-Table1[[#This Row],[Jumlah Kompetitor]]</f>
        <v>1153</v>
      </c>
      <c r="N268" t="str">
        <f>IF(Table1[[#This Row],[vs Kompetitor]]&gt;0,"Win", "Lose")</f>
        <v>Win</v>
      </c>
    </row>
    <row r="269" spans="1:14" x14ac:dyDescent="0.25">
      <c r="A269">
        <v>268</v>
      </c>
      <c r="B269" t="s">
        <v>3</v>
      </c>
      <c r="C269" t="s">
        <v>66</v>
      </c>
      <c r="D269">
        <v>3</v>
      </c>
      <c r="E269">
        <v>2021</v>
      </c>
      <c r="F269" s="2">
        <f>DATE(Table1[[#This Row],[Tahun]],Table1[[#This Row],[Bulan]],1)</f>
        <v>44256</v>
      </c>
      <c r="G269">
        <v>1243</v>
      </c>
      <c r="H269">
        <v>979</v>
      </c>
      <c r="I269" s="6">
        <f>(Table1[[#This Row],[Aktual]]-Table1[[#This Row],[Target]])</f>
        <v>264</v>
      </c>
      <c r="J269" s="3">
        <f>(Table1[[#This Row],[Aktual]]-Table1[[#This Row],[Target]])/Table1[[#This Row],[Target]]</f>
        <v>0.2696629213483146</v>
      </c>
      <c r="K269" t="str">
        <f>IF(Table1[[#This Row],[Performance Gap (%)]]&lt;0,"Tidak mencapai target", IF(Table1[[#This Row],[Performance Gap (%)]]=0,"Mencapai target", "Melebihi Target"))</f>
        <v>Melebihi Target</v>
      </c>
      <c r="L269">
        <f>VLOOKUP(Table1[[#This Row],[Propinsi]]&amp;"_"&amp;Table1[[#This Row],[Dati 2]]&amp;"_"&amp;Table1[[#This Row],[Tanggal]],Table2[[#All],[Kompetitor area]:[Jumlah Kompetitor]],7,0)</f>
        <v>84</v>
      </c>
      <c r="M269">
        <f>Table1[[#This Row],[Aktual]]-Table1[[#This Row],[Jumlah Kompetitor]]</f>
        <v>1159</v>
      </c>
      <c r="N269" t="str">
        <f>IF(Table1[[#This Row],[vs Kompetitor]]&gt;0,"Win", "Lose")</f>
        <v>Win</v>
      </c>
    </row>
    <row r="270" spans="1:14" x14ac:dyDescent="0.25">
      <c r="A270">
        <v>269</v>
      </c>
      <c r="B270" t="s">
        <v>3</v>
      </c>
      <c r="C270" t="s">
        <v>67</v>
      </c>
      <c r="D270">
        <v>3</v>
      </c>
      <c r="E270">
        <v>2021</v>
      </c>
      <c r="F270" s="2">
        <f>DATE(Table1[[#This Row],[Tahun]],Table1[[#This Row],[Bulan]],1)</f>
        <v>44256</v>
      </c>
      <c r="G270">
        <v>25</v>
      </c>
      <c r="H270">
        <v>20</v>
      </c>
      <c r="I270" s="6">
        <f>(Table1[[#This Row],[Aktual]]-Table1[[#This Row],[Target]])</f>
        <v>5</v>
      </c>
      <c r="J270" s="3">
        <f>(Table1[[#This Row],[Aktual]]-Table1[[#This Row],[Target]])/Table1[[#This Row],[Target]]</f>
        <v>0.25</v>
      </c>
      <c r="K270" t="str">
        <f>IF(Table1[[#This Row],[Performance Gap (%)]]&lt;0,"Tidak mencapai target", IF(Table1[[#This Row],[Performance Gap (%)]]=0,"Mencapai target", "Melebihi Target"))</f>
        <v>Melebihi Target</v>
      </c>
      <c r="L270">
        <f>VLOOKUP(Table1[[#This Row],[Propinsi]]&amp;"_"&amp;Table1[[#This Row],[Dati 2]]&amp;"_"&amp;Table1[[#This Row],[Tanggal]],Table2[[#All],[Kompetitor area]:[Jumlah Kompetitor]],7,0)</f>
        <v>121</v>
      </c>
      <c r="M270">
        <f>Table1[[#This Row],[Aktual]]-Table1[[#This Row],[Jumlah Kompetitor]]</f>
        <v>-96</v>
      </c>
      <c r="N270" t="str">
        <f>IF(Table1[[#This Row],[vs Kompetitor]]&gt;0,"Win", "Lose")</f>
        <v>Lose</v>
      </c>
    </row>
    <row r="271" spans="1:14" x14ac:dyDescent="0.25">
      <c r="A271">
        <v>270</v>
      </c>
      <c r="B271" t="s">
        <v>2</v>
      </c>
      <c r="C271" t="s">
        <v>68</v>
      </c>
      <c r="D271">
        <v>3</v>
      </c>
      <c r="E271">
        <v>2021</v>
      </c>
      <c r="F271" s="2">
        <f>DATE(Table1[[#This Row],[Tahun]],Table1[[#This Row],[Bulan]],1)</f>
        <v>44256</v>
      </c>
      <c r="G271">
        <v>1278</v>
      </c>
      <c r="H271">
        <v>1186</v>
      </c>
      <c r="I271" s="6">
        <f>(Table1[[#This Row],[Aktual]]-Table1[[#This Row],[Target]])</f>
        <v>92</v>
      </c>
      <c r="J271" s="3">
        <f>(Table1[[#This Row],[Aktual]]-Table1[[#This Row],[Target]])/Table1[[#This Row],[Target]]</f>
        <v>7.7571669477234401E-2</v>
      </c>
      <c r="K271" t="str">
        <f>IF(Table1[[#This Row],[Performance Gap (%)]]&lt;0,"Tidak mencapai target", IF(Table1[[#This Row],[Performance Gap (%)]]=0,"Mencapai target", "Melebihi Target"))</f>
        <v>Melebihi Target</v>
      </c>
      <c r="L271">
        <f>VLOOKUP(Table1[[#This Row],[Propinsi]]&amp;"_"&amp;Table1[[#This Row],[Dati 2]]&amp;"_"&amp;Table1[[#This Row],[Tanggal]],Table2[[#All],[Kompetitor area]:[Jumlah Kompetitor]],7,0)</f>
        <v>165</v>
      </c>
      <c r="M271">
        <f>Table1[[#This Row],[Aktual]]-Table1[[#This Row],[Jumlah Kompetitor]]</f>
        <v>1113</v>
      </c>
      <c r="N271" t="str">
        <f>IF(Table1[[#This Row],[vs Kompetitor]]&gt;0,"Win", "Lose")</f>
        <v>Win</v>
      </c>
    </row>
    <row r="272" spans="1:14" x14ac:dyDescent="0.25">
      <c r="A272">
        <v>271</v>
      </c>
      <c r="B272" t="s">
        <v>2</v>
      </c>
      <c r="C272" t="s">
        <v>69</v>
      </c>
      <c r="D272">
        <v>3</v>
      </c>
      <c r="E272">
        <v>2021</v>
      </c>
      <c r="F272" s="2">
        <f>DATE(Table1[[#This Row],[Tahun]],Table1[[#This Row],[Bulan]],1)</f>
        <v>44256</v>
      </c>
      <c r="G272">
        <v>658</v>
      </c>
      <c r="H272">
        <v>594</v>
      </c>
      <c r="I272" s="6">
        <f>(Table1[[#This Row],[Aktual]]-Table1[[#This Row],[Target]])</f>
        <v>64</v>
      </c>
      <c r="J272" s="3">
        <f>(Table1[[#This Row],[Aktual]]-Table1[[#This Row],[Target]])/Table1[[#This Row],[Target]]</f>
        <v>0.10774410774410774</v>
      </c>
      <c r="K272" t="str">
        <f>IF(Table1[[#This Row],[Performance Gap (%)]]&lt;0,"Tidak mencapai target", IF(Table1[[#This Row],[Performance Gap (%)]]=0,"Mencapai target", "Melebihi Target"))</f>
        <v>Melebihi Target</v>
      </c>
      <c r="L272">
        <f>VLOOKUP(Table1[[#This Row],[Propinsi]]&amp;"_"&amp;Table1[[#This Row],[Dati 2]]&amp;"_"&amp;Table1[[#This Row],[Tanggal]],Table2[[#All],[Kompetitor area]:[Jumlah Kompetitor]],7,0)</f>
        <v>61</v>
      </c>
      <c r="M272">
        <f>Table1[[#This Row],[Aktual]]-Table1[[#This Row],[Jumlah Kompetitor]]</f>
        <v>597</v>
      </c>
      <c r="N272" t="str">
        <f>IF(Table1[[#This Row],[vs Kompetitor]]&gt;0,"Win", "Lose")</f>
        <v>Win</v>
      </c>
    </row>
    <row r="273" spans="1:14" x14ac:dyDescent="0.25">
      <c r="A273">
        <v>272</v>
      </c>
      <c r="B273" t="s">
        <v>4</v>
      </c>
      <c r="C273" t="s">
        <v>70</v>
      </c>
      <c r="D273">
        <v>3</v>
      </c>
      <c r="E273">
        <v>2021</v>
      </c>
      <c r="F273" s="2">
        <f>DATE(Table1[[#This Row],[Tahun]],Table1[[#This Row],[Bulan]],1)</f>
        <v>44256</v>
      </c>
      <c r="G273">
        <v>845</v>
      </c>
      <c r="H273">
        <v>883</v>
      </c>
      <c r="I273" s="6">
        <f>(Table1[[#This Row],[Aktual]]-Table1[[#This Row],[Target]])</f>
        <v>-38</v>
      </c>
      <c r="J273" s="3">
        <f>(Table1[[#This Row],[Aktual]]-Table1[[#This Row],[Target]])/Table1[[#This Row],[Target]]</f>
        <v>-4.3035107587768968E-2</v>
      </c>
      <c r="K273" t="str">
        <f>IF(Table1[[#This Row],[Performance Gap (%)]]&lt;0,"Tidak mencapai target", IF(Table1[[#This Row],[Performance Gap (%)]]=0,"Mencapai target", "Melebihi Target"))</f>
        <v>Tidak mencapai target</v>
      </c>
      <c r="L273">
        <f>VLOOKUP(Table1[[#This Row],[Propinsi]]&amp;"_"&amp;Table1[[#This Row],[Dati 2]]&amp;"_"&amp;Table1[[#This Row],[Tanggal]],Table2[[#All],[Kompetitor area]:[Jumlah Kompetitor]],7,0)</f>
        <v>36</v>
      </c>
      <c r="M273">
        <f>Table1[[#This Row],[Aktual]]-Table1[[#This Row],[Jumlah Kompetitor]]</f>
        <v>809</v>
      </c>
      <c r="N273" t="str">
        <f>IF(Table1[[#This Row],[vs Kompetitor]]&gt;0,"Win", "Lose")</f>
        <v>Win</v>
      </c>
    </row>
    <row r="274" spans="1:14" x14ac:dyDescent="0.25">
      <c r="A274">
        <v>273</v>
      </c>
      <c r="B274" t="s">
        <v>4</v>
      </c>
      <c r="C274" t="s">
        <v>71</v>
      </c>
      <c r="D274">
        <v>3</v>
      </c>
      <c r="E274">
        <v>2021</v>
      </c>
      <c r="F274" s="2">
        <f>DATE(Table1[[#This Row],[Tahun]],Table1[[#This Row],[Bulan]],1)</f>
        <v>44256</v>
      </c>
      <c r="G274">
        <v>1430</v>
      </c>
      <c r="H274">
        <v>1487</v>
      </c>
      <c r="I274" s="6">
        <f>(Table1[[#This Row],[Aktual]]-Table1[[#This Row],[Target]])</f>
        <v>-57</v>
      </c>
      <c r="J274" s="3">
        <f>(Table1[[#This Row],[Aktual]]-Table1[[#This Row],[Target]])/Table1[[#This Row],[Target]]</f>
        <v>-3.833221250840619E-2</v>
      </c>
      <c r="K274" t="str">
        <f>IF(Table1[[#This Row],[Performance Gap (%)]]&lt;0,"Tidak mencapai target", IF(Table1[[#This Row],[Performance Gap (%)]]=0,"Mencapai target", "Melebihi Target"))</f>
        <v>Tidak mencapai target</v>
      </c>
      <c r="L274">
        <f>VLOOKUP(Table1[[#This Row],[Propinsi]]&amp;"_"&amp;Table1[[#This Row],[Dati 2]]&amp;"_"&amp;Table1[[#This Row],[Tanggal]],Table2[[#All],[Kompetitor area]:[Jumlah Kompetitor]],7,0)</f>
        <v>197</v>
      </c>
      <c r="M274">
        <f>Table1[[#This Row],[Aktual]]-Table1[[#This Row],[Jumlah Kompetitor]]</f>
        <v>1233</v>
      </c>
      <c r="N274" t="str">
        <f>IF(Table1[[#This Row],[vs Kompetitor]]&gt;0,"Win", "Lose")</f>
        <v>Win</v>
      </c>
    </row>
    <row r="275" spans="1:14" x14ac:dyDescent="0.25">
      <c r="A275">
        <v>274</v>
      </c>
      <c r="B275" t="s">
        <v>4</v>
      </c>
      <c r="C275" t="s">
        <v>72</v>
      </c>
      <c r="D275">
        <v>3</v>
      </c>
      <c r="E275">
        <v>2021</v>
      </c>
      <c r="F275" s="2">
        <f>DATE(Table1[[#This Row],[Tahun]],Table1[[#This Row],[Bulan]],1)</f>
        <v>44256</v>
      </c>
      <c r="G275">
        <v>1145</v>
      </c>
      <c r="H275">
        <v>1259</v>
      </c>
      <c r="I275" s="6">
        <f>(Table1[[#This Row],[Aktual]]-Table1[[#This Row],[Target]])</f>
        <v>-114</v>
      </c>
      <c r="J275" s="3">
        <f>(Table1[[#This Row],[Aktual]]-Table1[[#This Row],[Target]])/Table1[[#This Row],[Target]]</f>
        <v>-9.0548054011119941E-2</v>
      </c>
      <c r="K275" t="str">
        <f>IF(Table1[[#This Row],[Performance Gap (%)]]&lt;0,"Tidak mencapai target", IF(Table1[[#This Row],[Performance Gap (%)]]=0,"Mencapai target", "Melebihi Target"))</f>
        <v>Tidak mencapai target</v>
      </c>
      <c r="L275">
        <f>VLOOKUP(Table1[[#This Row],[Propinsi]]&amp;"_"&amp;Table1[[#This Row],[Dati 2]]&amp;"_"&amp;Table1[[#This Row],[Tanggal]],Table2[[#All],[Kompetitor area]:[Jumlah Kompetitor]],7,0)</f>
        <v>313</v>
      </c>
      <c r="M275">
        <f>Table1[[#This Row],[Aktual]]-Table1[[#This Row],[Jumlah Kompetitor]]</f>
        <v>832</v>
      </c>
      <c r="N275" t="str">
        <f>IF(Table1[[#This Row],[vs Kompetitor]]&gt;0,"Win", "Lose")</f>
        <v>Win</v>
      </c>
    </row>
    <row r="276" spans="1:14" x14ac:dyDescent="0.25">
      <c r="A276">
        <v>275</v>
      </c>
      <c r="B276" t="s">
        <v>4</v>
      </c>
      <c r="C276" t="s">
        <v>73</v>
      </c>
      <c r="D276">
        <v>3</v>
      </c>
      <c r="E276">
        <v>2021</v>
      </c>
      <c r="F276" s="2">
        <f>DATE(Table1[[#This Row],[Tahun]],Table1[[#This Row],[Bulan]],1)</f>
        <v>44256</v>
      </c>
      <c r="G276">
        <v>1680</v>
      </c>
      <c r="H276">
        <v>1521</v>
      </c>
      <c r="I276" s="6">
        <f>(Table1[[#This Row],[Aktual]]-Table1[[#This Row],[Target]])</f>
        <v>159</v>
      </c>
      <c r="J276" s="3">
        <f>(Table1[[#This Row],[Aktual]]-Table1[[#This Row],[Target]])/Table1[[#This Row],[Target]]</f>
        <v>0.10453648915187377</v>
      </c>
      <c r="K276" t="str">
        <f>IF(Table1[[#This Row],[Performance Gap (%)]]&lt;0,"Tidak mencapai target", IF(Table1[[#This Row],[Performance Gap (%)]]=0,"Mencapai target", "Melebihi Target"))</f>
        <v>Melebihi Target</v>
      </c>
      <c r="L276">
        <f>VLOOKUP(Table1[[#This Row],[Propinsi]]&amp;"_"&amp;Table1[[#This Row],[Dati 2]]&amp;"_"&amp;Table1[[#This Row],[Tanggal]],Table2[[#All],[Kompetitor area]:[Jumlah Kompetitor]],7,0)</f>
        <v>34</v>
      </c>
      <c r="M276">
        <f>Table1[[#This Row],[Aktual]]-Table1[[#This Row],[Jumlah Kompetitor]]</f>
        <v>1646</v>
      </c>
      <c r="N276" t="str">
        <f>IF(Table1[[#This Row],[vs Kompetitor]]&gt;0,"Win", "Lose")</f>
        <v>Win</v>
      </c>
    </row>
    <row r="277" spans="1:14" x14ac:dyDescent="0.25">
      <c r="A277">
        <v>276</v>
      </c>
      <c r="B277" t="s">
        <v>4</v>
      </c>
      <c r="C277" t="s">
        <v>74</v>
      </c>
      <c r="D277">
        <v>3</v>
      </c>
      <c r="E277">
        <v>2021</v>
      </c>
      <c r="F277" s="2">
        <f>DATE(Table1[[#This Row],[Tahun]],Table1[[#This Row],[Bulan]],1)</f>
        <v>44256</v>
      </c>
      <c r="G277">
        <v>1753</v>
      </c>
      <c r="H277">
        <v>1546</v>
      </c>
      <c r="I277" s="6">
        <f>(Table1[[#This Row],[Aktual]]-Table1[[#This Row],[Target]])</f>
        <v>207</v>
      </c>
      <c r="J277" s="3">
        <f>(Table1[[#This Row],[Aktual]]-Table1[[#This Row],[Target]])/Table1[[#This Row],[Target]]</f>
        <v>0.13389391979301424</v>
      </c>
      <c r="K277" t="str">
        <f>IF(Table1[[#This Row],[Performance Gap (%)]]&lt;0,"Tidak mencapai target", IF(Table1[[#This Row],[Performance Gap (%)]]=0,"Mencapai target", "Melebihi Target"))</f>
        <v>Melebihi Target</v>
      </c>
      <c r="L277">
        <f>VLOOKUP(Table1[[#This Row],[Propinsi]]&amp;"_"&amp;Table1[[#This Row],[Dati 2]]&amp;"_"&amp;Table1[[#This Row],[Tanggal]],Table2[[#All],[Kompetitor area]:[Jumlah Kompetitor]],7,0)</f>
        <v>173</v>
      </c>
      <c r="M277">
        <f>Table1[[#This Row],[Aktual]]-Table1[[#This Row],[Jumlah Kompetitor]]</f>
        <v>1580</v>
      </c>
      <c r="N277" t="str">
        <f>IF(Table1[[#This Row],[vs Kompetitor]]&gt;0,"Win", "Lose")</f>
        <v>Win</v>
      </c>
    </row>
    <row r="278" spans="1:14" x14ac:dyDescent="0.25">
      <c r="A278">
        <v>277</v>
      </c>
      <c r="B278" t="s">
        <v>4</v>
      </c>
      <c r="C278" t="s">
        <v>75</v>
      </c>
      <c r="D278">
        <v>3</v>
      </c>
      <c r="E278">
        <v>2021</v>
      </c>
      <c r="F278" s="2">
        <f>DATE(Table1[[#This Row],[Tahun]],Table1[[#This Row],[Bulan]],1)</f>
        <v>44256</v>
      </c>
      <c r="G278">
        <v>487</v>
      </c>
      <c r="H278">
        <v>438</v>
      </c>
      <c r="I278" s="6">
        <f>(Table1[[#This Row],[Aktual]]-Table1[[#This Row],[Target]])</f>
        <v>49</v>
      </c>
      <c r="J278" s="3">
        <f>(Table1[[#This Row],[Aktual]]-Table1[[#This Row],[Target]])/Table1[[#This Row],[Target]]</f>
        <v>0.11187214611872145</v>
      </c>
      <c r="K278" t="str">
        <f>IF(Table1[[#This Row],[Performance Gap (%)]]&lt;0,"Tidak mencapai target", IF(Table1[[#This Row],[Performance Gap (%)]]=0,"Mencapai target", "Melebihi Target"))</f>
        <v>Melebihi Target</v>
      </c>
      <c r="L278">
        <f>VLOOKUP(Table1[[#This Row],[Propinsi]]&amp;"_"&amp;Table1[[#This Row],[Dati 2]]&amp;"_"&amp;Table1[[#This Row],[Tanggal]],Table2[[#All],[Kompetitor area]:[Jumlah Kompetitor]],7,0)</f>
        <v>127</v>
      </c>
      <c r="M278">
        <f>Table1[[#This Row],[Aktual]]-Table1[[#This Row],[Jumlah Kompetitor]]</f>
        <v>360</v>
      </c>
      <c r="N278" t="str">
        <f>IF(Table1[[#This Row],[vs Kompetitor]]&gt;0,"Win", "Lose")</f>
        <v>Win</v>
      </c>
    </row>
    <row r="279" spans="1:14" x14ac:dyDescent="0.25">
      <c r="A279">
        <v>278</v>
      </c>
      <c r="B279" t="s">
        <v>4</v>
      </c>
      <c r="C279" t="s">
        <v>76</v>
      </c>
      <c r="D279">
        <v>3</v>
      </c>
      <c r="E279">
        <v>2021</v>
      </c>
      <c r="F279" s="2">
        <f>DATE(Table1[[#This Row],[Tahun]],Table1[[#This Row],[Bulan]],1)</f>
        <v>44256</v>
      </c>
      <c r="G279">
        <v>591</v>
      </c>
      <c r="H279">
        <v>509</v>
      </c>
      <c r="I279" s="6">
        <f>(Table1[[#This Row],[Aktual]]-Table1[[#This Row],[Target]])</f>
        <v>82</v>
      </c>
      <c r="J279" s="3">
        <f>(Table1[[#This Row],[Aktual]]-Table1[[#This Row],[Target]])/Table1[[#This Row],[Target]]</f>
        <v>0.16110019646365423</v>
      </c>
      <c r="K279" t="str">
        <f>IF(Table1[[#This Row],[Performance Gap (%)]]&lt;0,"Tidak mencapai target", IF(Table1[[#This Row],[Performance Gap (%)]]=0,"Mencapai target", "Melebihi Target"))</f>
        <v>Melebihi Target</v>
      </c>
      <c r="L279">
        <f>VLOOKUP(Table1[[#This Row],[Propinsi]]&amp;"_"&amp;Table1[[#This Row],[Dati 2]]&amp;"_"&amp;Table1[[#This Row],[Tanggal]],Table2[[#All],[Kompetitor area]:[Jumlah Kompetitor]],7,0)</f>
        <v>75</v>
      </c>
      <c r="M279">
        <f>Table1[[#This Row],[Aktual]]-Table1[[#This Row],[Jumlah Kompetitor]]</f>
        <v>516</v>
      </c>
      <c r="N279" t="str">
        <f>IF(Table1[[#This Row],[vs Kompetitor]]&gt;0,"Win", "Lose")</f>
        <v>Win</v>
      </c>
    </row>
    <row r="280" spans="1:14" x14ac:dyDescent="0.25">
      <c r="A280">
        <v>279</v>
      </c>
      <c r="B280" t="s">
        <v>4</v>
      </c>
      <c r="C280" t="s">
        <v>77</v>
      </c>
      <c r="D280">
        <v>3</v>
      </c>
      <c r="E280">
        <v>2021</v>
      </c>
      <c r="F280" s="2">
        <f>DATE(Table1[[#This Row],[Tahun]],Table1[[#This Row],[Bulan]],1)</f>
        <v>44256</v>
      </c>
      <c r="G280">
        <v>612</v>
      </c>
      <c r="H280">
        <v>673</v>
      </c>
      <c r="I280" s="6">
        <f>(Table1[[#This Row],[Aktual]]-Table1[[#This Row],[Target]])</f>
        <v>-61</v>
      </c>
      <c r="J280" s="3">
        <f>(Table1[[#This Row],[Aktual]]-Table1[[#This Row],[Target]])/Table1[[#This Row],[Target]]</f>
        <v>-9.0638930163447248E-2</v>
      </c>
      <c r="K280" t="str">
        <f>IF(Table1[[#This Row],[Performance Gap (%)]]&lt;0,"Tidak mencapai target", IF(Table1[[#This Row],[Performance Gap (%)]]=0,"Mencapai target", "Melebihi Target"))</f>
        <v>Tidak mencapai target</v>
      </c>
      <c r="L280">
        <f>VLOOKUP(Table1[[#This Row],[Propinsi]]&amp;"_"&amp;Table1[[#This Row],[Dati 2]]&amp;"_"&amp;Table1[[#This Row],[Tanggal]],Table2[[#All],[Kompetitor area]:[Jumlah Kompetitor]],7,0)</f>
        <v>139</v>
      </c>
      <c r="M280">
        <f>Table1[[#This Row],[Aktual]]-Table1[[#This Row],[Jumlah Kompetitor]]</f>
        <v>473</v>
      </c>
      <c r="N280" t="str">
        <f>IF(Table1[[#This Row],[vs Kompetitor]]&gt;0,"Win", "Lose")</f>
        <v>Win</v>
      </c>
    </row>
    <row r="281" spans="1:14" x14ac:dyDescent="0.25">
      <c r="A281">
        <v>280</v>
      </c>
      <c r="B281" t="s">
        <v>4</v>
      </c>
      <c r="C281" t="s">
        <v>78</v>
      </c>
      <c r="D281">
        <v>3</v>
      </c>
      <c r="E281">
        <v>2021</v>
      </c>
      <c r="F281" s="2">
        <f>DATE(Table1[[#This Row],[Tahun]],Table1[[#This Row],[Bulan]],1)</f>
        <v>44256</v>
      </c>
      <c r="G281">
        <v>977</v>
      </c>
      <c r="H281">
        <v>828</v>
      </c>
      <c r="I281" s="6">
        <f>(Table1[[#This Row],[Aktual]]-Table1[[#This Row],[Target]])</f>
        <v>149</v>
      </c>
      <c r="J281" s="3">
        <f>(Table1[[#This Row],[Aktual]]-Table1[[#This Row],[Target]])/Table1[[#This Row],[Target]]</f>
        <v>0.17995169082125603</v>
      </c>
      <c r="K281" t="str">
        <f>IF(Table1[[#This Row],[Performance Gap (%)]]&lt;0,"Tidak mencapai target", IF(Table1[[#This Row],[Performance Gap (%)]]=0,"Mencapai target", "Melebihi Target"))</f>
        <v>Melebihi Target</v>
      </c>
      <c r="L281">
        <f>VLOOKUP(Table1[[#This Row],[Propinsi]]&amp;"_"&amp;Table1[[#This Row],[Dati 2]]&amp;"_"&amp;Table1[[#This Row],[Tanggal]],Table2[[#All],[Kompetitor area]:[Jumlah Kompetitor]],7,0)</f>
        <v>46</v>
      </c>
      <c r="M281">
        <f>Table1[[#This Row],[Aktual]]-Table1[[#This Row],[Jumlah Kompetitor]]</f>
        <v>931</v>
      </c>
      <c r="N281" t="str">
        <f>IF(Table1[[#This Row],[vs Kompetitor]]&gt;0,"Win", "Lose")</f>
        <v>Win</v>
      </c>
    </row>
    <row r="282" spans="1:14" x14ac:dyDescent="0.25">
      <c r="A282">
        <v>281</v>
      </c>
      <c r="B282" t="s">
        <v>2</v>
      </c>
      <c r="C282" t="s">
        <v>79</v>
      </c>
      <c r="D282">
        <v>3</v>
      </c>
      <c r="E282">
        <v>2021</v>
      </c>
      <c r="F282" s="2">
        <f>DATE(Table1[[#This Row],[Tahun]],Table1[[#This Row],[Bulan]],1)</f>
        <v>44256</v>
      </c>
      <c r="G282">
        <v>433</v>
      </c>
      <c r="H282">
        <v>383</v>
      </c>
      <c r="I282" s="6">
        <f>(Table1[[#This Row],[Aktual]]-Table1[[#This Row],[Target]])</f>
        <v>50</v>
      </c>
      <c r="J282" s="3">
        <f>(Table1[[#This Row],[Aktual]]-Table1[[#This Row],[Target]])/Table1[[#This Row],[Target]]</f>
        <v>0.13054830287206268</v>
      </c>
      <c r="K282" t="str">
        <f>IF(Table1[[#This Row],[Performance Gap (%)]]&lt;0,"Tidak mencapai target", IF(Table1[[#This Row],[Performance Gap (%)]]=0,"Mencapai target", "Melebihi Target"))</f>
        <v>Melebihi Target</v>
      </c>
      <c r="L282">
        <f>VLOOKUP(Table1[[#This Row],[Propinsi]]&amp;"_"&amp;Table1[[#This Row],[Dati 2]]&amp;"_"&amp;Table1[[#This Row],[Tanggal]],Table2[[#All],[Kompetitor area]:[Jumlah Kompetitor]],7,0)</f>
        <v>19</v>
      </c>
      <c r="M282">
        <f>Table1[[#This Row],[Aktual]]-Table1[[#This Row],[Jumlah Kompetitor]]</f>
        <v>414</v>
      </c>
      <c r="N282" t="str">
        <f>IF(Table1[[#This Row],[vs Kompetitor]]&gt;0,"Win", "Lose")</f>
        <v>Win</v>
      </c>
    </row>
    <row r="283" spans="1:14" x14ac:dyDescent="0.25">
      <c r="A283">
        <v>282</v>
      </c>
      <c r="B283" t="s">
        <v>2</v>
      </c>
      <c r="C283" t="s">
        <v>80</v>
      </c>
      <c r="D283">
        <v>3</v>
      </c>
      <c r="E283">
        <v>2021</v>
      </c>
      <c r="F283" s="2">
        <f>DATE(Table1[[#This Row],[Tahun]],Table1[[#This Row],[Bulan]],1)</f>
        <v>44256</v>
      </c>
      <c r="G283">
        <v>646</v>
      </c>
      <c r="H283">
        <v>623</v>
      </c>
      <c r="I283" s="6">
        <f>(Table1[[#This Row],[Aktual]]-Table1[[#This Row],[Target]])</f>
        <v>23</v>
      </c>
      <c r="J283" s="3">
        <f>(Table1[[#This Row],[Aktual]]-Table1[[#This Row],[Target]])/Table1[[#This Row],[Target]]</f>
        <v>3.691813804173355E-2</v>
      </c>
      <c r="K283" t="str">
        <f>IF(Table1[[#This Row],[Performance Gap (%)]]&lt;0,"Tidak mencapai target", IF(Table1[[#This Row],[Performance Gap (%)]]=0,"Mencapai target", "Melebihi Target"))</f>
        <v>Melebihi Target</v>
      </c>
      <c r="L283">
        <f>VLOOKUP(Table1[[#This Row],[Propinsi]]&amp;"_"&amp;Table1[[#This Row],[Dati 2]]&amp;"_"&amp;Table1[[#This Row],[Tanggal]],Table2[[#All],[Kompetitor area]:[Jumlah Kompetitor]],7,0)</f>
        <v>65</v>
      </c>
      <c r="M283">
        <f>Table1[[#This Row],[Aktual]]-Table1[[#This Row],[Jumlah Kompetitor]]</f>
        <v>581</v>
      </c>
      <c r="N283" t="str">
        <f>IF(Table1[[#This Row],[vs Kompetitor]]&gt;0,"Win", "Lose")</f>
        <v>Win</v>
      </c>
    </row>
    <row r="284" spans="1:14" x14ac:dyDescent="0.25">
      <c r="A284">
        <v>283</v>
      </c>
      <c r="B284" t="s">
        <v>2</v>
      </c>
      <c r="C284" t="s">
        <v>81</v>
      </c>
      <c r="D284">
        <v>3</v>
      </c>
      <c r="E284">
        <v>2021</v>
      </c>
      <c r="F284" s="2">
        <f>DATE(Table1[[#This Row],[Tahun]],Table1[[#This Row],[Bulan]],1)</f>
        <v>44256</v>
      </c>
      <c r="G284">
        <v>1023</v>
      </c>
      <c r="H284">
        <v>1027</v>
      </c>
      <c r="I284" s="6">
        <f>(Table1[[#This Row],[Aktual]]-Table1[[#This Row],[Target]])</f>
        <v>-4</v>
      </c>
      <c r="J284" s="3">
        <f>(Table1[[#This Row],[Aktual]]-Table1[[#This Row],[Target]])/Table1[[#This Row],[Target]]</f>
        <v>-3.8948393378773127E-3</v>
      </c>
      <c r="K284" t="str">
        <f>IF(Table1[[#This Row],[Performance Gap (%)]]&lt;0,"Tidak mencapai target", IF(Table1[[#This Row],[Performance Gap (%)]]=0,"Mencapai target", "Melebihi Target"))</f>
        <v>Tidak mencapai target</v>
      </c>
      <c r="L284">
        <f>VLOOKUP(Table1[[#This Row],[Propinsi]]&amp;"_"&amp;Table1[[#This Row],[Dati 2]]&amp;"_"&amp;Table1[[#This Row],[Tanggal]],Table2[[#All],[Kompetitor area]:[Jumlah Kompetitor]],7,0)</f>
        <v>23</v>
      </c>
      <c r="M284">
        <f>Table1[[#This Row],[Aktual]]-Table1[[#This Row],[Jumlah Kompetitor]]</f>
        <v>1000</v>
      </c>
      <c r="N284" t="str">
        <f>IF(Table1[[#This Row],[vs Kompetitor]]&gt;0,"Win", "Lose")</f>
        <v>Win</v>
      </c>
    </row>
    <row r="285" spans="1:14" x14ac:dyDescent="0.25">
      <c r="A285">
        <v>284</v>
      </c>
      <c r="B285" t="s">
        <v>2</v>
      </c>
      <c r="C285" t="s">
        <v>82</v>
      </c>
      <c r="D285">
        <v>3</v>
      </c>
      <c r="E285">
        <v>2021</v>
      </c>
      <c r="F285" s="2">
        <f>DATE(Table1[[#This Row],[Tahun]],Table1[[#This Row],[Bulan]],1)</f>
        <v>44256</v>
      </c>
      <c r="G285">
        <v>241</v>
      </c>
      <c r="H285">
        <v>250</v>
      </c>
      <c r="I285" s="6">
        <f>(Table1[[#This Row],[Aktual]]-Table1[[#This Row],[Target]])</f>
        <v>-9</v>
      </c>
      <c r="J285" s="3">
        <f>(Table1[[#This Row],[Aktual]]-Table1[[#This Row],[Target]])/Table1[[#This Row],[Target]]</f>
        <v>-3.5999999999999997E-2</v>
      </c>
      <c r="K285" t="str">
        <f>IF(Table1[[#This Row],[Performance Gap (%)]]&lt;0,"Tidak mencapai target", IF(Table1[[#This Row],[Performance Gap (%)]]=0,"Mencapai target", "Melebihi Target"))</f>
        <v>Tidak mencapai target</v>
      </c>
      <c r="L285">
        <f>VLOOKUP(Table1[[#This Row],[Propinsi]]&amp;"_"&amp;Table1[[#This Row],[Dati 2]]&amp;"_"&amp;Table1[[#This Row],[Tanggal]],Table2[[#All],[Kompetitor area]:[Jumlah Kompetitor]],7,0)</f>
        <v>29</v>
      </c>
      <c r="M285">
        <f>Table1[[#This Row],[Aktual]]-Table1[[#This Row],[Jumlah Kompetitor]]</f>
        <v>212</v>
      </c>
      <c r="N285" t="str">
        <f>IF(Table1[[#This Row],[vs Kompetitor]]&gt;0,"Win", "Lose")</f>
        <v>Win</v>
      </c>
    </row>
    <row r="286" spans="1:14" x14ac:dyDescent="0.25">
      <c r="A286">
        <v>285</v>
      </c>
      <c r="B286" t="s">
        <v>4</v>
      </c>
      <c r="C286" t="s">
        <v>83</v>
      </c>
      <c r="D286">
        <v>3</v>
      </c>
      <c r="E286">
        <v>2021</v>
      </c>
      <c r="F286" s="2">
        <f>DATE(Table1[[#This Row],[Tahun]],Table1[[#This Row],[Bulan]],1)</f>
        <v>44256</v>
      </c>
      <c r="G286">
        <v>144</v>
      </c>
      <c r="H286">
        <v>127</v>
      </c>
      <c r="I286" s="6">
        <f>(Table1[[#This Row],[Aktual]]-Table1[[#This Row],[Target]])</f>
        <v>17</v>
      </c>
      <c r="J286" s="3">
        <f>(Table1[[#This Row],[Aktual]]-Table1[[#This Row],[Target]])/Table1[[#This Row],[Target]]</f>
        <v>0.13385826771653545</v>
      </c>
      <c r="K286" t="str">
        <f>IF(Table1[[#This Row],[Performance Gap (%)]]&lt;0,"Tidak mencapai target", IF(Table1[[#This Row],[Performance Gap (%)]]=0,"Mencapai target", "Melebihi Target"))</f>
        <v>Melebihi Target</v>
      </c>
      <c r="L286">
        <f>VLOOKUP(Table1[[#This Row],[Propinsi]]&amp;"_"&amp;Table1[[#This Row],[Dati 2]]&amp;"_"&amp;Table1[[#This Row],[Tanggal]],Table2[[#All],[Kompetitor area]:[Jumlah Kompetitor]],7,0)</f>
        <v>29</v>
      </c>
      <c r="M286">
        <f>Table1[[#This Row],[Aktual]]-Table1[[#This Row],[Jumlah Kompetitor]]</f>
        <v>115</v>
      </c>
      <c r="N286" t="str">
        <f>IF(Table1[[#This Row],[vs Kompetitor]]&gt;0,"Win", "Lose")</f>
        <v>Win</v>
      </c>
    </row>
    <row r="287" spans="1:14" x14ac:dyDescent="0.25">
      <c r="A287">
        <v>286</v>
      </c>
      <c r="B287" t="s">
        <v>4</v>
      </c>
      <c r="C287" t="s">
        <v>84</v>
      </c>
      <c r="D287">
        <v>3</v>
      </c>
      <c r="E287">
        <v>2021</v>
      </c>
      <c r="F287" s="2">
        <f>DATE(Table1[[#This Row],[Tahun]],Table1[[#This Row],[Bulan]],1)</f>
        <v>44256</v>
      </c>
      <c r="G287">
        <v>1840</v>
      </c>
      <c r="H287">
        <v>1761</v>
      </c>
      <c r="I287" s="6">
        <f>(Table1[[#This Row],[Aktual]]-Table1[[#This Row],[Target]])</f>
        <v>79</v>
      </c>
      <c r="J287" s="3">
        <f>(Table1[[#This Row],[Aktual]]-Table1[[#This Row],[Target]])/Table1[[#This Row],[Target]]</f>
        <v>4.4860874503123226E-2</v>
      </c>
      <c r="K287" t="str">
        <f>IF(Table1[[#This Row],[Performance Gap (%)]]&lt;0,"Tidak mencapai target", IF(Table1[[#This Row],[Performance Gap (%)]]=0,"Mencapai target", "Melebihi Target"))</f>
        <v>Melebihi Target</v>
      </c>
      <c r="L287">
        <f>VLOOKUP(Table1[[#This Row],[Propinsi]]&amp;"_"&amp;Table1[[#This Row],[Dati 2]]&amp;"_"&amp;Table1[[#This Row],[Tanggal]],Table2[[#All],[Kompetitor area]:[Jumlah Kompetitor]],7,0)</f>
        <v>181</v>
      </c>
      <c r="M287">
        <f>Table1[[#This Row],[Aktual]]-Table1[[#This Row],[Jumlah Kompetitor]]</f>
        <v>1659</v>
      </c>
      <c r="N287" t="str">
        <f>IF(Table1[[#This Row],[vs Kompetitor]]&gt;0,"Win", "Lose")</f>
        <v>Win</v>
      </c>
    </row>
    <row r="288" spans="1:14" x14ac:dyDescent="0.25">
      <c r="A288">
        <v>287</v>
      </c>
      <c r="B288" t="s">
        <v>4</v>
      </c>
      <c r="C288" t="s">
        <v>85</v>
      </c>
      <c r="D288">
        <v>3</v>
      </c>
      <c r="E288">
        <v>2021</v>
      </c>
      <c r="F288" s="2">
        <f>DATE(Table1[[#This Row],[Tahun]],Table1[[#This Row],[Bulan]],1)</f>
        <v>44256</v>
      </c>
      <c r="G288">
        <v>958</v>
      </c>
      <c r="H288">
        <v>882</v>
      </c>
      <c r="I288" s="6">
        <f>(Table1[[#This Row],[Aktual]]-Table1[[#This Row],[Target]])</f>
        <v>76</v>
      </c>
      <c r="J288" s="3">
        <f>(Table1[[#This Row],[Aktual]]-Table1[[#This Row],[Target]])/Table1[[#This Row],[Target]]</f>
        <v>8.6167800453514742E-2</v>
      </c>
      <c r="K288" t="str">
        <f>IF(Table1[[#This Row],[Performance Gap (%)]]&lt;0,"Tidak mencapai target", IF(Table1[[#This Row],[Performance Gap (%)]]=0,"Mencapai target", "Melebihi Target"))</f>
        <v>Melebihi Target</v>
      </c>
      <c r="L288">
        <f>VLOOKUP(Table1[[#This Row],[Propinsi]]&amp;"_"&amp;Table1[[#This Row],[Dati 2]]&amp;"_"&amp;Table1[[#This Row],[Tanggal]],Table2[[#All],[Kompetitor area]:[Jumlah Kompetitor]],7,0)</f>
        <v>114</v>
      </c>
      <c r="M288">
        <f>Table1[[#This Row],[Aktual]]-Table1[[#This Row],[Jumlah Kompetitor]]</f>
        <v>844</v>
      </c>
      <c r="N288" t="str">
        <f>IF(Table1[[#This Row],[vs Kompetitor]]&gt;0,"Win", "Lose")</f>
        <v>Win</v>
      </c>
    </row>
    <row r="289" spans="1:14" x14ac:dyDescent="0.25">
      <c r="A289">
        <v>288</v>
      </c>
      <c r="B289" t="s">
        <v>4</v>
      </c>
      <c r="C289" t="s">
        <v>86</v>
      </c>
      <c r="D289">
        <v>3</v>
      </c>
      <c r="E289">
        <v>2021</v>
      </c>
      <c r="F289" s="2">
        <f>DATE(Table1[[#This Row],[Tahun]],Table1[[#This Row],[Bulan]],1)</f>
        <v>44256</v>
      </c>
      <c r="G289">
        <v>213</v>
      </c>
      <c r="H289">
        <v>192</v>
      </c>
      <c r="I289" s="6">
        <f>(Table1[[#This Row],[Aktual]]-Table1[[#This Row],[Target]])</f>
        <v>21</v>
      </c>
      <c r="J289" s="3">
        <f>(Table1[[#This Row],[Aktual]]-Table1[[#This Row],[Target]])/Table1[[#This Row],[Target]]</f>
        <v>0.109375</v>
      </c>
      <c r="K289" t="str">
        <f>IF(Table1[[#This Row],[Performance Gap (%)]]&lt;0,"Tidak mencapai target", IF(Table1[[#This Row],[Performance Gap (%)]]=0,"Mencapai target", "Melebihi Target"))</f>
        <v>Melebihi Target</v>
      </c>
      <c r="L289">
        <f>VLOOKUP(Table1[[#This Row],[Propinsi]]&amp;"_"&amp;Table1[[#This Row],[Dati 2]]&amp;"_"&amp;Table1[[#This Row],[Tanggal]],Table2[[#All],[Kompetitor area]:[Jumlah Kompetitor]],7,0)</f>
        <v>142</v>
      </c>
      <c r="M289">
        <f>Table1[[#This Row],[Aktual]]-Table1[[#This Row],[Jumlah Kompetitor]]</f>
        <v>71</v>
      </c>
      <c r="N289" t="str">
        <f>IF(Table1[[#This Row],[vs Kompetitor]]&gt;0,"Win", "Lose")</f>
        <v>Win</v>
      </c>
    </row>
    <row r="290" spans="1:14" x14ac:dyDescent="0.25">
      <c r="A290">
        <v>289</v>
      </c>
      <c r="B290" t="s">
        <v>4</v>
      </c>
      <c r="C290" t="s">
        <v>87</v>
      </c>
      <c r="D290">
        <v>3</v>
      </c>
      <c r="E290">
        <v>2021</v>
      </c>
      <c r="F290" s="2">
        <f>DATE(Table1[[#This Row],[Tahun]],Table1[[#This Row],[Bulan]],1)</f>
        <v>44256</v>
      </c>
      <c r="G290">
        <v>1336</v>
      </c>
      <c r="H290">
        <v>1253</v>
      </c>
      <c r="I290" s="6">
        <f>(Table1[[#This Row],[Aktual]]-Table1[[#This Row],[Target]])</f>
        <v>83</v>
      </c>
      <c r="J290" s="3">
        <f>(Table1[[#This Row],[Aktual]]-Table1[[#This Row],[Target]])/Table1[[#This Row],[Target]]</f>
        <v>6.6241021548284124E-2</v>
      </c>
      <c r="K290" t="str">
        <f>IF(Table1[[#This Row],[Performance Gap (%)]]&lt;0,"Tidak mencapai target", IF(Table1[[#This Row],[Performance Gap (%)]]=0,"Mencapai target", "Melebihi Target"))</f>
        <v>Melebihi Target</v>
      </c>
      <c r="L290">
        <f>VLOOKUP(Table1[[#This Row],[Propinsi]]&amp;"_"&amp;Table1[[#This Row],[Dati 2]]&amp;"_"&amp;Table1[[#This Row],[Tanggal]],Table2[[#All],[Kompetitor area]:[Jumlah Kompetitor]],7,0)</f>
        <v>122</v>
      </c>
      <c r="M290">
        <f>Table1[[#This Row],[Aktual]]-Table1[[#This Row],[Jumlah Kompetitor]]</f>
        <v>1214</v>
      </c>
      <c r="N290" t="str">
        <f>IF(Table1[[#This Row],[vs Kompetitor]]&gt;0,"Win", "Lose")</f>
        <v>Win</v>
      </c>
    </row>
    <row r="291" spans="1:14" x14ac:dyDescent="0.25">
      <c r="A291">
        <v>290</v>
      </c>
      <c r="B291" t="s">
        <v>4</v>
      </c>
      <c r="C291" t="s">
        <v>88</v>
      </c>
      <c r="D291">
        <v>3</v>
      </c>
      <c r="E291">
        <v>2021</v>
      </c>
      <c r="F291" s="2">
        <f>DATE(Table1[[#This Row],[Tahun]],Table1[[#This Row],[Bulan]],1)</f>
        <v>44256</v>
      </c>
      <c r="G291">
        <v>907</v>
      </c>
      <c r="H291">
        <v>810</v>
      </c>
      <c r="I291" s="6">
        <f>(Table1[[#This Row],[Aktual]]-Table1[[#This Row],[Target]])</f>
        <v>97</v>
      </c>
      <c r="J291" s="3">
        <f>(Table1[[#This Row],[Aktual]]-Table1[[#This Row],[Target]])/Table1[[#This Row],[Target]]</f>
        <v>0.11975308641975309</v>
      </c>
      <c r="K291" t="str">
        <f>IF(Table1[[#This Row],[Performance Gap (%)]]&lt;0,"Tidak mencapai target", IF(Table1[[#This Row],[Performance Gap (%)]]=0,"Mencapai target", "Melebihi Target"))</f>
        <v>Melebihi Target</v>
      </c>
      <c r="L291">
        <f>VLOOKUP(Table1[[#This Row],[Propinsi]]&amp;"_"&amp;Table1[[#This Row],[Dati 2]]&amp;"_"&amp;Table1[[#This Row],[Tanggal]],Table2[[#All],[Kompetitor area]:[Jumlah Kompetitor]],7,0)</f>
        <v>78</v>
      </c>
      <c r="M291">
        <f>Table1[[#This Row],[Aktual]]-Table1[[#This Row],[Jumlah Kompetitor]]</f>
        <v>829</v>
      </c>
      <c r="N291" t="str">
        <f>IF(Table1[[#This Row],[vs Kompetitor]]&gt;0,"Win", "Lose")</f>
        <v>Win</v>
      </c>
    </row>
    <row r="292" spans="1:14" x14ac:dyDescent="0.25">
      <c r="A292">
        <v>291</v>
      </c>
      <c r="B292" t="s">
        <v>4</v>
      </c>
      <c r="C292" t="s">
        <v>89</v>
      </c>
      <c r="D292">
        <v>3</v>
      </c>
      <c r="E292">
        <v>2021</v>
      </c>
      <c r="F292" s="2">
        <f>DATE(Table1[[#This Row],[Tahun]],Table1[[#This Row],[Bulan]],1)</f>
        <v>44256</v>
      </c>
      <c r="G292">
        <v>560</v>
      </c>
      <c r="H292">
        <v>548</v>
      </c>
      <c r="I292" s="6">
        <f>(Table1[[#This Row],[Aktual]]-Table1[[#This Row],[Target]])</f>
        <v>12</v>
      </c>
      <c r="J292" s="3">
        <f>(Table1[[#This Row],[Aktual]]-Table1[[#This Row],[Target]])/Table1[[#This Row],[Target]]</f>
        <v>2.1897810218978103E-2</v>
      </c>
      <c r="K292" t="str">
        <f>IF(Table1[[#This Row],[Performance Gap (%)]]&lt;0,"Tidak mencapai target", IF(Table1[[#This Row],[Performance Gap (%)]]=0,"Mencapai target", "Melebihi Target"))</f>
        <v>Melebihi Target</v>
      </c>
      <c r="L292">
        <f>VLOOKUP(Table1[[#This Row],[Propinsi]]&amp;"_"&amp;Table1[[#This Row],[Dati 2]]&amp;"_"&amp;Table1[[#This Row],[Tanggal]],Table2[[#All],[Kompetitor area]:[Jumlah Kompetitor]],7,0)</f>
        <v>115</v>
      </c>
      <c r="M292">
        <f>Table1[[#This Row],[Aktual]]-Table1[[#This Row],[Jumlah Kompetitor]]</f>
        <v>445</v>
      </c>
      <c r="N292" t="str">
        <f>IF(Table1[[#This Row],[vs Kompetitor]]&gt;0,"Win", "Lose")</f>
        <v>Win</v>
      </c>
    </row>
    <row r="293" spans="1:14" x14ac:dyDescent="0.25">
      <c r="A293">
        <v>292</v>
      </c>
      <c r="B293" t="s">
        <v>4</v>
      </c>
      <c r="C293" t="s">
        <v>90</v>
      </c>
      <c r="D293">
        <v>3</v>
      </c>
      <c r="E293">
        <v>2021</v>
      </c>
      <c r="F293" s="2">
        <f>DATE(Table1[[#This Row],[Tahun]],Table1[[#This Row],[Bulan]],1)</f>
        <v>44256</v>
      </c>
      <c r="G293">
        <v>591</v>
      </c>
      <c r="H293">
        <v>544</v>
      </c>
      <c r="I293" s="6">
        <f>(Table1[[#This Row],[Aktual]]-Table1[[#This Row],[Target]])</f>
        <v>47</v>
      </c>
      <c r="J293" s="3">
        <f>(Table1[[#This Row],[Aktual]]-Table1[[#This Row],[Target]])/Table1[[#This Row],[Target]]</f>
        <v>8.639705882352941E-2</v>
      </c>
      <c r="K293" t="str">
        <f>IF(Table1[[#This Row],[Performance Gap (%)]]&lt;0,"Tidak mencapai target", IF(Table1[[#This Row],[Performance Gap (%)]]=0,"Mencapai target", "Melebihi Target"))</f>
        <v>Melebihi Target</v>
      </c>
      <c r="L293">
        <f>VLOOKUP(Table1[[#This Row],[Propinsi]]&amp;"_"&amp;Table1[[#This Row],[Dati 2]]&amp;"_"&amp;Table1[[#This Row],[Tanggal]],Table2[[#All],[Kompetitor area]:[Jumlah Kompetitor]],7,0)</f>
        <v>95</v>
      </c>
      <c r="M293">
        <f>Table1[[#This Row],[Aktual]]-Table1[[#This Row],[Jumlah Kompetitor]]</f>
        <v>496</v>
      </c>
      <c r="N293" t="str">
        <f>IF(Table1[[#This Row],[vs Kompetitor]]&gt;0,"Win", "Lose")</f>
        <v>Win</v>
      </c>
    </row>
    <row r="294" spans="1:14" x14ac:dyDescent="0.25">
      <c r="A294">
        <v>293</v>
      </c>
      <c r="B294" t="s">
        <v>4</v>
      </c>
      <c r="C294" t="s">
        <v>91</v>
      </c>
      <c r="D294">
        <v>3</v>
      </c>
      <c r="E294">
        <v>2021</v>
      </c>
      <c r="F294" s="2">
        <f>DATE(Table1[[#This Row],[Tahun]],Table1[[#This Row],[Bulan]],1)</f>
        <v>44256</v>
      </c>
      <c r="G294">
        <v>544</v>
      </c>
      <c r="H294">
        <v>467</v>
      </c>
      <c r="I294" s="6">
        <f>(Table1[[#This Row],[Aktual]]-Table1[[#This Row],[Target]])</f>
        <v>77</v>
      </c>
      <c r="J294" s="3">
        <f>(Table1[[#This Row],[Aktual]]-Table1[[#This Row],[Target]])/Table1[[#This Row],[Target]]</f>
        <v>0.16488222698072805</v>
      </c>
      <c r="K294" t="str">
        <f>IF(Table1[[#This Row],[Performance Gap (%)]]&lt;0,"Tidak mencapai target", IF(Table1[[#This Row],[Performance Gap (%)]]=0,"Mencapai target", "Melebihi Target"))</f>
        <v>Melebihi Target</v>
      </c>
      <c r="L294">
        <f>VLOOKUP(Table1[[#This Row],[Propinsi]]&amp;"_"&amp;Table1[[#This Row],[Dati 2]]&amp;"_"&amp;Table1[[#This Row],[Tanggal]],Table2[[#All],[Kompetitor area]:[Jumlah Kompetitor]],7,0)</f>
        <v>112</v>
      </c>
      <c r="M294">
        <f>Table1[[#This Row],[Aktual]]-Table1[[#This Row],[Jumlah Kompetitor]]</f>
        <v>432</v>
      </c>
      <c r="N294" t="str">
        <f>IF(Table1[[#This Row],[vs Kompetitor]]&gt;0,"Win", "Lose")</f>
        <v>Win</v>
      </c>
    </row>
    <row r="295" spans="1:14" x14ac:dyDescent="0.25">
      <c r="A295">
        <v>294</v>
      </c>
      <c r="B295" t="s">
        <v>4</v>
      </c>
      <c r="C295" t="s">
        <v>92</v>
      </c>
      <c r="D295">
        <v>3</v>
      </c>
      <c r="E295">
        <v>2021</v>
      </c>
      <c r="F295" s="2">
        <f>DATE(Table1[[#This Row],[Tahun]],Table1[[#This Row],[Bulan]],1)</f>
        <v>44256</v>
      </c>
      <c r="G295">
        <v>674</v>
      </c>
      <c r="H295">
        <v>681</v>
      </c>
      <c r="I295" s="6">
        <f>(Table1[[#This Row],[Aktual]]-Table1[[#This Row],[Target]])</f>
        <v>-7</v>
      </c>
      <c r="J295" s="3">
        <f>(Table1[[#This Row],[Aktual]]-Table1[[#This Row],[Target]])/Table1[[#This Row],[Target]]</f>
        <v>-1.0279001468428781E-2</v>
      </c>
      <c r="K295" t="str">
        <f>IF(Table1[[#This Row],[Performance Gap (%)]]&lt;0,"Tidak mencapai target", IF(Table1[[#This Row],[Performance Gap (%)]]=0,"Mencapai target", "Melebihi Target"))</f>
        <v>Tidak mencapai target</v>
      </c>
      <c r="L295">
        <f>VLOOKUP(Table1[[#This Row],[Propinsi]]&amp;"_"&amp;Table1[[#This Row],[Dati 2]]&amp;"_"&amp;Table1[[#This Row],[Tanggal]],Table2[[#All],[Kompetitor area]:[Jumlah Kompetitor]],7,0)</f>
        <v>116</v>
      </c>
      <c r="M295">
        <f>Table1[[#This Row],[Aktual]]-Table1[[#This Row],[Jumlah Kompetitor]]</f>
        <v>558</v>
      </c>
      <c r="N295" t="str">
        <f>IF(Table1[[#This Row],[vs Kompetitor]]&gt;0,"Win", "Lose")</f>
        <v>Win</v>
      </c>
    </row>
    <row r="296" spans="1:14" x14ac:dyDescent="0.25">
      <c r="A296">
        <v>295</v>
      </c>
      <c r="B296" t="s">
        <v>4</v>
      </c>
      <c r="C296" t="s">
        <v>93</v>
      </c>
      <c r="D296">
        <v>3</v>
      </c>
      <c r="E296">
        <v>2021</v>
      </c>
      <c r="F296" s="2">
        <f>DATE(Table1[[#This Row],[Tahun]],Table1[[#This Row],[Bulan]],1)</f>
        <v>44256</v>
      </c>
      <c r="G296">
        <v>344</v>
      </c>
      <c r="H296">
        <v>362</v>
      </c>
      <c r="I296" s="6">
        <f>(Table1[[#This Row],[Aktual]]-Table1[[#This Row],[Target]])</f>
        <v>-18</v>
      </c>
      <c r="J296" s="3">
        <f>(Table1[[#This Row],[Aktual]]-Table1[[#This Row],[Target]])/Table1[[#This Row],[Target]]</f>
        <v>-4.9723756906077346E-2</v>
      </c>
      <c r="K296" t="str">
        <f>IF(Table1[[#This Row],[Performance Gap (%)]]&lt;0,"Tidak mencapai target", IF(Table1[[#This Row],[Performance Gap (%)]]=0,"Mencapai target", "Melebihi Target"))</f>
        <v>Tidak mencapai target</v>
      </c>
      <c r="L296">
        <f>VLOOKUP(Table1[[#This Row],[Propinsi]]&amp;"_"&amp;Table1[[#This Row],[Dati 2]]&amp;"_"&amp;Table1[[#This Row],[Tanggal]],Table2[[#All],[Kompetitor area]:[Jumlah Kompetitor]],7,0)</f>
        <v>44</v>
      </c>
      <c r="M296">
        <f>Table1[[#This Row],[Aktual]]-Table1[[#This Row],[Jumlah Kompetitor]]</f>
        <v>300</v>
      </c>
      <c r="N296" t="str">
        <f>IF(Table1[[#This Row],[vs Kompetitor]]&gt;0,"Win", "Lose")</f>
        <v>Win</v>
      </c>
    </row>
    <row r="297" spans="1:14" x14ac:dyDescent="0.25">
      <c r="A297">
        <v>296</v>
      </c>
      <c r="B297" t="s">
        <v>4</v>
      </c>
      <c r="C297" t="s">
        <v>94</v>
      </c>
      <c r="D297">
        <v>3</v>
      </c>
      <c r="E297">
        <v>2021</v>
      </c>
      <c r="F297" s="2">
        <f>DATE(Table1[[#This Row],[Tahun]],Table1[[#This Row],[Bulan]],1)</f>
        <v>44256</v>
      </c>
      <c r="G297">
        <v>93</v>
      </c>
      <c r="H297">
        <v>90</v>
      </c>
      <c r="I297" s="6">
        <f>(Table1[[#This Row],[Aktual]]-Table1[[#This Row],[Target]])</f>
        <v>3</v>
      </c>
      <c r="J297" s="3">
        <f>(Table1[[#This Row],[Aktual]]-Table1[[#This Row],[Target]])/Table1[[#This Row],[Target]]</f>
        <v>3.3333333333333333E-2</v>
      </c>
      <c r="K297" t="str">
        <f>IF(Table1[[#This Row],[Performance Gap (%)]]&lt;0,"Tidak mencapai target", IF(Table1[[#This Row],[Performance Gap (%)]]=0,"Mencapai target", "Melebihi Target"))</f>
        <v>Melebihi Target</v>
      </c>
      <c r="L297">
        <f>VLOOKUP(Table1[[#This Row],[Propinsi]]&amp;"_"&amp;Table1[[#This Row],[Dati 2]]&amp;"_"&amp;Table1[[#This Row],[Tanggal]],Table2[[#All],[Kompetitor area]:[Jumlah Kompetitor]],7,0)</f>
        <v>51</v>
      </c>
      <c r="M297">
        <f>Table1[[#This Row],[Aktual]]-Table1[[#This Row],[Jumlah Kompetitor]]</f>
        <v>42</v>
      </c>
      <c r="N297" t="str">
        <f>IF(Table1[[#This Row],[vs Kompetitor]]&gt;0,"Win", "Lose")</f>
        <v>Win</v>
      </c>
    </row>
    <row r="298" spans="1:14" x14ac:dyDescent="0.25">
      <c r="A298">
        <v>297</v>
      </c>
      <c r="B298" t="s">
        <v>5</v>
      </c>
      <c r="C298" t="s">
        <v>95</v>
      </c>
      <c r="D298">
        <v>3</v>
      </c>
      <c r="E298">
        <v>2021</v>
      </c>
      <c r="F298" s="2">
        <f>DATE(Table1[[#This Row],[Tahun]],Table1[[#This Row],[Bulan]],1)</f>
        <v>44256</v>
      </c>
      <c r="G298">
        <v>629</v>
      </c>
      <c r="H298">
        <v>636</v>
      </c>
      <c r="I298" s="6">
        <f>(Table1[[#This Row],[Aktual]]-Table1[[#This Row],[Target]])</f>
        <v>-7</v>
      </c>
      <c r="J298" s="3">
        <f>(Table1[[#This Row],[Aktual]]-Table1[[#This Row],[Target]])/Table1[[#This Row],[Target]]</f>
        <v>-1.10062893081761E-2</v>
      </c>
      <c r="K298" t="str">
        <f>IF(Table1[[#This Row],[Performance Gap (%)]]&lt;0,"Tidak mencapai target", IF(Table1[[#This Row],[Performance Gap (%)]]=0,"Mencapai target", "Melebihi Target"))</f>
        <v>Tidak mencapai target</v>
      </c>
      <c r="L298">
        <f>VLOOKUP(Table1[[#This Row],[Propinsi]]&amp;"_"&amp;Table1[[#This Row],[Dati 2]]&amp;"_"&amp;Table1[[#This Row],[Tanggal]],Table2[[#All],[Kompetitor area]:[Jumlah Kompetitor]],7,0)</f>
        <v>38</v>
      </c>
      <c r="M298">
        <f>Table1[[#This Row],[Aktual]]-Table1[[#This Row],[Jumlah Kompetitor]]</f>
        <v>591</v>
      </c>
      <c r="N298" t="str">
        <f>IF(Table1[[#This Row],[vs Kompetitor]]&gt;0,"Win", "Lose")</f>
        <v>Win</v>
      </c>
    </row>
    <row r="299" spans="1:14" x14ac:dyDescent="0.25">
      <c r="A299">
        <v>298</v>
      </c>
      <c r="B299" t="s">
        <v>5</v>
      </c>
      <c r="C299" t="s">
        <v>96</v>
      </c>
      <c r="D299">
        <v>3</v>
      </c>
      <c r="E299">
        <v>2021</v>
      </c>
      <c r="F299" s="2">
        <f>DATE(Table1[[#This Row],[Tahun]],Table1[[#This Row],[Bulan]],1)</f>
        <v>44256</v>
      </c>
      <c r="G299">
        <v>148</v>
      </c>
      <c r="H299">
        <v>131</v>
      </c>
      <c r="I299" s="6">
        <f>(Table1[[#This Row],[Aktual]]-Table1[[#This Row],[Target]])</f>
        <v>17</v>
      </c>
      <c r="J299" s="3">
        <f>(Table1[[#This Row],[Aktual]]-Table1[[#This Row],[Target]])/Table1[[#This Row],[Target]]</f>
        <v>0.12977099236641221</v>
      </c>
      <c r="K299" t="str">
        <f>IF(Table1[[#This Row],[Performance Gap (%)]]&lt;0,"Tidak mencapai target", IF(Table1[[#This Row],[Performance Gap (%)]]=0,"Mencapai target", "Melebihi Target"))</f>
        <v>Melebihi Target</v>
      </c>
      <c r="L299">
        <f>VLOOKUP(Table1[[#This Row],[Propinsi]]&amp;"_"&amp;Table1[[#This Row],[Dati 2]]&amp;"_"&amp;Table1[[#This Row],[Tanggal]],Table2[[#All],[Kompetitor area]:[Jumlah Kompetitor]],7,0)</f>
        <v>63</v>
      </c>
      <c r="M299">
        <f>Table1[[#This Row],[Aktual]]-Table1[[#This Row],[Jumlah Kompetitor]]</f>
        <v>85</v>
      </c>
      <c r="N299" t="str">
        <f>IF(Table1[[#This Row],[vs Kompetitor]]&gt;0,"Win", "Lose")</f>
        <v>Win</v>
      </c>
    </row>
    <row r="300" spans="1:14" x14ac:dyDescent="0.25">
      <c r="A300">
        <v>299</v>
      </c>
      <c r="B300" t="s">
        <v>5</v>
      </c>
      <c r="C300" t="s">
        <v>97</v>
      </c>
      <c r="D300">
        <v>3</v>
      </c>
      <c r="E300">
        <v>2021</v>
      </c>
      <c r="F300" s="2">
        <f>DATE(Table1[[#This Row],[Tahun]],Table1[[#This Row],[Bulan]],1)</f>
        <v>44256</v>
      </c>
      <c r="G300">
        <v>161</v>
      </c>
      <c r="H300">
        <v>141</v>
      </c>
      <c r="I300" s="6">
        <f>(Table1[[#This Row],[Aktual]]-Table1[[#This Row],[Target]])</f>
        <v>20</v>
      </c>
      <c r="J300" s="3">
        <f>(Table1[[#This Row],[Aktual]]-Table1[[#This Row],[Target]])/Table1[[#This Row],[Target]]</f>
        <v>0.14184397163120568</v>
      </c>
      <c r="K300" t="str">
        <f>IF(Table1[[#This Row],[Performance Gap (%)]]&lt;0,"Tidak mencapai target", IF(Table1[[#This Row],[Performance Gap (%)]]=0,"Mencapai target", "Melebihi Target"))</f>
        <v>Melebihi Target</v>
      </c>
      <c r="L300">
        <f>VLOOKUP(Table1[[#This Row],[Propinsi]]&amp;"_"&amp;Table1[[#This Row],[Dati 2]]&amp;"_"&amp;Table1[[#This Row],[Tanggal]],Table2[[#All],[Kompetitor area]:[Jumlah Kompetitor]],7,0)</f>
        <v>93</v>
      </c>
      <c r="M300">
        <f>Table1[[#This Row],[Aktual]]-Table1[[#This Row],[Jumlah Kompetitor]]</f>
        <v>68</v>
      </c>
      <c r="N300" t="str">
        <f>IF(Table1[[#This Row],[vs Kompetitor]]&gt;0,"Win", "Lose")</f>
        <v>Win</v>
      </c>
    </row>
    <row r="301" spans="1:14" x14ac:dyDescent="0.25">
      <c r="A301">
        <v>300</v>
      </c>
      <c r="B301" t="s">
        <v>5</v>
      </c>
      <c r="C301" t="s">
        <v>98</v>
      </c>
      <c r="D301">
        <v>3</v>
      </c>
      <c r="E301">
        <v>2021</v>
      </c>
      <c r="F301" s="2">
        <f>DATE(Table1[[#This Row],[Tahun]],Table1[[#This Row],[Bulan]],1)</f>
        <v>44256</v>
      </c>
      <c r="G301">
        <v>457</v>
      </c>
      <c r="H301">
        <v>463</v>
      </c>
      <c r="I301" s="6">
        <f>(Table1[[#This Row],[Aktual]]-Table1[[#This Row],[Target]])</f>
        <v>-6</v>
      </c>
      <c r="J301" s="3">
        <f>(Table1[[#This Row],[Aktual]]-Table1[[#This Row],[Target]])/Table1[[#This Row],[Target]]</f>
        <v>-1.2958963282937365E-2</v>
      </c>
      <c r="K301" t="str">
        <f>IF(Table1[[#This Row],[Performance Gap (%)]]&lt;0,"Tidak mencapai target", IF(Table1[[#This Row],[Performance Gap (%)]]=0,"Mencapai target", "Melebihi Target"))</f>
        <v>Tidak mencapai target</v>
      </c>
      <c r="L301">
        <f>VLOOKUP(Table1[[#This Row],[Propinsi]]&amp;"_"&amp;Table1[[#This Row],[Dati 2]]&amp;"_"&amp;Table1[[#This Row],[Tanggal]],Table2[[#All],[Kompetitor area]:[Jumlah Kompetitor]],7,0)</f>
        <v>64</v>
      </c>
      <c r="M301">
        <f>Table1[[#This Row],[Aktual]]-Table1[[#This Row],[Jumlah Kompetitor]]</f>
        <v>393</v>
      </c>
      <c r="N301" t="str">
        <f>IF(Table1[[#This Row],[vs Kompetitor]]&gt;0,"Win", "Lose")</f>
        <v>Win</v>
      </c>
    </row>
    <row r="302" spans="1:14" x14ac:dyDescent="0.25">
      <c r="A302">
        <v>301</v>
      </c>
      <c r="B302" t="s">
        <v>5</v>
      </c>
      <c r="C302" t="s">
        <v>99</v>
      </c>
      <c r="D302">
        <v>3</v>
      </c>
      <c r="E302">
        <v>2021</v>
      </c>
      <c r="F302" s="2">
        <f>DATE(Table1[[#This Row],[Tahun]],Table1[[#This Row],[Bulan]],1)</f>
        <v>44256</v>
      </c>
      <c r="G302">
        <v>766</v>
      </c>
      <c r="H302">
        <v>671</v>
      </c>
      <c r="I302" s="6">
        <f>(Table1[[#This Row],[Aktual]]-Table1[[#This Row],[Target]])</f>
        <v>95</v>
      </c>
      <c r="J302" s="3">
        <f>(Table1[[#This Row],[Aktual]]-Table1[[#This Row],[Target]])/Table1[[#This Row],[Target]]</f>
        <v>0.14157973174366617</v>
      </c>
      <c r="K302" t="str">
        <f>IF(Table1[[#This Row],[Performance Gap (%)]]&lt;0,"Tidak mencapai target", IF(Table1[[#This Row],[Performance Gap (%)]]=0,"Mencapai target", "Melebihi Target"))</f>
        <v>Melebihi Target</v>
      </c>
      <c r="L302">
        <f>VLOOKUP(Table1[[#This Row],[Propinsi]]&amp;"_"&amp;Table1[[#This Row],[Dati 2]]&amp;"_"&amp;Table1[[#This Row],[Tanggal]],Table2[[#All],[Kompetitor area]:[Jumlah Kompetitor]],7,0)</f>
        <v>59</v>
      </c>
      <c r="M302">
        <f>Table1[[#This Row],[Aktual]]-Table1[[#This Row],[Jumlah Kompetitor]]</f>
        <v>707</v>
      </c>
      <c r="N302" t="str">
        <f>IF(Table1[[#This Row],[vs Kompetitor]]&gt;0,"Win", "Lose")</f>
        <v>Win</v>
      </c>
    </row>
    <row r="303" spans="1:14" x14ac:dyDescent="0.25">
      <c r="A303">
        <v>302</v>
      </c>
      <c r="B303" t="s">
        <v>5</v>
      </c>
      <c r="C303" t="s">
        <v>100</v>
      </c>
      <c r="D303">
        <v>3</v>
      </c>
      <c r="E303">
        <v>2021</v>
      </c>
      <c r="F303" s="2">
        <f>DATE(Table1[[#This Row],[Tahun]],Table1[[#This Row],[Bulan]],1)</f>
        <v>44256</v>
      </c>
      <c r="G303">
        <v>234</v>
      </c>
      <c r="H303">
        <v>190</v>
      </c>
      <c r="I303" s="6">
        <f>(Table1[[#This Row],[Aktual]]-Table1[[#This Row],[Target]])</f>
        <v>44</v>
      </c>
      <c r="J303" s="3">
        <f>(Table1[[#This Row],[Aktual]]-Table1[[#This Row],[Target]])/Table1[[#This Row],[Target]]</f>
        <v>0.23157894736842105</v>
      </c>
      <c r="K303" t="str">
        <f>IF(Table1[[#This Row],[Performance Gap (%)]]&lt;0,"Tidak mencapai target", IF(Table1[[#This Row],[Performance Gap (%)]]=0,"Mencapai target", "Melebihi Target"))</f>
        <v>Melebihi Target</v>
      </c>
      <c r="L303">
        <f>VLOOKUP(Table1[[#This Row],[Propinsi]]&amp;"_"&amp;Table1[[#This Row],[Dati 2]]&amp;"_"&amp;Table1[[#This Row],[Tanggal]],Table2[[#All],[Kompetitor area]:[Jumlah Kompetitor]],7,0)</f>
        <v>153</v>
      </c>
      <c r="M303">
        <f>Table1[[#This Row],[Aktual]]-Table1[[#This Row],[Jumlah Kompetitor]]</f>
        <v>81</v>
      </c>
      <c r="N303" t="str">
        <f>IF(Table1[[#This Row],[vs Kompetitor]]&gt;0,"Win", "Lose")</f>
        <v>Win</v>
      </c>
    </row>
    <row r="304" spans="1:14" x14ac:dyDescent="0.25">
      <c r="A304">
        <v>303</v>
      </c>
      <c r="B304" t="s">
        <v>5</v>
      </c>
      <c r="C304" t="s">
        <v>101</v>
      </c>
      <c r="D304">
        <v>3</v>
      </c>
      <c r="E304">
        <v>2021</v>
      </c>
      <c r="F304" s="2">
        <f>DATE(Table1[[#This Row],[Tahun]],Table1[[#This Row],[Bulan]],1)</f>
        <v>44256</v>
      </c>
      <c r="G304">
        <v>935</v>
      </c>
      <c r="H304">
        <v>993</v>
      </c>
      <c r="I304" s="6">
        <f>(Table1[[#This Row],[Aktual]]-Table1[[#This Row],[Target]])</f>
        <v>-58</v>
      </c>
      <c r="J304" s="3">
        <f>(Table1[[#This Row],[Aktual]]-Table1[[#This Row],[Target]])/Table1[[#This Row],[Target]]</f>
        <v>-5.8408862034239679E-2</v>
      </c>
      <c r="K304" t="str">
        <f>IF(Table1[[#This Row],[Performance Gap (%)]]&lt;0,"Tidak mencapai target", IF(Table1[[#This Row],[Performance Gap (%)]]=0,"Mencapai target", "Melebihi Target"))</f>
        <v>Tidak mencapai target</v>
      </c>
      <c r="L304">
        <f>VLOOKUP(Table1[[#This Row],[Propinsi]]&amp;"_"&amp;Table1[[#This Row],[Dati 2]]&amp;"_"&amp;Table1[[#This Row],[Tanggal]],Table2[[#All],[Kompetitor area]:[Jumlah Kompetitor]],7,0)</f>
        <v>92</v>
      </c>
      <c r="M304">
        <f>Table1[[#This Row],[Aktual]]-Table1[[#This Row],[Jumlah Kompetitor]]</f>
        <v>843</v>
      </c>
      <c r="N304" t="str">
        <f>IF(Table1[[#This Row],[vs Kompetitor]]&gt;0,"Win", "Lose")</f>
        <v>Win</v>
      </c>
    </row>
    <row r="305" spans="1:14" x14ac:dyDescent="0.25">
      <c r="A305">
        <v>304</v>
      </c>
      <c r="B305" t="s">
        <v>5</v>
      </c>
      <c r="C305" t="s">
        <v>102</v>
      </c>
      <c r="D305">
        <v>3</v>
      </c>
      <c r="E305">
        <v>2021</v>
      </c>
      <c r="F305" s="2">
        <f>DATE(Table1[[#This Row],[Tahun]],Table1[[#This Row],[Bulan]],1)</f>
        <v>44256</v>
      </c>
      <c r="G305">
        <v>690</v>
      </c>
      <c r="H305">
        <v>687</v>
      </c>
      <c r="I305" s="6">
        <f>(Table1[[#This Row],[Aktual]]-Table1[[#This Row],[Target]])</f>
        <v>3</v>
      </c>
      <c r="J305" s="3">
        <f>(Table1[[#This Row],[Aktual]]-Table1[[#This Row],[Target]])/Table1[[#This Row],[Target]]</f>
        <v>4.3668122270742356E-3</v>
      </c>
      <c r="K305" t="str">
        <f>IF(Table1[[#This Row],[Performance Gap (%)]]&lt;0,"Tidak mencapai target", IF(Table1[[#This Row],[Performance Gap (%)]]=0,"Mencapai target", "Melebihi Target"))</f>
        <v>Melebihi Target</v>
      </c>
      <c r="L305">
        <f>VLOOKUP(Table1[[#This Row],[Propinsi]]&amp;"_"&amp;Table1[[#This Row],[Dati 2]]&amp;"_"&amp;Table1[[#This Row],[Tanggal]],Table2[[#All],[Kompetitor area]:[Jumlah Kompetitor]],7,0)</f>
        <v>134</v>
      </c>
      <c r="M305">
        <f>Table1[[#This Row],[Aktual]]-Table1[[#This Row],[Jumlah Kompetitor]]</f>
        <v>556</v>
      </c>
      <c r="N305" t="str">
        <f>IF(Table1[[#This Row],[vs Kompetitor]]&gt;0,"Win", "Lose")</f>
        <v>Win</v>
      </c>
    </row>
    <row r="306" spans="1:14" x14ac:dyDescent="0.25">
      <c r="A306">
        <v>305</v>
      </c>
      <c r="B306" t="s">
        <v>5</v>
      </c>
      <c r="C306" t="s">
        <v>103</v>
      </c>
      <c r="D306">
        <v>3</v>
      </c>
      <c r="E306">
        <v>2021</v>
      </c>
      <c r="F306" s="2">
        <f>DATE(Table1[[#This Row],[Tahun]],Table1[[#This Row],[Bulan]],1)</f>
        <v>44256</v>
      </c>
      <c r="G306">
        <v>1660</v>
      </c>
      <c r="H306">
        <v>1435</v>
      </c>
      <c r="I306" s="6">
        <f>(Table1[[#This Row],[Aktual]]-Table1[[#This Row],[Target]])</f>
        <v>225</v>
      </c>
      <c r="J306" s="3">
        <f>(Table1[[#This Row],[Aktual]]-Table1[[#This Row],[Target]])/Table1[[#This Row],[Target]]</f>
        <v>0.156794425087108</v>
      </c>
      <c r="K306" t="str">
        <f>IF(Table1[[#This Row],[Performance Gap (%)]]&lt;0,"Tidak mencapai target", IF(Table1[[#This Row],[Performance Gap (%)]]=0,"Mencapai target", "Melebihi Target"))</f>
        <v>Melebihi Target</v>
      </c>
      <c r="L306">
        <f>VLOOKUP(Table1[[#This Row],[Propinsi]]&amp;"_"&amp;Table1[[#This Row],[Dati 2]]&amp;"_"&amp;Table1[[#This Row],[Tanggal]],Table2[[#All],[Kompetitor area]:[Jumlah Kompetitor]],7,0)</f>
        <v>70</v>
      </c>
      <c r="M306">
        <f>Table1[[#This Row],[Aktual]]-Table1[[#This Row],[Jumlah Kompetitor]]</f>
        <v>1590</v>
      </c>
      <c r="N306" t="str">
        <f>IF(Table1[[#This Row],[vs Kompetitor]]&gt;0,"Win", "Lose")</f>
        <v>Win</v>
      </c>
    </row>
    <row r="307" spans="1:14" x14ac:dyDescent="0.25">
      <c r="A307">
        <v>306</v>
      </c>
      <c r="B307" t="s">
        <v>5</v>
      </c>
      <c r="C307" t="s">
        <v>104</v>
      </c>
      <c r="D307">
        <v>3</v>
      </c>
      <c r="E307">
        <v>2021</v>
      </c>
      <c r="F307" s="2">
        <f>DATE(Table1[[#This Row],[Tahun]],Table1[[#This Row],[Bulan]],1)</f>
        <v>44256</v>
      </c>
      <c r="G307">
        <v>1619</v>
      </c>
      <c r="H307">
        <v>1388</v>
      </c>
      <c r="I307" s="6">
        <f>(Table1[[#This Row],[Aktual]]-Table1[[#This Row],[Target]])</f>
        <v>231</v>
      </c>
      <c r="J307" s="3">
        <f>(Table1[[#This Row],[Aktual]]-Table1[[#This Row],[Target]])/Table1[[#This Row],[Target]]</f>
        <v>0.16642651296829972</v>
      </c>
      <c r="K307" t="str">
        <f>IF(Table1[[#This Row],[Performance Gap (%)]]&lt;0,"Tidak mencapai target", IF(Table1[[#This Row],[Performance Gap (%)]]=0,"Mencapai target", "Melebihi Target"))</f>
        <v>Melebihi Target</v>
      </c>
      <c r="L307">
        <f>VLOOKUP(Table1[[#This Row],[Propinsi]]&amp;"_"&amp;Table1[[#This Row],[Dati 2]]&amp;"_"&amp;Table1[[#This Row],[Tanggal]],Table2[[#All],[Kompetitor area]:[Jumlah Kompetitor]],7,0)</f>
        <v>144</v>
      </c>
      <c r="M307">
        <f>Table1[[#This Row],[Aktual]]-Table1[[#This Row],[Jumlah Kompetitor]]</f>
        <v>1475</v>
      </c>
      <c r="N307" t="str">
        <f>IF(Table1[[#This Row],[vs Kompetitor]]&gt;0,"Win", "Lose")</f>
        <v>Win</v>
      </c>
    </row>
    <row r="308" spans="1:14" x14ac:dyDescent="0.25">
      <c r="A308">
        <v>307</v>
      </c>
      <c r="B308" t="s">
        <v>5</v>
      </c>
      <c r="C308" t="s">
        <v>105</v>
      </c>
      <c r="D308">
        <v>3</v>
      </c>
      <c r="E308">
        <v>2021</v>
      </c>
      <c r="F308" s="2">
        <f>DATE(Table1[[#This Row],[Tahun]],Table1[[#This Row],[Bulan]],1)</f>
        <v>44256</v>
      </c>
      <c r="G308">
        <v>619</v>
      </c>
      <c r="H308">
        <v>523</v>
      </c>
      <c r="I308" s="6">
        <f>(Table1[[#This Row],[Aktual]]-Table1[[#This Row],[Target]])</f>
        <v>96</v>
      </c>
      <c r="J308" s="3">
        <f>(Table1[[#This Row],[Aktual]]-Table1[[#This Row],[Target]])/Table1[[#This Row],[Target]]</f>
        <v>0.1835564053537285</v>
      </c>
      <c r="K308" t="str">
        <f>IF(Table1[[#This Row],[Performance Gap (%)]]&lt;0,"Tidak mencapai target", IF(Table1[[#This Row],[Performance Gap (%)]]=0,"Mencapai target", "Melebihi Target"))</f>
        <v>Melebihi Target</v>
      </c>
      <c r="L308">
        <f>VLOOKUP(Table1[[#This Row],[Propinsi]]&amp;"_"&amp;Table1[[#This Row],[Dati 2]]&amp;"_"&amp;Table1[[#This Row],[Tanggal]],Table2[[#All],[Kompetitor area]:[Jumlah Kompetitor]],7,0)</f>
        <v>73</v>
      </c>
      <c r="M308">
        <f>Table1[[#This Row],[Aktual]]-Table1[[#This Row],[Jumlah Kompetitor]]</f>
        <v>546</v>
      </c>
      <c r="N308" t="str">
        <f>IF(Table1[[#This Row],[vs Kompetitor]]&gt;0,"Win", "Lose")</f>
        <v>Win</v>
      </c>
    </row>
    <row r="309" spans="1:14" x14ac:dyDescent="0.25">
      <c r="A309">
        <v>308</v>
      </c>
      <c r="B309" t="s">
        <v>5</v>
      </c>
      <c r="C309" t="s">
        <v>106</v>
      </c>
      <c r="D309">
        <v>3</v>
      </c>
      <c r="E309">
        <v>2021</v>
      </c>
      <c r="F309" s="2">
        <f>DATE(Table1[[#This Row],[Tahun]],Table1[[#This Row],[Bulan]],1)</f>
        <v>44256</v>
      </c>
      <c r="G309">
        <v>515</v>
      </c>
      <c r="H309">
        <v>517</v>
      </c>
      <c r="I309" s="6">
        <f>(Table1[[#This Row],[Aktual]]-Table1[[#This Row],[Target]])</f>
        <v>-2</v>
      </c>
      <c r="J309" s="3">
        <f>(Table1[[#This Row],[Aktual]]-Table1[[#This Row],[Target]])/Table1[[#This Row],[Target]]</f>
        <v>-3.8684719535783366E-3</v>
      </c>
      <c r="K309" t="str">
        <f>IF(Table1[[#This Row],[Performance Gap (%)]]&lt;0,"Tidak mencapai target", IF(Table1[[#This Row],[Performance Gap (%)]]=0,"Mencapai target", "Melebihi Target"))</f>
        <v>Tidak mencapai target</v>
      </c>
      <c r="L309">
        <f>VLOOKUP(Table1[[#This Row],[Propinsi]]&amp;"_"&amp;Table1[[#This Row],[Dati 2]]&amp;"_"&amp;Table1[[#This Row],[Tanggal]],Table2[[#All],[Kompetitor area]:[Jumlah Kompetitor]],7,0)</f>
        <v>60</v>
      </c>
      <c r="M309">
        <f>Table1[[#This Row],[Aktual]]-Table1[[#This Row],[Jumlah Kompetitor]]</f>
        <v>455</v>
      </c>
      <c r="N309" t="str">
        <f>IF(Table1[[#This Row],[vs Kompetitor]]&gt;0,"Win", "Lose")</f>
        <v>Win</v>
      </c>
    </row>
    <row r="310" spans="1:14" x14ac:dyDescent="0.25">
      <c r="A310">
        <v>309</v>
      </c>
      <c r="B310" t="s">
        <v>5</v>
      </c>
      <c r="C310" t="s">
        <v>107</v>
      </c>
      <c r="D310">
        <v>3</v>
      </c>
      <c r="E310">
        <v>2021</v>
      </c>
      <c r="F310" s="2">
        <f>DATE(Table1[[#This Row],[Tahun]],Table1[[#This Row],[Bulan]],1)</f>
        <v>44256</v>
      </c>
      <c r="G310">
        <v>588</v>
      </c>
      <c r="H310">
        <v>521</v>
      </c>
      <c r="I310" s="6">
        <f>(Table1[[#This Row],[Aktual]]-Table1[[#This Row],[Target]])</f>
        <v>67</v>
      </c>
      <c r="J310" s="3">
        <f>(Table1[[#This Row],[Aktual]]-Table1[[#This Row],[Target]])/Table1[[#This Row],[Target]]</f>
        <v>0.12859884836852206</v>
      </c>
      <c r="K310" t="str">
        <f>IF(Table1[[#This Row],[Performance Gap (%)]]&lt;0,"Tidak mencapai target", IF(Table1[[#This Row],[Performance Gap (%)]]=0,"Mencapai target", "Melebihi Target"))</f>
        <v>Melebihi Target</v>
      </c>
      <c r="L310">
        <f>VLOOKUP(Table1[[#This Row],[Propinsi]]&amp;"_"&amp;Table1[[#This Row],[Dati 2]]&amp;"_"&amp;Table1[[#This Row],[Tanggal]],Table2[[#All],[Kompetitor area]:[Jumlah Kompetitor]],7,0)</f>
        <v>111</v>
      </c>
      <c r="M310">
        <f>Table1[[#This Row],[Aktual]]-Table1[[#This Row],[Jumlah Kompetitor]]</f>
        <v>477</v>
      </c>
      <c r="N310" t="str">
        <f>IF(Table1[[#This Row],[vs Kompetitor]]&gt;0,"Win", "Lose")</f>
        <v>Win</v>
      </c>
    </row>
    <row r="311" spans="1:14" x14ac:dyDescent="0.25">
      <c r="A311">
        <v>310</v>
      </c>
      <c r="B311" t="s">
        <v>5</v>
      </c>
      <c r="C311" t="s">
        <v>108</v>
      </c>
      <c r="D311">
        <v>3</v>
      </c>
      <c r="E311">
        <v>2021</v>
      </c>
      <c r="F311" s="2">
        <f>DATE(Table1[[#This Row],[Tahun]],Table1[[#This Row],[Bulan]],1)</f>
        <v>44256</v>
      </c>
      <c r="G311">
        <v>1179</v>
      </c>
      <c r="H311">
        <v>983</v>
      </c>
      <c r="I311" s="6">
        <f>(Table1[[#This Row],[Aktual]]-Table1[[#This Row],[Target]])</f>
        <v>196</v>
      </c>
      <c r="J311" s="3">
        <f>(Table1[[#This Row],[Aktual]]-Table1[[#This Row],[Target]])/Table1[[#This Row],[Target]]</f>
        <v>0.19938962360122076</v>
      </c>
      <c r="K311" t="str">
        <f>IF(Table1[[#This Row],[Performance Gap (%)]]&lt;0,"Tidak mencapai target", IF(Table1[[#This Row],[Performance Gap (%)]]=0,"Mencapai target", "Melebihi Target"))</f>
        <v>Melebihi Target</v>
      </c>
      <c r="L311">
        <f>VLOOKUP(Table1[[#This Row],[Propinsi]]&amp;"_"&amp;Table1[[#This Row],[Dati 2]]&amp;"_"&amp;Table1[[#This Row],[Tanggal]],Table2[[#All],[Kompetitor area]:[Jumlah Kompetitor]],7,0)</f>
        <v>83</v>
      </c>
      <c r="M311">
        <f>Table1[[#This Row],[Aktual]]-Table1[[#This Row],[Jumlah Kompetitor]]</f>
        <v>1096</v>
      </c>
      <c r="N311" t="str">
        <f>IF(Table1[[#This Row],[vs Kompetitor]]&gt;0,"Win", "Lose")</f>
        <v>Win</v>
      </c>
    </row>
    <row r="312" spans="1:14" x14ac:dyDescent="0.25">
      <c r="A312">
        <v>311</v>
      </c>
      <c r="B312" t="s">
        <v>5</v>
      </c>
      <c r="C312" t="s">
        <v>109</v>
      </c>
      <c r="D312">
        <v>3</v>
      </c>
      <c r="E312">
        <v>2021</v>
      </c>
      <c r="F312" s="2">
        <f>DATE(Table1[[#This Row],[Tahun]],Table1[[#This Row],[Bulan]],1)</f>
        <v>44256</v>
      </c>
      <c r="G312">
        <v>999</v>
      </c>
      <c r="H312">
        <v>1026</v>
      </c>
      <c r="I312" s="6">
        <f>(Table1[[#This Row],[Aktual]]-Table1[[#This Row],[Target]])</f>
        <v>-27</v>
      </c>
      <c r="J312" s="3">
        <f>(Table1[[#This Row],[Aktual]]-Table1[[#This Row],[Target]])/Table1[[#This Row],[Target]]</f>
        <v>-2.6315789473684209E-2</v>
      </c>
      <c r="K312" t="str">
        <f>IF(Table1[[#This Row],[Performance Gap (%)]]&lt;0,"Tidak mencapai target", IF(Table1[[#This Row],[Performance Gap (%)]]=0,"Mencapai target", "Melebihi Target"))</f>
        <v>Tidak mencapai target</v>
      </c>
      <c r="L312">
        <f>VLOOKUP(Table1[[#This Row],[Propinsi]]&amp;"_"&amp;Table1[[#This Row],[Dati 2]]&amp;"_"&amp;Table1[[#This Row],[Tanggal]],Table2[[#All],[Kompetitor area]:[Jumlah Kompetitor]],7,0)</f>
        <v>156</v>
      </c>
      <c r="M312">
        <f>Table1[[#This Row],[Aktual]]-Table1[[#This Row],[Jumlah Kompetitor]]</f>
        <v>843</v>
      </c>
      <c r="N312" t="str">
        <f>IF(Table1[[#This Row],[vs Kompetitor]]&gt;0,"Win", "Lose")</f>
        <v>Win</v>
      </c>
    </row>
    <row r="313" spans="1:14" x14ac:dyDescent="0.25">
      <c r="A313">
        <v>312</v>
      </c>
      <c r="B313" t="s">
        <v>5</v>
      </c>
      <c r="C313" t="s">
        <v>110</v>
      </c>
      <c r="D313">
        <v>3</v>
      </c>
      <c r="E313">
        <v>2021</v>
      </c>
      <c r="F313" s="2">
        <f>DATE(Table1[[#This Row],[Tahun]],Table1[[#This Row],[Bulan]],1)</f>
        <v>44256</v>
      </c>
      <c r="G313">
        <v>742</v>
      </c>
      <c r="H313">
        <v>624</v>
      </c>
      <c r="I313" s="6">
        <f>(Table1[[#This Row],[Aktual]]-Table1[[#This Row],[Target]])</f>
        <v>118</v>
      </c>
      <c r="J313" s="3">
        <f>(Table1[[#This Row],[Aktual]]-Table1[[#This Row],[Target]])/Table1[[#This Row],[Target]]</f>
        <v>0.1891025641025641</v>
      </c>
      <c r="K313" t="str">
        <f>IF(Table1[[#This Row],[Performance Gap (%)]]&lt;0,"Tidak mencapai target", IF(Table1[[#This Row],[Performance Gap (%)]]=0,"Mencapai target", "Melebihi Target"))</f>
        <v>Melebihi Target</v>
      </c>
      <c r="L313">
        <f>VLOOKUP(Table1[[#This Row],[Propinsi]]&amp;"_"&amp;Table1[[#This Row],[Dati 2]]&amp;"_"&amp;Table1[[#This Row],[Tanggal]],Table2[[#All],[Kompetitor area]:[Jumlah Kompetitor]],7,0)</f>
        <v>67</v>
      </c>
      <c r="M313">
        <f>Table1[[#This Row],[Aktual]]-Table1[[#This Row],[Jumlah Kompetitor]]</f>
        <v>675</v>
      </c>
      <c r="N313" t="str">
        <f>IF(Table1[[#This Row],[vs Kompetitor]]&gt;0,"Win", "Lose")</f>
        <v>Win</v>
      </c>
    </row>
    <row r="314" spans="1:14" x14ac:dyDescent="0.25">
      <c r="A314">
        <v>313</v>
      </c>
      <c r="B314" t="s">
        <v>5</v>
      </c>
      <c r="C314" t="s">
        <v>111</v>
      </c>
      <c r="D314">
        <v>3</v>
      </c>
      <c r="E314">
        <v>2021</v>
      </c>
      <c r="F314" s="2">
        <f>DATE(Table1[[#This Row],[Tahun]],Table1[[#This Row],[Bulan]],1)</f>
        <v>44256</v>
      </c>
      <c r="G314">
        <v>574</v>
      </c>
      <c r="H314">
        <v>562</v>
      </c>
      <c r="I314" s="6">
        <f>(Table1[[#This Row],[Aktual]]-Table1[[#This Row],[Target]])</f>
        <v>12</v>
      </c>
      <c r="J314" s="3">
        <f>(Table1[[#This Row],[Aktual]]-Table1[[#This Row],[Target]])/Table1[[#This Row],[Target]]</f>
        <v>2.1352313167259787E-2</v>
      </c>
      <c r="K314" t="str">
        <f>IF(Table1[[#This Row],[Performance Gap (%)]]&lt;0,"Tidak mencapai target", IF(Table1[[#This Row],[Performance Gap (%)]]=0,"Mencapai target", "Melebihi Target"))</f>
        <v>Melebihi Target</v>
      </c>
      <c r="L314">
        <f>VLOOKUP(Table1[[#This Row],[Propinsi]]&amp;"_"&amp;Table1[[#This Row],[Dati 2]]&amp;"_"&amp;Table1[[#This Row],[Tanggal]],Table2[[#All],[Kompetitor area]:[Jumlah Kompetitor]],7,0)</f>
        <v>79</v>
      </c>
      <c r="M314">
        <f>Table1[[#This Row],[Aktual]]-Table1[[#This Row],[Jumlah Kompetitor]]</f>
        <v>495</v>
      </c>
      <c r="N314" t="str">
        <f>IF(Table1[[#This Row],[vs Kompetitor]]&gt;0,"Win", "Lose")</f>
        <v>Win</v>
      </c>
    </row>
    <row r="315" spans="1:14" x14ac:dyDescent="0.25">
      <c r="A315">
        <v>314</v>
      </c>
      <c r="B315" t="s">
        <v>5</v>
      </c>
      <c r="C315" t="s">
        <v>112</v>
      </c>
      <c r="D315">
        <v>3</v>
      </c>
      <c r="E315">
        <v>2021</v>
      </c>
      <c r="F315" s="2">
        <f>DATE(Table1[[#This Row],[Tahun]],Table1[[#This Row],[Bulan]],1)</f>
        <v>44256</v>
      </c>
      <c r="G315">
        <v>318</v>
      </c>
      <c r="H315">
        <v>321</v>
      </c>
      <c r="I315" s="6">
        <f>(Table1[[#This Row],[Aktual]]-Table1[[#This Row],[Target]])</f>
        <v>-3</v>
      </c>
      <c r="J315" s="3">
        <f>(Table1[[#This Row],[Aktual]]-Table1[[#This Row],[Target]])/Table1[[#This Row],[Target]]</f>
        <v>-9.3457943925233638E-3</v>
      </c>
      <c r="K315" t="str">
        <f>IF(Table1[[#This Row],[Performance Gap (%)]]&lt;0,"Tidak mencapai target", IF(Table1[[#This Row],[Performance Gap (%)]]=0,"Mencapai target", "Melebihi Target"))</f>
        <v>Tidak mencapai target</v>
      </c>
      <c r="L315">
        <f>VLOOKUP(Table1[[#This Row],[Propinsi]]&amp;"_"&amp;Table1[[#This Row],[Dati 2]]&amp;"_"&amp;Table1[[#This Row],[Tanggal]],Table2[[#All],[Kompetitor area]:[Jumlah Kompetitor]],7,0)</f>
        <v>42</v>
      </c>
      <c r="M315">
        <f>Table1[[#This Row],[Aktual]]-Table1[[#This Row],[Jumlah Kompetitor]]</f>
        <v>276</v>
      </c>
      <c r="N315" t="str">
        <f>IF(Table1[[#This Row],[vs Kompetitor]]&gt;0,"Win", "Lose")</f>
        <v>Win</v>
      </c>
    </row>
    <row r="316" spans="1:14" x14ac:dyDescent="0.25">
      <c r="A316">
        <v>315</v>
      </c>
      <c r="B316" t="s">
        <v>5</v>
      </c>
      <c r="C316" t="s">
        <v>113</v>
      </c>
      <c r="D316">
        <v>3</v>
      </c>
      <c r="E316">
        <v>2021</v>
      </c>
      <c r="F316" s="2">
        <f>DATE(Table1[[#This Row],[Tahun]],Table1[[#This Row],[Bulan]],1)</f>
        <v>44256</v>
      </c>
      <c r="G316">
        <v>833</v>
      </c>
      <c r="H316">
        <v>733</v>
      </c>
      <c r="I316" s="6">
        <f>(Table1[[#This Row],[Aktual]]-Table1[[#This Row],[Target]])</f>
        <v>100</v>
      </c>
      <c r="J316" s="3">
        <f>(Table1[[#This Row],[Aktual]]-Table1[[#This Row],[Target]])/Table1[[#This Row],[Target]]</f>
        <v>0.13642564802182811</v>
      </c>
      <c r="K316" t="str">
        <f>IF(Table1[[#This Row],[Performance Gap (%)]]&lt;0,"Tidak mencapai target", IF(Table1[[#This Row],[Performance Gap (%)]]=0,"Mencapai target", "Melebihi Target"))</f>
        <v>Melebihi Target</v>
      </c>
      <c r="L316">
        <f>VLOOKUP(Table1[[#This Row],[Propinsi]]&amp;"_"&amp;Table1[[#This Row],[Dati 2]]&amp;"_"&amp;Table1[[#This Row],[Tanggal]],Table2[[#All],[Kompetitor area]:[Jumlah Kompetitor]],7,0)</f>
        <v>8</v>
      </c>
      <c r="M316">
        <f>Table1[[#This Row],[Aktual]]-Table1[[#This Row],[Jumlah Kompetitor]]</f>
        <v>825</v>
      </c>
      <c r="N316" t="str">
        <f>IF(Table1[[#This Row],[vs Kompetitor]]&gt;0,"Win", "Lose")</f>
        <v>Win</v>
      </c>
    </row>
    <row r="317" spans="1:14" x14ac:dyDescent="0.25">
      <c r="A317">
        <v>316</v>
      </c>
      <c r="B317" t="s">
        <v>5</v>
      </c>
      <c r="C317" t="s">
        <v>114</v>
      </c>
      <c r="D317">
        <v>3</v>
      </c>
      <c r="E317">
        <v>2021</v>
      </c>
      <c r="F317" s="2">
        <f>DATE(Table1[[#This Row],[Tahun]],Table1[[#This Row],[Bulan]],1)</f>
        <v>44256</v>
      </c>
      <c r="G317">
        <v>521</v>
      </c>
      <c r="H317">
        <v>572</v>
      </c>
      <c r="I317" s="6">
        <f>(Table1[[#This Row],[Aktual]]-Table1[[#This Row],[Target]])</f>
        <v>-51</v>
      </c>
      <c r="J317" s="3">
        <f>(Table1[[#This Row],[Aktual]]-Table1[[#This Row],[Target]])/Table1[[#This Row],[Target]]</f>
        <v>-8.9160839160839167E-2</v>
      </c>
      <c r="K317" t="str">
        <f>IF(Table1[[#This Row],[Performance Gap (%)]]&lt;0,"Tidak mencapai target", IF(Table1[[#This Row],[Performance Gap (%)]]=0,"Mencapai target", "Melebihi Target"))</f>
        <v>Tidak mencapai target</v>
      </c>
      <c r="L317">
        <f>VLOOKUP(Table1[[#This Row],[Propinsi]]&amp;"_"&amp;Table1[[#This Row],[Dati 2]]&amp;"_"&amp;Table1[[#This Row],[Tanggal]],Table2[[#All],[Kompetitor area]:[Jumlah Kompetitor]],7,0)</f>
        <v>32</v>
      </c>
      <c r="M317">
        <f>Table1[[#This Row],[Aktual]]-Table1[[#This Row],[Jumlah Kompetitor]]</f>
        <v>489</v>
      </c>
      <c r="N317" t="str">
        <f>IF(Table1[[#This Row],[vs Kompetitor]]&gt;0,"Win", "Lose")</f>
        <v>Win</v>
      </c>
    </row>
    <row r="318" spans="1:14" x14ac:dyDescent="0.25">
      <c r="A318">
        <v>317</v>
      </c>
      <c r="B318" t="s">
        <v>5</v>
      </c>
      <c r="C318" t="s">
        <v>115</v>
      </c>
      <c r="D318">
        <v>3</v>
      </c>
      <c r="E318">
        <v>2021</v>
      </c>
      <c r="F318" s="2">
        <f>DATE(Table1[[#This Row],[Tahun]],Table1[[#This Row],[Bulan]],1)</f>
        <v>44256</v>
      </c>
      <c r="G318">
        <v>486</v>
      </c>
      <c r="H318">
        <v>517</v>
      </c>
      <c r="I318" s="6">
        <f>(Table1[[#This Row],[Aktual]]-Table1[[#This Row],[Target]])</f>
        <v>-31</v>
      </c>
      <c r="J318" s="3">
        <f>(Table1[[#This Row],[Aktual]]-Table1[[#This Row],[Target]])/Table1[[#This Row],[Target]]</f>
        <v>-5.9961315280464215E-2</v>
      </c>
      <c r="K318" t="str">
        <f>IF(Table1[[#This Row],[Performance Gap (%)]]&lt;0,"Tidak mencapai target", IF(Table1[[#This Row],[Performance Gap (%)]]=0,"Mencapai target", "Melebihi Target"))</f>
        <v>Tidak mencapai target</v>
      </c>
      <c r="L318">
        <f>VLOOKUP(Table1[[#This Row],[Propinsi]]&amp;"_"&amp;Table1[[#This Row],[Dati 2]]&amp;"_"&amp;Table1[[#This Row],[Tanggal]],Table2[[#All],[Kompetitor area]:[Jumlah Kompetitor]],7,0)</f>
        <v>23</v>
      </c>
      <c r="M318">
        <f>Table1[[#This Row],[Aktual]]-Table1[[#This Row],[Jumlah Kompetitor]]</f>
        <v>463</v>
      </c>
      <c r="N318" t="str">
        <f>IF(Table1[[#This Row],[vs Kompetitor]]&gt;0,"Win", "Lose")</f>
        <v>Win</v>
      </c>
    </row>
    <row r="319" spans="1:14" x14ac:dyDescent="0.25">
      <c r="A319">
        <v>318</v>
      </c>
      <c r="B319" t="s">
        <v>5</v>
      </c>
      <c r="C319" t="s">
        <v>116</v>
      </c>
      <c r="D319">
        <v>3</v>
      </c>
      <c r="E319">
        <v>2021</v>
      </c>
      <c r="F319" s="2">
        <f>DATE(Table1[[#This Row],[Tahun]],Table1[[#This Row],[Bulan]],1)</f>
        <v>44256</v>
      </c>
      <c r="G319">
        <v>989</v>
      </c>
      <c r="H319">
        <v>856</v>
      </c>
      <c r="I319" s="6">
        <f>(Table1[[#This Row],[Aktual]]-Table1[[#This Row],[Target]])</f>
        <v>133</v>
      </c>
      <c r="J319" s="3">
        <f>(Table1[[#This Row],[Aktual]]-Table1[[#This Row],[Target]])/Table1[[#This Row],[Target]]</f>
        <v>0.15537383177570094</v>
      </c>
      <c r="K319" t="str">
        <f>IF(Table1[[#This Row],[Performance Gap (%)]]&lt;0,"Tidak mencapai target", IF(Table1[[#This Row],[Performance Gap (%)]]=0,"Mencapai target", "Melebihi Target"))</f>
        <v>Melebihi Target</v>
      </c>
      <c r="L319">
        <f>VLOOKUP(Table1[[#This Row],[Propinsi]]&amp;"_"&amp;Table1[[#This Row],[Dati 2]]&amp;"_"&amp;Table1[[#This Row],[Tanggal]],Table2[[#All],[Kompetitor area]:[Jumlah Kompetitor]],7,0)</f>
        <v>44</v>
      </c>
      <c r="M319">
        <f>Table1[[#This Row],[Aktual]]-Table1[[#This Row],[Jumlah Kompetitor]]</f>
        <v>945</v>
      </c>
      <c r="N319" t="str">
        <f>IF(Table1[[#This Row],[vs Kompetitor]]&gt;0,"Win", "Lose")</f>
        <v>Win</v>
      </c>
    </row>
    <row r="320" spans="1:14" x14ac:dyDescent="0.25">
      <c r="A320">
        <v>319</v>
      </c>
      <c r="B320" t="s">
        <v>5</v>
      </c>
      <c r="C320" t="s">
        <v>117</v>
      </c>
      <c r="D320">
        <v>3</v>
      </c>
      <c r="E320">
        <v>2021</v>
      </c>
      <c r="F320" s="2">
        <f>DATE(Table1[[#This Row],[Tahun]],Table1[[#This Row],[Bulan]],1)</f>
        <v>44256</v>
      </c>
      <c r="G320">
        <v>1132</v>
      </c>
      <c r="H320">
        <v>1065</v>
      </c>
      <c r="I320" s="6">
        <f>(Table1[[#This Row],[Aktual]]-Table1[[#This Row],[Target]])</f>
        <v>67</v>
      </c>
      <c r="J320" s="3">
        <f>(Table1[[#This Row],[Aktual]]-Table1[[#This Row],[Target]])/Table1[[#This Row],[Target]]</f>
        <v>6.2910798122065723E-2</v>
      </c>
      <c r="K320" t="str">
        <f>IF(Table1[[#This Row],[Performance Gap (%)]]&lt;0,"Tidak mencapai target", IF(Table1[[#This Row],[Performance Gap (%)]]=0,"Mencapai target", "Melebihi Target"))</f>
        <v>Melebihi Target</v>
      </c>
      <c r="L320">
        <f>VLOOKUP(Table1[[#This Row],[Propinsi]]&amp;"_"&amp;Table1[[#This Row],[Dati 2]]&amp;"_"&amp;Table1[[#This Row],[Tanggal]],Table2[[#All],[Kompetitor area]:[Jumlah Kompetitor]],7,0)</f>
        <v>20</v>
      </c>
      <c r="M320">
        <f>Table1[[#This Row],[Aktual]]-Table1[[#This Row],[Jumlah Kompetitor]]</f>
        <v>1112</v>
      </c>
      <c r="N320" t="str">
        <f>IF(Table1[[#This Row],[vs Kompetitor]]&gt;0,"Win", "Lose")</f>
        <v>Win</v>
      </c>
    </row>
    <row r="321" spans="1:14" x14ac:dyDescent="0.25">
      <c r="A321">
        <v>320</v>
      </c>
      <c r="B321" t="s">
        <v>5</v>
      </c>
      <c r="C321" t="s">
        <v>118</v>
      </c>
      <c r="D321">
        <v>3</v>
      </c>
      <c r="E321">
        <v>2021</v>
      </c>
      <c r="F321" s="2">
        <f>DATE(Table1[[#This Row],[Tahun]],Table1[[#This Row],[Bulan]],1)</f>
        <v>44256</v>
      </c>
      <c r="G321">
        <v>759</v>
      </c>
      <c r="H321">
        <v>677</v>
      </c>
      <c r="I321" s="6">
        <f>(Table1[[#This Row],[Aktual]]-Table1[[#This Row],[Target]])</f>
        <v>82</v>
      </c>
      <c r="J321" s="3">
        <f>(Table1[[#This Row],[Aktual]]-Table1[[#This Row],[Target]])/Table1[[#This Row],[Target]]</f>
        <v>0.12112259970457903</v>
      </c>
      <c r="K321" t="str">
        <f>IF(Table1[[#This Row],[Performance Gap (%)]]&lt;0,"Tidak mencapai target", IF(Table1[[#This Row],[Performance Gap (%)]]=0,"Mencapai target", "Melebihi Target"))</f>
        <v>Melebihi Target</v>
      </c>
      <c r="L321">
        <f>VLOOKUP(Table1[[#This Row],[Propinsi]]&amp;"_"&amp;Table1[[#This Row],[Dati 2]]&amp;"_"&amp;Table1[[#This Row],[Tanggal]],Table2[[#All],[Kompetitor area]:[Jumlah Kompetitor]],7,0)</f>
        <v>129</v>
      </c>
      <c r="M321">
        <f>Table1[[#This Row],[Aktual]]-Table1[[#This Row],[Jumlah Kompetitor]]</f>
        <v>630</v>
      </c>
      <c r="N321" t="str">
        <f>IF(Table1[[#This Row],[vs Kompetitor]]&gt;0,"Win", "Lose")</f>
        <v>Win</v>
      </c>
    </row>
    <row r="322" spans="1:14" x14ac:dyDescent="0.25">
      <c r="A322">
        <v>321</v>
      </c>
      <c r="B322" t="s">
        <v>5</v>
      </c>
      <c r="C322" t="s">
        <v>119</v>
      </c>
      <c r="D322">
        <v>3</v>
      </c>
      <c r="E322">
        <v>2021</v>
      </c>
      <c r="F322" s="2">
        <f>DATE(Table1[[#This Row],[Tahun]],Table1[[#This Row],[Bulan]],1)</f>
        <v>44256</v>
      </c>
      <c r="G322">
        <v>831</v>
      </c>
      <c r="H322">
        <v>792</v>
      </c>
      <c r="I322" s="6">
        <f>(Table1[[#This Row],[Aktual]]-Table1[[#This Row],[Target]])</f>
        <v>39</v>
      </c>
      <c r="J322" s="3">
        <f>(Table1[[#This Row],[Aktual]]-Table1[[#This Row],[Target]])/Table1[[#This Row],[Target]]</f>
        <v>4.924242424242424E-2</v>
      </c>
      <c r="K322" t="str">
        <f>IF(Table1[[#This Row],[Performance Gap (%)]]&lt;0,"Tidak mencapai target", IF(Table1[[#This Row],[Performance Gap (%)]]=0,"Mencapai target", "Melebihi Target"))</f>
        <v>Melebihi Target</v>
      </c>
      <c r="L322">
        <f>VLOOKUP(Table1[[#This Row],[Propinsi]]&amp;"_"&amp;Table1[[#This Row],[Dati 2]]&amp;"_"&amp;Table1[[#This Row],[Tanggal]],Table2[[#All],[Kompetitor area]:[Jumlah Kompetitor]],7,0)</f>
        <v>91</v>
      </c>
      <c r="M322">
        <f>Table1[[#This Row],[Aktual]]-Table1[[#This Row],[Jumlah Kompetitor]]</f>
        <v>740</v>
      </c>
      <c r="N322" t="str">
        <f>IF(Table1[[#This Row],[vs Kompetitor]]&gt;0,"Win", "Lose")</f>
        <v>Win</v>
      </c>
    </row>
    <row r="323" spans="1:14" x14ac:dyDescent="0.25">
      <c r="A323">
        <v>322</v>
      </c>
      <c r="B323" t="s">
        <v>5</v>
      </c>
      <c r="C323" t="s">
        <v>120</v>
      </c>
      <c r="D323">
        <v>3</v>
      </c>
      <c r="E323">
        <v>2021</v>
      </c>
      <c r="F323" s="2">
        <f>DATE(Table1[[#This Row],[Tahun]],Table1[[#This Row],[Bulan]],1)</f>
        <v>44256</v>
      </c>
      <c r="G323">
        <v>837</v>
      </c>
      <c r="H323">
        <v>680</v>
      </c>
      <c r="I323" s="6">
        <f>(Table1[[#This Row],[Aktual]]-Table1[[#This Row],[Target]])</f>
        <v>157</v>
      </c>
      <c r="J323" s="3">
        <f>(Table1[[#This Row],[Aktual]]-Table1[[#This Row],[Target]])/Table1[[#This Row],[Target]]</f>
        <v>0.23088235294117648</v>
      </c>
      <c r="K323" t="str">
        <f>IF(Table1[[#This Row],[Performance Gap (%)]]&lt;0,"Tidak mencapai target", IF(Table1[[#This Row],[Performance Gap (%)]]=0,"Mencapai target", "Melebihi Target"))</f>
        <v>Melebihi Target</v>
      </c>
      <c r="L323">
        <f>VLOOKUP(Table1[[#This Row],[Propinsi]]&amp;"_"&amp;Table1[[#This Row],[Dati 2]]&amp;"_"&amp;Table1[[#This Row],[Tanggal]],Table2[[#All],[Kompetitor area]:[Jumlah Kompetitor]],7,0)</f>
        <v>50</v>
      </c>
      <c r="M323">
        <f>Table1[[#This Row],[Aktual]]-Table1[[#This Row],[Jumlah Kompetitor]]</f>
        <v>787</v>
      </c>
      <c r="N323" t="str">
        <f>IF(Table1[[#This Row],[vs Kompetitor]]&gt;0,"Win", "Lose")</f>
        <v>Win</v>
      </c>
    </row>
    <row r="324" spans="1:14" x14ac:dyDescent="0.25">
      <c r="A324">
        <v>323</v>
      </c>
      <c r="B324" t="s">
        <v>5</v>
      </c>
      <c r="C324" t="s">
        <v>121</v>
      </c>
      <c r="D324">
        <v>3</v>
      </c>
      <c r="E324">
        <v>2021</v>
      </c>
      <c r="F324" s="2">
        <f>DATE(Table1[[#This Row],[Tahun]],Table1[[#This Row],[Bulan]],1)</f>
        <v>44256</v>
      </c>
      <c r="G324">
        <v>1020</v>
      </c>
      <c r="H324">
        <v>936</v>
      </c>
      <c r="I324" s="6">
        <f>(Table1[[#This Row],[Aktual]]-Table1[[#This Row],[Target]])</f>
        <v>84</v>
      </c>
      <c r="J324" s="3">
        <f>(Table1[[#This Row],[Aktual]]-Table1[[#This Row],[Target]])/Table1[[#This Row],[Target]]</f>
        <v>8.9743589743589744E-2</v>
      </c>
      <c r="K324" t="str">
        <f>IF(Table1[[#This Row],[Performance Gap (%)]]&lt;0,"Tidak mencapai target", IF(Table1[[#This Row],[Performance Gap (%)]]=0,"Mencapai target", "Melebihi Target"))</f>
        <v>Melebihi Target</v>
      </c>
      <c r="L324">
        <f>VLOOKUP(Table1[[#This Row],[Propinsi]]&amp;"_"&amp;Table1[[#This Row],[Dati 2]]&amp;"_"&amp;Table1[[#This Row],[Tanggal]],Table2[[#All],[Kompetitor area]:[Jumlah Kompetitor]],7,0)</f>
        <v>843</v>
      </c>
      <c r="M324">
        <f>Table1[[#This Row],[Aktual]]-Table1[[#This Row],[Jumlah Kompetitor]]</f>
        <v>177</v>
      </c>
      <c r="N324" t="str">
        <f>IF(Table1[[#This Row],[vs Kompetitor]]&gt;0,"Win", "Lose")</f>
        <v>Win</v>
      </c>
    </row>
    <row r="325" spans="1:14" x14ac:dyDescent="0.25">
      <c r="A325">
        <v>324</v>
      </c>
      <c r="B325" t="s">
        <v>5</v>
      </c>
      <c r="C325" t="s">
        <v>122</v>
      </c>
      <c r="D325">
        <v>3</v>
      </c>
      <c r="E325">
        <v>2021</v>
      </c>
      <c r="F325" s="2">
        <f>DATE(Table1[[#This Row],[Tahun]],Table1[[#This Row],[Bulan]],1)</f>
        <v>44256</v>
      </c>
      <c r="G325">
        <v>564</v>
      </c>
      <c r="H325">
        <v>508</v>
      </c>
      <c r="I325" s="6">
        <f>(Table1[[#This Row],[Aktual]]-Table1[[#This Row],[Target]])</f>
        <v>56</v>
      </c>
      <c r="J325" s="3">
        <f>(Table1[[#This Row],[Aktual]]-Table1[[#This Row],[Target]])/Table1[[#This Row],[Target]]</f>
        <v>0.11023622047244094</v>
      </c>
      <c r="K325" t="str">
        <f>IF(Table1[[#This Row],[Performance Gap (%)]]&lt;0,"Tidak mencapai target", IF(Table1[[#This Row],[Performance Gap (%)]]=0,"Mencapai target", "Melebihi Target"))</f>
        <v>Melebihi Target</v>
      </c>
      <c r="L325">
        <f>VLOOKUP(Table1[[#This Row],[Propinsi]]&amp;"_"&amp;Table1[[#This Row],[Dati 2]]&amp;"_"&amp;Table1[[#This Row],[Tanggal]],Table2[[#All],[Kompetitor area]:[Jumlah Kompetitor]],7,0)</f>
        <v>477</v>
      </c>
      <c r="M325">
        <f>Table1[[#This Row],[Aktual]]-Table1[[#This Row],[Jumlah Kompetitor]]</f>
        <v>87</v>
      </c>
      <c r="N325" t="str">
        <f>IF(Table1[[#This Row],[vs Kompetitor]]&gt;0,"Win", "Lose")</f>
        <v>Win</v>
      </c>
    </row>
    <row r="326" spans="1:14" x14ac:dyDescent="0.25">
      <c r="A326">
        <v>325</v>
      </c>
      <c r="B326" t="s">
        <v>5</v>
      </c>
      <c r="C326" t="s">
        <v>123</v>
      </c>
      <c r="D326">
        <v>3</v>
      </c>
      <c r="E326">
        <v>2021</v>
      </c>
      <c r="F326" s="2">
        <f>DATE(Table1[[#This Row],[Tahun]],Table1[[#This Row],[Bulan]],1)</f>
        <v>44256</v>
      </c>
      <c r="G326">
        <v>564</v>
      </c>
      <c r="H326">
        <v>502</v>
      </c>
      <c r="I326" s="6">
        <f>(Table1[[#This Row],[Aktual]]-Table1[[#This Row],[Target]])</f>
        <v>62</v>
      </c>
      <c r="J326" s="3">
        <f>(Table1[[#This Row],[Aktual]]-Table1[[#This Row],[Target]])/Table1[[#This Row],[Target]]</f>
        <v>0.12350597609561753</v>
      </c>
      <c r="K326" t="str">
        <f>IF(Table1[[#This Row],[Performance Gap (%)]]&lt;0,"Tidak mencapai target", IF(Table1[[#This Row],[Performance Gap (%)]]=0,"Mencapai target", "Melebihi Target"))</f>
        <v>Melebihi Target</v>
      </c>
      <c r="L326">
        <f>VLOOKUP(Table1[[#This Row],[Propinsi]]&amp;"_"&amp;Table1[[#This Row],[Dati 2]]&amp;"_"&amp;Table1[[#This Row],[Tanggal]],Table2[[#All],[Kompetitor area]:[Jumlah Kompetitor]],7,0)</f>
        <v>502</v>
      </c>
      <c r="M326">
        <f>Table1[[#This Row],[Aktual]]-Table1[[#This Row],[Jumlah Kompetitor]]</f>
        <v>62</v>
      </c>
      <c r="N326" t="str">
        <f>IF(Table1[[#This Row],[vs Kompetitor]]&gt;0,"Win", "Lose")</f>
        <v>Win</v>
      </c>
    </row>
    <row r="327" spans="1:14" x14ac:dyDescent="0.25">
      <c r="A327">
        <v>326</v>
      </c>
      <c r="B327" t="s">
        <v>5</v>
      </c>
      <c r="C327" t="s">
        <v>124</v>
      </c>
      <c r="D327">
        <v>3</v>
      </c>
      <c r="E327">
        <v>2021</v>
      </c>
      <c r="F327" s="2">
        <f>DATE(Table1[[#This Row],[Tahun]],Table1[[#This Row],[Bulan]],1)</f>
        <v>44256</v>
      </c>
      <c r="G327">
        <v>700</v>
      </c>
      <c r="H327">
        <v>581</v>
      </c>
      <c r="I327" s="6">
        <f>(Table1[[#This Row],[Aktual]]-Table1[[#This Row],[Target]])</f>
        <v>119</v>
      </c>
      <c r="J327" s="3">
        <f>(Table1[[#This Row],[Aktual]]-Table1[[#This Row],[Target]])/Table1[[#This Row],[Target]]</f>
        <v>0.20481927710843373</v>
      </c>
      <c r="K327" t="str">
        <f>IF(Table1[[#This Row],[Performance Gap (%)]]&lt;0,"Tidak mencapai target", IF(Table1[[#This Row],[Performance Gap (%)]]=0,"Mencapai target", "Melebihi Target"))</f>
        <v>Melebihi Target</v>
      </c>
      <c r="L327">
        <f>VLOOKUP(Table1[[#This Row],[Propinsi]]&amp;"_"&amp;Table1[[#This Row],[Dati 2]]&amp;"_"&amp;Table1[[#This Row],[Tanggal]],Table2[[#All],[Kompetitor area]:[Jumlah Kompetitor]],7,0)</f>
        <v>581</v>
      </c>
      <c r="M327">
        <f>Table1[[#This Row],[Aktual]]-Table1[[#This Row],[Jumlah Kompetitor]]</f>
        <v>119</v>
      </c>
      <c r="N327" t="str">
        <f>IF(Table1[[#This Row],[vs Kompetitor]]&gt;0,"Win", "Lose")</f>
        <v>Win</v>
      </c>
    </row>
    <row r="328" spans="1:14" x14ac:dyDescent="0.25">
      <c r="A328">
        <v>327</v>
      </c>
      <c r="B328" t="s">
        <v>5</v>
      </c>
      <c r="C328" t="s">
        <v>125</v>
      </c>
      <c r="D328">
        <v>3</v>
      </c>
      <c r="E328">
        <v>2021</v>
      </c>
      <c r="F328" s="2">
        <f>DATE(Table1[[#This Row],[Tahun]],Table1[[#This Row],[Bulan]],1)</f>
        <v>44256</v>
      </c>
      <c r="G328">
        <v>434</v>
      </c>
      <c r="H328">
        <v>430</v>
      </c>
      <c r="I328" s="6">
        <f>(Table1[[#This Row],[Aktual]]-Table1[[#This Row],[Target]])</f>
        <v>4</v>
      </c>
      <c r="J328" s="3">
        <f>(Table1[[#This Row],[Aktual]]-Table1[[#This Row],[Target]])/Table1[[#This Row],[Target]]</f>
        <v>9.3023255813953487E-3</v>
      </c>
      <c r="K328" t="str">
        <f>IF(Table1[[#This Row],[Performance Gap (%)]]&lt;0,"Tidak mencapai target", IF(Table1[[#This Row],[Performance Gap (%)]]=0,"Mencapai target", "Melebihi Target"))</f>
        <v>Melebihi Target</v>
      </c>
      <c r="L328">
        <f>VLOOKUP(Table1[[#This Row],[Propinsi]]&amp;"_"&amp;Table1[[#This Row],[Dati 2]]&amp;"_"&amp;Table1[[#This Row],[Tanggal]],Table2[[#All],[Kompetitor area]:[Jumlah Kompetitor]],7,0)</f>
        <v>396</v>
      </c>
      <c r="M328">
        <f>Table1[[#This Row],[Aktual]]-Table1[[#This Row],[Jumlah Kompetitor]]</f>
        <v>38</v>
      </c>
      <c r="N328" t="str">
        <f>IF(Table1[[#This Row],[vs Kompetitor]]&gt;0,"Win", "Lose")</f>
        <v>Win</v>
      </c>
    </row>
    <row r="329" spans="1:14" x14ac:dyDescent="0.25">
      <c r="A329">
        <v>328</v>
      </c>
      <c r="B329" t="s">
        <v>7</v>
      </c>
      <c r="C329" t="s">
        <v>126</v>
      </c>
      <c r="D329">
        <v>3</v>
      </c>
      <c r="E329">
        <v>2021</v>
      </c>
      <c r="F329" s="2">
        <f>DATE(Table1[[#This Row],[Tahun]],Table1[[#This Row],[Bulan]],1)</f>
        <v>44256</v>
      </c>
      <c r="G329">
        <v>906</v>
      </c>
      <c r="H329">
        <v>939</v>
      </c>
      <c r="I329" s="6">
        <f>(Table1[[#This Row],[Aktual]]-Table1[[#This Row],[Target]])</f>
        <v>-33</v>
      </c>
      <c r="J329" s="3">
        <f>(Table1[[#This Row],[Aktual]]-Table1[[#This Row],[Target]])/Table1[[#This Row],[Target]]</f>
        <v>-3.5143769968051117E-2</v>
      </c>
      <c r="K329" t="str">
        <f>IF(Table1[[#This Row],[Performance Gap (%)]]&lt;0,"Tidak mencapai target", IF(Table1[[#This Row],[Performance Gap (%)]]=0,"Mencapai target", "Melebihi Target"))</f>
        <v>Tidak mencapai target</v>
      </c>
      <c r="L329">
        <f>VLOOKUP(Table1[[#This Row],[Propinsi]]&amp;"_"&amp;Table1[[#This Row],[Dati 2]]&amp;"_"&amp;Table1[[#This Row],[Tanggal]],Table2[[#All],[Kompetitor area]:[Jumlah Kompetitor]],7,0)</f>
        <v>942</v>
      </c>
      <c r="M329">
        <f>Table1[[#This Row],[Aktual]]-Table1[[#This Row],[Jumlah Kompetitor]]</f>
        <v>-36</v>
      </c>
      <c r="N329" t="str">
        <f>IF(Table1[[#This Row],[vs Kompetitor]]&gt;0,"Win", "Lose")</f>
        <v>Lose</v>
      </c>
    </row>
    <row r="330" spans="1:14" x14ac:dyDescent="0.25">
      <c r="A330">
        <v>329</v>
      </c>
      <c r="B330" t="s">
        <v>7</v>
      </c>
      <c r="C330" t="s">
        <v>127</v>
      </c>
      <c r="D330">
        <v>3</v>
      </c>
      <c r="E330">
        <v>2021</v>
      </c>
      <c r="F330" s="2">
        <f>DATE(Table1[[#This Row],[Tahun]],Table1[[#This Row],[Bulan]],1)</f>
        <v>44256</v>
      </c>
      <c r="G330">
        <v>692</v>
      </c>
      <c r="H330">
        <v>618</v>
      </c>
      <c r="I330" s="6">
        <f>(Table1[[#This Row],[Aktual]]-Table1[[#This Row],[Target]])</f>
        <v>74</v>
      </c>
      <c r="J330" s="3">
        <f>(Table1[[#This Row],[Aktual]]-Table1[[#This Row],[Target]])/Table1[[#This Row],[Target]]</f>
        <v>0.11974110032362459</v>
      </c>
      <c r="K330" t="str">
        <f>IF(Table1[[#This Row],[Performance Gap (%)]]&lt;0,"Tidak mencapai target", IF(Table1[[#This Row],[Performance Gap (%)]]=0,"Mencapai target", "Melebihi Target"))</f>
        <v>Melebihi Target</v>
      </c>
      <c r="L330">
        <f>VLOOKUP(Table1[[#This Row],[Propinsi]]&amp;"_"&amp;Table1[[#This Row],[Dati 2]]&amp;"_"&amp;Table1[[#This Row],[Tanggal]],Table2[[#All],[Kompetitor area]:[Jumlah Kompetitor]],7,0)</f>
        <v>602</v>
      </c>
      <c r="M330">
        <f>Table1[[#This Row],[Aktual]]-Table1[[#This Row],[Jumlah Kompetitor]]</f>
        <v>90</v>
      </c>
      <c r="N330" t="str">
        <f>IF(Table1[[#This Row],[vs Kompetitor]]&gt;0,"Win", "Lose")</f>
        <v>Win</v>
      </c>
    </row>
    <row r="331" spans="1:14" x14ac:dyDescent="0.25">
      <c r="A331">
        <v>330</v>
      </c>
      <c r="B331" t="s">
        <v>7</v>
      </c>
      <c r="C331" t="s">
        <v>128</v>
      </c>
      <c r="D331">
        <v>3</v>
      </c>
      <c r="E331">
        <v>2021</v>
      </c>
      <c r="F331" s="2">
        <f>DATE(Table1[[#This Row],[Tahun]],Table1[[#This Row],[Bulan]],1)</f>
        <v>44256</v>
      </c>
      <c r="G331">
        <v>431</v>
      </c>
      <c r="H331">
        <v>434</v>
      </c>
      <c r="I331" s="6">
        <f>(Table1[[#This Row],[Aktual]]-Table1[[#This Row],[Target]])</f>
        <v>-3</v>
      </c>
      <c r="J331" s="3">
        <f>(Table1[[#This Row],[Aktual]]-Table1[[#This Row],[Target]])/Table1[[#This Row],[Target]]</f>
        <v>-6.9124423963133645E-3</v>
      </c>
      <c r="K331" t="str">
        <f>IF(Table1[[#This Row],[Performance Gap (%)]]&lt;0,"Tidak mencapai target", IF(Table1[[#This Row],[Performance Gap (%)]]=0,"Mencapai target", "Melebihi Target"))</f>
        <v>Tidak mencapai target</v>
      </c>
      <c r="L331">
        <f>VLOOKUP(Table1[[#This Row],[Propinsi]]&amp;"_"&amp;Table1[[#This Row],[Dati 2]]&amp;"_"&amp;Table1[[#This Row],[Tanggal]],Table2[[#All],[Kompetitor area]:[Jumlah Kompetitor]],7,0)</f>
        <v>426</v>
      </c>
      <c r="M331">
        <f>Table1[[#This Row],[Aktual]]-Table1[[#This Row],[Jumlah Kompetitor]]</f>
        <v>5</v>
      </c>
      <c r="N331" t="str">
        <f>IF(Table1[[#This Row],[vs Kompetitor]]&gt;0,"Win", "Lose")</f>
        <v>Win</v>
      </c>
    </row>
    <row r="332" spans="1:14" x14ac:dyDescent="0.25">
      <c r="A332">
        <v>331</v>
      </c>
      <c r="B332" t="s">
        <v>7</v>
      </c>
      <c r="C332" t="s">
        <v>129</v>
      </c>
      <c r="D332">
        <v>3</v>
      </c>
      <c r="E332">
        <v>2021</v>
      </c>
      <c r="F332" s="2">
        <f>DATE(Table1[[#This Row],[Tahun]],Table1[[#This Row],[Bulan]],1)</f>
        <v>44256</v>
      </c>
      <c r="G332">
        <v>214</v>
      </c>
      <c r="H332">
        <v>244</v>
      </c>
      <c r="I332" s="6">
        <f>(Table1[[#This Row],[Aktual]]-Table1[[#This Row],[Target]])</f>
        <v>-30</v>
      </c>
      <c r="J332" s="3">
        <f>(Table1[[#This Row],[Aktual]]-Table1[[#This Row],[Target]])/Table1[[#This Row],[Target]]</f>
        <v>-0.12295081967213115</v>
      </c>
      <c r="K332" t="str">
        <f>IF(Table1[[#This Row],[Performance Gap (%)]]&lt;0,"Tidak mencapai target", IF(Table1[[#This Row],[Performance Gap (%)]]=0,"Mencapai target", "Melebihi Target"))</f>
        <v>Tidak mencapai target</v>
      </c>
      <c r="L332">
        <f>VLOOKUP(Table1[[#This Row],[Propinsi]]&amp;"_"&amp;Table1[[#This Row],[Dati 2]]&amp;"_"&amp;Table1[[#This Row],[Tanggal]],Table2[[#All],[Kompetitor area]:[Jumlah Kompetitor]],7,0)</f>
        <v>229</v>
      </c>
      <c r="M332">
        <f>Table1[[#This Row],[Aktual]]-Table1[[#This Row],[Jumlah Kompetitor]]</f>
        <v>-15</v>
      </c>
      <c r="N332" t="str">
        <f>IF(Table1[[#This Row],[vs Kompetitor]]&gt;0,"Win", "Lose")</f>
        <v>Lose</v>
      </c>
    </row>
    <row r="333" spans="1:14" x14ac:dyDescent="0.25">
      <c r="A333">
        <v>332</v>
      </c>
      <c r="B333" t="s">
        <v>7</v>
      </c>
      <c r="C333" t="s">
        <v>130</v>
      </c>
      <c r="D333">
        <v>3</v>
      </c>
      <c r="E333">
        <v>2021</v>
      </c>
      <c r="F333" s="2">
        <f>DATE(Table1[[#This Row],[Tahun]],Table1[[#This Row],[Bulan]],1)</f>
        <v>44256</v>
      </c>
      <c r="G333">
        <v>140</v>
      </c>
      <c r="H333">
        <v>154</v>
      </c>
      <c r="I333" s="6">
        <f>(Table1[[#This Row],[Aktual]]-Table1[[#This Row],[Target]])</f>
        <v>-14</v>
      </c>
      <c r="J333" s="3">
        <f>(Table1[[#This Row],[Aktual]]-Table1[[#This Row],[Target]])/Table1[[#This Row],[Target]]</f>
        <v>-9.0909090909090912E-2</v>
      </c>
      <c r="K333" t="str">
        <f>IF(Table1[[#This Row],[Performance Gap (%)]]&lt;0,"Tidak mencapai target", IF(Table1[[#This Row],[Performance Gap (%)]]=0,"Mencapai target", "Melebihi Target"))</f>
        <v>Tidak mencapai target</v>
      </c>
      <c r="L333">
        <f>VLOOKUP(Table1[[#This Row],[Propinsi]]&amp;"_"&amp;Table1[[#This Row],[Dati 2]]&amp;"_"&amp;Table1[[#This Row],[Tanggal]],Table2[[#All],[Kompetitor area]:[Jumlah Kompetitor]],7,0)</f>
        <v>144</v>
      </c>
      <c r="M333">
        <f>Table1[[#This Row],[Aktual]]-Table1[[#This Row],[Jumlah Kompetitor]]</f>
        <v>-4</v>
      </c>
      <c r="N333" t="str">
        <f>IF(Table1[[#This Row],[vs Kompetitor]]&gt;0,"Win", "Lose")</f>
        <v>Lose</v>
      </c>
    </row>
    <row r="334" spans="1:14" x14ac:dyDescent="0.25">
      <c r="A334">
        <v>333</v>
      </c>
      <c r="B334" t="s">
        <v>7</v>
      </c>
      <c r="C334" t="s">
        <v>131</v>
      </c>
      <c r="D334">
        <v>3</v>
      </c>
      <c r="E334">
        <v>2021</v>
      </c>
      <c r="F334" s="2">
        <f>DATE(Table1[[#This Row],[Tahun]],Table1[[#This Row],[Bulan]],1)</f>
        <v>44256</v>
      </c>
      <c r="G334">
        <v>162</v>
      </c>
      <c r="H334">
        <v>147</v>
      </c>
      <c r="I334" s="6">
        <f>(Table1[[#This Row],[Aktual]]-Table1[[#This Row],[Target]])</f>
        <v>15</v>
      </c>
      <c r="J334" s="3">
        <f>(Table1[[#This Row],[Aktual]]-Table1[[#This Row],[Target]])/Table1[[#This Row],[Target]]</f>
        <v>0.10204081632653061</v>
      </c>
      <c r="K334" t="str">
        <f>IF(Table1[[#This Row],[Performance Gap (%)]]&lt;0,"Tidak mencapai target", IF(Table1[[#This Row],[Performance Gap (%)]]=0,"Mencapai target", "Melebihi Target"))</f>
        <v>Melebihi Target</v>
      </c>
      <c r="L334">
        <f>VLOOKUP(Table1[[#This Row],[Propinsi]]&amp;"_"&amp;Table1[[#This Row],[Dati 2]]&amp;"_"&amp;Table1[[#This Row],[Tanggal]],Table2[[#All],[Kompetitor area]:[Jumlah Kompetitor]],7,0)</f>
        <v>138</v>
      </c>
      <c r="M334">
        <f>Table1[[#This Row],[Aktual]]-Table1[[#This Row],[Jumlah Kompetitor]]</f>
        <v>24</v>
      </c>
      <c r="N334" t="str">
        <f>IF(Table1[[#This Row],[vs Kompetitor]]&gt;0,"Win", "Lose")</f>
        <v>Win</v>
      </c>
    </row>
    <row r="335" spans="1:14" x14ac:dyDescent="0.25">
      <c r="A335">
        <v>334</v>
      </c>
      <c r="B335" t="s">
        <v>7</v>
      </c>
      <c r="C335" t="s">
        <v>132</v>
      </c>
      <c r="D335">
        <v>3</v>
      </c>
      <c r="E335">
        <v>2021</v>
      </c>
      <c r="F335" s="2">
        <f>DATE(Table1[[#This Row],[Tahun]],Table1[[#This Row],[Bulan]],1)</f>
        <v>44256</v>
      </c>
      <c r="G335">
        <v>194</v>
      </c>
      <c r="H335">
        <v>187</v>
      </c>
      <c r="I335" s="6">
        <f>(Table1[[#This Row],[Aktual]]-Table1[[#This Row],[Target]])</f>
        <v>7</v>
      </c>
      <c r="J335" s="3">
        <f>(Table1[[#This Row],[Aktual]]-Table1[[#This Row],[Target]])/Table1[[#This Row],[Target]]</f>
        <v>3.7433155080213901E-2</v>
      </c>
      <c r="K335" t="str">
        <f>IF(Table1[[#This Row],[Performance Gap (%)]]&lt;0,"Tidak mencapai target", IF(Table1[[#This Row],[Performance Gap (%)]]=0,"Mencapai target", "Melebihi Target"))</f>
        <v>Melebihi Target</v>
      </c>
      <c r="L335">
        <f>VLOOKUP(Table1[[#This Row],[Propinsi]]&amp;"_"&amp;Table1[[#This Row],[Dati 2]]&amp;"_"&amp;Table1[[#This Row],[Tanggal]],Table2[[#All],[Kompetitor area]:[Jumlah Kompetitor]],7,0)</f>
        <v>197</v>
      </c>
      <c r="M335">
        <f>Table1[[#This Row],[Aktual]]-Table1[[#This Row],[Jumlah Kompetitor]]</f>
        <v>-3</v>
      </c>
      <c r="N335" t="str">
        <f>IF(Table1[[#This Row],[vs Kompetitor]]&gt;0,"Win", "Lose")</f>
        <v>Lose</v>
      </c>
    </row>
    <row r="336" spans="1:14" x14ac:dyDescent="0.25">
      <c r="A336">
        <v>335</v>
      </c>
      <c r="B336" t="s">
        <v>7</v>
      </c>
      <c r="C336" t="s">
        <v>133</v>
      </c>
      <c r="D336">
        <v>3</v>
      </c>
      <c r="E336">
        <v>2021</v>
      </c>
      <c r="F336" s="2">
        <f>DATE(Table1[[#This Row],[Tahun]],Table1[[#This Row],[Bulan]],1)</f>
        <v>44256</v>
      </c>
      <c r="G336">
        <v>209</v>
      </c>
      <c r="H336">
        <v>196</v>
      </c>
      <c r="I336" s="6">
        <f>(Table1[[#This Row],[Aktual]]-Table1[[#This Row],[Target]])</f>
        <v>13</v>
      </c>
      <c r="J336" s="3">
        <f>(Table1[[#This Row],[Aktual]]-Table1[[#This Row],[Target]])/Table1[[#This Row],[Target]]</f>
        <v>6.6326530612244902E-2</v>
      </c>
      <c r="K336" t="str">
        <f>IF(Table1[[#This Row],[Performance Gap (%)]]&lt;0,"Tidak mencapai target", IF(Table1[[#This Row],[Performance Gap (%)]]=0,"Mencapai target", "Melebihi Target"))</f>
        <v>Melebihi Target</v>
      </c>
      <c r="L336">
        <f>VLOOKUP(Table1[[#This Row],[Propinsi]]&amp;"_"&amp;Table1[[#This Row],[Dati 2]]&amp;"_"&amp;Table1[[#This Row],[Tanggal]],Table2[[#All],[Kompetitor area]:[Jumlah Kompetitor]],7,0)</f>
        <v>188</v>
      </c>
      <c r="M336">
        <f>Table1[[#This Row],[Aktual]]-Table1[[#This Row],[Jumlah Kompetitor]]</f>
        <v>21</v>
      </c>
      <c r="N336" t="str">
        <f>IF(Table1[[#This Row],[vs Kompetitor]]&gt;0,"Win", "Lose")</f>
        <v>Win</v>
      </c>
    </row>
    <row r="337" spans="1:14" x14ac:dyDescent="0.25">
      <c r="A337">
        <v>336</v>
      </c>
      <c r="B337" t="s">
        <v>7</v>
      </c>
      <c r="C337" t="s">
        <v>134</v>
      </c>
      <c r="D337">
        <v>3</v>
      </c>
      <c r="E337">
        <v>2021</v>
      </c>
      <c r="F337" s="2">
        <f>DATE(Table1[[#This Row],[Tahun]],Table1[[#This Row],[Bulan]],1)</f>
        <v>44256</v>
      </c>
      <c r="G337">
        <v>100</v>
      </c>
      <c r="H337">
        <v>105</v>
      </c>
      <c r="I337" s="6">
        <f>(Table1[[#This Row],[Aktual]]-Table1[[#This Row],[Target]])</f>
        <v>-5</v>
      </c>
      <c r="J337" s="3">
        <f>(Table1[[#This Row],[Aktual]]-Table1[[#This Row],[Target]])/Table1[[#This Row],[Target]]</f>
        <v>-4.7619047619047616E-2</v>
      </c>
      <c r="K337" t="str">
        <f>IF(Table1[[#This Row],[Performance Gap (%)]]&lt;0,"Tidak mencapai target", IF(Table1[[#This Row],[Performance Gap (%)]]=0,"Mencapai target", "Melebihi Target"))</f>
        <v>Tidak mencapai target</v>
      </c>
      <c r="L337">
        <f>VLOOKUP(Table1[[#This Row],[Propinsi]]&amp;"_"&amp;Table1[[#This Row],[Dati 2]]&amp;"_"&amp;Table1[[#This Row],[Tanggal]],Table2[[#All],[Kompetitor area]:[Jumlah Kompetitor]],7,0)</f>
        <v>96</v>
      </c>
      <c r="M337">
        <f>Table1[[#This Row],[Aktual]]-Table1[[#This Row],[Jumlah Kompetitor]]</f>
        <v>4</v>
      </c>
      <c r="N337" t="str">
        <f>IF(Table1[[#This Row],[vs Kompetitor]]&gt;0,"Win", "Lose")</f>
        <v>Win</v>
      </c>
    </row>
    <row r="338" spans="1:14" x14ac:dyDescent="0.25">
      <c r="A338">
        <v>337</v>
      </c>
      <c r="B338" t="s">
        <v>7</v>
      </c>
      <c r="C338" t="s">
        <v>135</v>
      </c>
      <c r="D338">
        <v>3</v>
      </c>
      <c r="E338">
        <v>2021</v>
      </c>
      <c r="F338" s="2">
        <f>DATE(Table1[[#This Row],[Tahun]],Table1[[#This Row],[Bulan]],1)</f>
        <v>44256</v>
      </c>
      <c r="G338">
        <v>304</v>
      </c>
      <c r="H338">
        <v>292</v>
      </c>
      <c r="I338" s="6">
        <f>(Table1[[#This Row],[Aktual]]-Table1[[#This Row],[Target]])</f>
        <v>12</v>
      </c>
      <c r="J338" s="3">
        <f>(Table1[[#This Row],[Aktual]]-Table1[[#This Row],[Target]])/Table1[[#This Row],[Target]]</f>
        <v>4.1095890410958902E-2</v>
      </c>
      <c r="K338" t="str">
        <f>IF(Table1[[#This Row],[Performance Gap (%)]]&lt;0,"Tidak mencapai target", IF(Table1[[#This Row],[Performance Gap (%)]]=0,"Mencapai target", "Melebihi Target"))</f>
        <v>Melebihi Target</v>
      </c>
      <c r="L338">
        <f>VLOOKUP(Table1[[#This Row],[Propinsi]]&amp;"_"&amp;Table1[[#This Row],[Dati 2]]&amp;"_"&amp;Table1[[#This Row],[Tanggal]],Table2[[#All],[Kompetitor area]:[Jumlah Kompetitor]],7,0)</f>
        <v>279</v>
      </c>
      <c r="M338">
        <f>Table1[[#This Row],[Aktual]]-Table1[[#This Row],[Jumlah Kompetitor]]</f>
        <v>25</v>
      </c>
      <c r="N338" t="str">
        <f>IF(Table1[[#This Row],[vs Kompetitor]]&gt;0,"Win", "Lose")</f>
        <v>Win</v>
      </c>
    </row>
    <row r="339" spans="1:14" x14ac:dyDescent="0.25">
      <c r="A339">
        <v>338</v>
      </c>
      <c r="B339" t="s">
        <v>7</v>
      </c>
      <c r="C339" t="s">
        <v>136</v>
      </c>
      <c r="D339">
        <v>3</v>
      </c>
      <c r="E339">
        <v>2021</v>
      </c>
      <c r="F339" s="2">
        <f>DATE(Table1[[#This Row],[Tahun]],Table1[[#This Row],[Bulan]],1)</f>
        <v>44256</v>
      </c>
      <c r="G339">
        <v>149</v>
      </c>
      <c r="H339">
        <v>127</v>
      </c>
      <c r="I339" s="6">
        <f>(Table1[[#This Row],[Aktual]]-Table1[[#This Row],[Target]])</f>
        <v>22</v>
      </c>
      <c r="J339" s="3">
        <f>(Table1[[#This Row],[Aktual]]-Table1[[#This Row],[Target]])/Table1[[#This Row],[Target]]</f>
        <v>0.17322834645669291</v>
      </c>
      <c r="K339" t="str">
        <f>IF(Table1[[#This Row],[Performance Gap (%)]]&lt;0,"Tidak mencapai target", IF(Table1[[#This Row],[Performance Gap (%)]]=0,"Mencapai target", "Melebihi Target"))</f>
        <v>Melebihi Target</v>
      </c>
      <c r="L339">
        <f>VLOOKUP(Table1[[#This Row],[Propinsi]]&amp;"_"&amp;Table1[[#This Row],[Dati 2]]&amp;"_"&amp;Table1[[#This Row],[Tanggal]],Table2[[#All],[Kompetitor area]:[Jumlah Kompetitor]],7,0)</f>
        <v>131</v>
      </c>
      <c r="M339">
        <f>Table1[[#This Row],[Aktual]]-Table1[[#This Row],[Jumlah Kompetitor]]</f>
        <v>18</v>
      </c>
      <c r="N339" t="str">
        <f>IF(Table1[[#This Row],[vs Kompetitor]]&gt;0,"Win", "Lose")</f>
        <v>Win</v>
      </c>
    </row>
    <row r="340" spans="1:14" x14ac:dyDescent="0.25">
      <c r="A340">
        <v>339</v>
      </c>
      <c r="B340" t="s">
        <v>7</v>
      </c>
      <c r="C340" t="s">
        <v>137</v>
      </c>
      <c r="D340">
        <v>3</v>
      </c>
      <c r="E340">
        <v>2021</v>
      </c>
      <c r="F340" s="2">
        <f>DATE(Table1[[#This Row],[Tahun]],Table1[[#This Row],[Bulan]],1)</f>
        <v>44256</v>
      </c>
      <c r="G340">
        <v>100</v>
      </c>
      <c r="H340">
        <v>80</v>
      </c>
      <c r="I340" s="6">
        <f>(Table1[[#This Row],[Aktual]]-Table1[[#This Row],[Target]])</f>
        <v>20</v>
      </c>
      <c r="J340" s="3">
        <f>(Table1[[#This Row],[Aktual]]-Table1[[#This Row],[Target]])/Table1[[#This Row],[Target]]</f>
        <v>0.25</v>
      </c>
      <c r="K340" t="str">
        <f>IF(Table1[[#This Row],[Performance Gap (%)]]&lt;0,"Tidak mencapai target", IF(Table1[[#This Row],[Performance Gap (%)]]=0,"Mencapai target", "Melebihi Target"))</f>
        <v>Melebihi Target</v>
      </c>
      <c r="L340">
        <f>VLOOKUP(Table1[[#This Row],[Propinsi]]&amp;"_"&amp;Table1[[#This Row],[Dati 2]]&amp;"_"&amp;Table1[[#This Row],[Tanggal]],Table2[[#All],[Kompetitor area]:[Jumlah Kompetitor]],7,0)</f>
        <v>78</v>
      </c>
      <c r="M340">
        <f>Table1[[#This Row],[Aktual]]-Table1[[#This Row],[Jumlah Kompetitor]]</f>
        <v>22</v>
      </c>
      <c r="N340" t="str">
        <f>IF(Table1[[#This Row],[vs Kompetitor]]&gt;0,"Win", "Lose")</f>
        <v>Win</v>
      </c>
    </row>
    <row r="341" spans="1:14" x14ac:dyDescent="0.25">
      <c r="A341">
        <v>340</v>
      </c>
      <c r="B341" t="s">
        <v>7</v>
      </c>
      <c r="C341" t="s">
        <v>138</v>
      </c>
      <c r="D341">
        <v>3</v>
      </c>
      <c r="E341">
        <v>2021</v>
      </c>
      <c r="F341" s="2">
        <f>DATE(Table1[[#This Row],[Tahun]],Table1[[#This Row],[Bulan]],1)</f>
        <v>44256</v>
      </c>
      <c r="G341">
        <v>168</v>
      </c>
      <c r="H341">
        <v>162</v>
      </c>
      <c r="I341" s="6">
        <f>(Table1[[#This Row],[Aktual]]-Table1[[#This Row],[Target]])</f>
        <v>6</v>
      </c>
      <c r="J341" s="3">
        <f>(Table1[[#This Row],[Aktual]]-Table1[[#This Row],[Target]])/Table1[[#This Row],[Target]]</f>
        <v>3.7037037037037035E-2</v>
      </c>
      <c r="K341" t="str">
        <f>IF(Table1[[#This Row],[Performance Gap (%)]]&lt;0,"Tidak mencapai target", IF(Table1[[#This Row],[Performance Gap (%)]]=0,"Mencapai target", "Melebihi Target"))</f>
        <v>Melebihi Target</v>
      </c>
      <c r="L341">
        <f>VLOOKUP(Table1[[#This Row],[Propinsi]]&amp;"_"&amp;Table1[[#This Row],[Dati 2]]&amp;"_"&amp;Table1[[#This Row],[Tanggal]],Table2[[#All],[Kompetitor area]:[Jumlah Kompetitor]],7,0)</f>
        <v>170</v>
      </c>
      <c r="M341">
        <f>Table1[[#This Row],[Aktual]]-Table1[[#This Row],[Jumlah Kompetitor]]</f>
        <v>-2</v>
      </c>
      <c r="N341" t="str">
        <f>IF(Table1[[#This Row],[vs Kompetitor]]&gt;0,"Win", "Lose")</f>
        <v>Lose</v>
      </c>
    </row>
    <row r="342" spans="1:14" x14ac:dyDescent="0.25">
      <c r="A342">
        <v>341</v>
      </c>
      <c r="B342" t="s">
        <v>7</v>
      </c>
      <c r="C342" t="s">
        <v>139</v>
      </c>
      <c r="D342">
        <v>3</v>
      </c>
      <c r="E342">
        <v>2021</v>
      </c>
      <c r="F342" s="2">
        <f>DATE(Table1[[#This Row],[Tahun]],Table1[[#This Row],[Bulan]],1)</f>
        <v>44256</v>
      </c>
      <c r="G342">
        <v>238</v>
      </c>
      <c r="H342">
        <v>235</v>
      </c>
      <c r="I342" s="6">
        <f>(Table1[[#This Row],[Aktual]]-Table1[[#This Row],[Target]])</f>
        <v>3</v>
      </c>
      <c r="J342" s="3">
        <f>(Table1[[#This Row],[Aktual]]-Table1[[#This Row],[Target]])/Table1[[#This Row],[Target]]</f>
        <v>1.276595744680851E-2</v>
      </c>
      <c r="K342" t="str">
        <f>IF(Table1[[#This Row],[Performance Gap (%)]]&lt;0,"Tidak mencapai target", IF(Table1[[#This Row],[Performance Gap (%)]]=0,"Mencapai target", "Melebihi Target"))</f>
        <v>Melebihi Target</v>
      </c>
      <c r="L342">
        <f>VLOOKUP(Table1[[#This Row],[Propinsi]]&amp;"_"&amp;Table1[[#This Row],[Dati 2]]&amp;"_"&amp;Table1[[#This Row],[Tanggal]],Table2[[#All],[Kompetitor area]:[Jumlah Kompetitor]],7,0)</f>
        <v>219</v>
      </c>
      <c r="M342">
        <f>Table1[[#This Row],[Aktual]]-Table1[[#This Row],[Jumlah Kompetitor]]</f>
        <v>19</v>
      </c>
      <c r="N342" t="str">
        <f>IF(Table1[[#This Row],[vs Kompetitor]]&gt;0,"Win", "Lose")</f>
        <v>Win</v>
      </c>
    </row>
    <row r="343" spans="1:14" x14ac:dyDescent="0.25">
      <c r="A343">
        <v>342</v>
      </c>
      <c r="B343" t="s">
        <v>7</v>
      </c>
      <c r="C343" t="s">
        <v>140</v>
      </c>
      <c r="D343">
        <v>3</v>
      </c>
      <c r="E343">
        <v>2021</v>
      </c>
      <c r="F343" s="2">
        <f>DATE(Table1[[#This Row],[Tahun]],Table1[[#This Row],[Bulan]],1)</f>
        <v>44256</v>
      </c>
      <c r="G343">
        <v>197</v>
      </c>
      <c r="H343">
        <v>175</v>
      </c>
      <c r="I343" s="6">
        <f>(Table1[[#This Row],[Aktual]]-Table1[[#This Row],[Target]])</f>
        <v>22</v>
      </c>
      <c r="J343" s="3">
        <f>(Table1[[#This Row],[Aktual]]-Table1[[#This Row],[Target]])/Table1[[#This Row],[Target]]</f>
        <v>0.12571428571428572</v>
      </c>
      <c r="K343" t="str">
        <f>IF(Table1[[#This Row],[Performance Gap (%)]]&lt;0,"Tidak mencapai target", IF(Table1[[#This Row],[Performance Gap (%)]]=0,"Mencapai target", "Melebihi Target"))</f>
        <v>Melebihi Target</v>
      </c>
      <c r="L343">
        <f>VLOOKUP(Table1[[#This Row],[Propinsi]]&amp;"_"&amp;Table1[[#This Row],[Dati 2]]&amp;"_"&amp;Table1[[#This Row],[Tanggal]],Table2[[#All],[Kompetitor area]:[Jumlah Kompetitor]],7,0)</f>
        <v>176</v>
      </c>
      <c r="M343">
        <f>Table1[[#This Row],[Aktual]]-Table1[[#This Row],[Jumlah Kompetitor]]</f>
        <v>21</v>
      </c>
      <c r="N343" t="str">
        <f>IF(Table1[[#This Row],[vs Kompetitor]]&gt;0,"Win", "Lose")</f>
        <v>Win</v>
      </c>
    </row>
    <row r="344" spans="1:14" x14ac:dyDescent="0.25">
      <c r="A344">
        <v>343</v>
      </c>
      <c r="B344" t="s">
        <v>7</v>
      </c>
      <c r="C344" t="s">
        <v>141</v>
      </c>
      <c r="D344">
        <v>3</v>
      </c>
      <c r="E344">
        <v>2021</v>
      </c>
      <c r="F344" s="2">
        <f>DATE(Table1[[#This Row],[Tahun]],Table1[[#This Row],[Bulan]],1)</f>
        <v>44256</v>
      </c>
      <c r="G344">
        <v>131</v>
      </c>
      <c r="H344">
        <v>125</v>
      </c>
      <c r="I344" s="6">
        <f>(Table1[[#This Row],[Aktual]]-Table1[[#This Row],[Target]])</f>
        <v>6</v>
      </c>
      <c r="J344" s="3">
        <f>(Table1[[#This Row],[Aktual]]-Table1[[#This Row],[Target]])/Table1[[#This Row],[Target]]</f>
        <v>4.8000000000000001E-2</v>
      </c>
      <c r="K344" t="str">
        <f>IF(Table1[[#This Row],[Performance Gap (%)]]&lt;0,"Tidak mencapai target", IF(Table1[[#This Row],[Performance Gap (%)]]=0,"Mencapai target", "Melebihi Target"))</f>
        <v>Melebihi Target</v>
      </c>
      <c r="L344">
        <f>VLOOKUP(Table1[[#This Row],[Propinsi]]&amp;"_"&amp;Table1[[#This Row],[Dati 2]]&amp;"_"&amp;Table1[[#This Row],[Tanggal]],Table2[[#All],[Kompetitor area]:[Jumlah Kompetitor]],7,0)</f>
        <v>129</v>
      </c>
      <c r="M344">
        <f>Table1[[#This Row],[Aktual]]-Table1[[#This Row],[Jumlah Kompetitor]]</f>
        <v>2</v>
      </c>
      <c r="N344" t="str">
        <f>IF(Table1[[#This Row],[vs Kompetitor]]&gt;0,"Win", "Lose")</f>
        <v>Win</v>
      </c>
    </row>
    <row r="345" spans="1:14" x14ac:dyDescent="0.25">
      <c r="A345">
        <v>344</v>
      </c>
      <c r="B345" t="s">
        <v>7</v>
      </c>
      <c r="C345" t="s">
        <v>142</v>
      </c>
      <c r="D345">
        <v>3</v>
      </c>
      <c r="E345">
        <v>2021</v>
      </c>
      <c r="F345" s="2">
        <f>DATE(Table1[[#This Row],[Tahun]],Table1[[#This Row],[Bulan]],1)</f>
        <v>44256</v>
      </c>
      <c r="G345">
        <v>153</v>
      </c>
      <c r="H345">
        <v>152</v>
      </c>
      <c r="I345" s="6">
        <f>(Table1[[#This Row],[Aktual]]-Table1[[#This Row],[Target]])</f>
        <v>1</v>
      </c>
      <c r="J345" s="3">
        <f>(Table1[[#This Row],[Aktual]]-Table1[[#This Row],[Target]])/Table1[[#This Row],[Target]]</f>
        <v>6.5789473684210523E-3</v>
      </c>
      <c r="K345" t="str">
        <f>IF(Table1[[#This Row],[Performance Gap (%)]]&lt;0,"Tidak mencapai target", IF(Table1[[#This Row],[Performance Gap (%)]]=0,"Mencapai target", "Melebihi Target"))</f>
        <v>Melebihi Target</v>
      </c>
      <c r="L345">
        <f>VLOOKUP(Table1[[#This Row],[Propinsi]]&amp;"_"&amp;Table1[[#This Row],[Dati 2]]&amp;"_"&amp;Table1[[#This Row],[Tanggal]],Table2[[#All],[Kompetitor area]:[Jumlah Kompetitor]],7,0)</f>
        <v>140</v>
      </c>
      <c r="M345">
        <f>Table1[[#This Row],[Aktual]]-Table1[[#This Row],[Jumlah Kompetitor]]</f>
        <v>13</v>
      </c>
      <c r="N345" t="str">
        <f>IF(Table1[[#This Row],[vs Kompetitor]]&gt;0,"Win", "Lose")</f>
        <v>Win</v>
      </c>
    </row>
    <row r="346" spans="1:14" x14ac:dyDescent="0.25">
      <c r="A346">
        <v>345</v>
      </c>
      <c r="B346" t="s">
        <v>7</v>
      </c>
      <c r="C346" t="s">
        <v>143</v>
      </c>
      <c r="D346">
        <v>3</v>
      </c>
      <c r="E346">
        <v>2021</v>
      </c>
      <c r="F346" s="2">
        <f>DATE(Table1[[#This Row],[Tahun]],Table1[[#This Row],[Bulan]],1)</f>
        <v>44256</v>
      </c>
      <c r="G346">
        <v>194</v>
      </c>
      <c r="H346">
        <v>178</v>
      </c>
      <c r="I346" s="6">
        <f>(Table1[[#This Row],[Aktual]]-Table1[[#This Row],[Target]])</f>
        <v>16</v>
      </c>
      <c r="J346" s="3">
        <f>(Table1[[#This Row],[Aktual]]-Table1[[#This Row],[Target]])/Table1[[#This Row],[Target]]</f>
        <v>8.98876404494382E-2</v>
      </c>
      <c r="K346" t="str">
        <f>IF(Table1[[#This Row],[Performance Gap (%)]]&lt;0,"Tidak mencapai target", IF(Table1[[#This Row],[Performance Gap (%)]]=0,"Mencapai target", "Melebihi Target"))</f>
        <v>Melebihi Target</v>
      </c>
      <c r="L346">
        <f>VLOOKUP(Table1[[#This Row],[Propinsi]]&amp;"_"&amp;Table1[[#This Row],[Dati 2]]&amp;"_"&amp;Table1[[#This Row],[Tanggal]],Table2[[#All],[Kompetitor area]:[Jumlah Kompetitor]],7,0)</f>
        <v>175</v>
      </c>
      <c r="M346">
        <f>Table1[[#This Row],[Aktual]]-Table1[[#This Row],[Jumlah Kompetitor]]</f>
        <v>19</v>
      </c>
      <c r="N346" t="str">
        <f>IF(Table1[[#This Row],[vs Kompetitor]]&gt;0,"Win", "Lose")</f>
        <v>Win</v>
      </c>
    </row>
    <row r="347" spans="1:14" x14ac:dyDescent="0.25">
      <c r="A347">
        <v>346</v>
      </c>
      <c r="B347" t="s">
        <v>7</v>
      </c>
      <c r="C347" t="s">
        <v>144</v>
      </c>
      <c r="D347">
        <v>3</v>
      </c>
      <c r="E347">
        <v>2021</v>
      </c>
      <c r="F347" s="2">
        <f>DATE(Table1[[#This Row],[Tahun]],Table1[[#This Row],[Bulan]],1)</f>
        <v>44256</v>
      </c>
      <c r="G347">
        <v>109</v>
      </c>
      <c r="H347">
        <v>102</v>
      </c>
      <c r="I347" s="6">
        <f>(Table1[[#This Row],[Aktual]]-Table1[[#This Row],[Target]])</f>
        <v>7</v>
      </c>
      <c r="J347" s="3">
        <f>(Table1[[#This Row],[Aktual]]-Table1[[#This Row],[Target]])/Table1[[#This Row],[Target]]</f>
        <v>6.8627450980392163E-2</v>
      </c>
      <c r="K347" t="str">
        <f>IF(Table1[[#This Row],[Performance Gap (%)]]&lt;0,"Tidak mencapai target", IF(Table1[[#This Row],[Performance Gap (%)]]=0,"Mencapai target", "Melebihi Target"))</f>
        <v>Melebihi Target</v>
      </c>
      <c r="L347">
        <f>VLOOKUP(Table1[[#This Row],[Propinsi]]&amp;"_"&amp;Table1[[#This Row],[Dati 2]]&amp;"_"&amp;Table1[[#This Row],[Tanggal]],Table2[[#All],[Kompetitor area]:[Jumlah Kompetitor]],7,0)</f>
        <v>96</v>
      </c>
      <c r="M347">
        <f>Table1[[#This Row],[Aktual]]-Table1[[#This Row],[Jumlah Kompetitor]]</f>
        <v>13</v>
      </c>
      <c r="N347" t="str">
        <f>IF(Table1[[#This Row],[vs Kompetitor]]&gt;0,"Win", "Lose")</f>
        <v>Win</v>
      </c>
    </row>
    <row r="348" spans="1:14" x14ac:dyDescent="0.25">
      <c r="A348">
        <v>347</v>
      </c>
      <c r="B348" t="s">
        <v>7</v>
      </c>
      <c r="C348" t="s">
        <v>145</v>
      </c>
      <c r="D348">
        <v>3</v>
      </c>
      <c r="E348">
        <v>2021</v>
      </c>
      <c r="F348" s="2">
        <f>DATE(Table1[[#This Row],[Tahun]],Table1[[#This Row],[Bulan]],1)</f>
        <v>44256</v>
      </c>
      <c r="G348">
        <v>103</v>
      </c>
      <c r="H348">
        <v>113</v>
      </c>
      <c r="I348" s="6">
        <f>(Table1[[#This Row],[Aktual]]-Table1[[#This Row],[Target]])</f>
        <v>-10</v>
      </c>
      <c r="J348" s="3">
        <f>(Table1[[#This Row],[Aktual]]-Table1[[#This Row],[Target]])/Table1[[#This Row],[Target]]</f>
        <v>-8.8495575221238937E-2</v>
      </c>
      <c r="K348" t="str">
        <f>IF(Table1[[#This Row],[Performance Gap (%)]]&lt;0,"Tidak mencapai target", IF(Table1[[#This Row],[Performance Gap (%)]]=0,"Mencapai target", "Melebihi Target"))</f>
        <v>Tidak mencapai target</v>
      </c>
      <c r="L348">
        <f>VLOOKUP(Table1[[#This Row],[Propinsi]]&amp;"_"&amp;Table1[[#This Row],[Dati 2]]&amp;"_"&amp;Table1[[#This Row],[Tanggal]],Table2[[#All],[Kompetitor area]:[Jumlah Kompetitor]],7,0)</f>
        <v>116</v>
      </c>
      <c r="M348">
        <f>Table1[[#This Row],[Aktual]]-Table1[[#This Row],[Jumlah Kompetitor]]</f>
        <v>-13</v>
      </c>
      <c r="N348" t="str">
        <f>IF(Table1[[#This Row],[vs Kompetitor]]&gt;0,"Win", "Lose")</f>
        <v>Lose</v>
      </c>
    </row>
    <row r="349" spans="1:14" x14ac:dyDescent="0.25">
      <c r="A349">
        <v>348</v>
      </c>
      <c r="B349" t="s">
        <v>7</v>
      </c>
      <c r="C349" t="s">
        <v>146</v>
      </c>
      <c r="D349">
        <v>3</v>
      </c>
      <c r="E349">
        <v>2021</v>
      </c>
      <c r="F349" s="2">
        <f>DATE(Table1[[#This Row],[Tahun]],Table1[[#This Row],[Bulan]],1)</f>
        <v>44256</v>
      </c>
      <c r="G349">
        <v>213</v>
      </c>
      <c r="H349">
        <v>196</v>
      </c>
      <c r="I349" s="6">
        <f>(Table1[[#This Row],[Aktual]]-Table1[[#This Row],[Target]])</f>
        <v>17</v>
      </c>
      <c r="J349" s="3">
        <f>(Table1[[#This Row],[Aktual]]-Table1[[#This Row],[Target]])/Table1[[#This Row],[Target]]</f>
        <v>8.673469387755102E-2</v>
      </c>
      <c r="K349" t="str">
        <f>IF(Table1[[#This Row],[Performance Gap (%)]]&lt;0,"Tidak mencapai target", IF(Table1[[#This Row],[Performance Gap (%)]]=0,"Mencapai target", "Melebihi Target"))</f>
        <v>Melebihi Target</v>
      </c>
      <c r="L349">
        <f>VLOOKUP(Table1[[#This Row],[Propinsi]]&amp;"_"&amp;Table1[[#This Row],[Dati 2]]&amp;"_"&amp;Table1[[#This Row],[Tanggal]],Table2[[#All],[Kompetitor area]:[Jumlah Kompetitor]],7,0)</f>
        <v>202</v>
      </c>
      <c r="M349">
        <f>Table1[[#This Row],[Aktual]]-Table1[[#This Row],[Jumlah Kompetitor]]</f>
        <v>11</v>
      </c>
      <c r="N349" t="str">
        <f>IF(Table1[[#This Row],[vs Kompetitor]]&gt;0,"Win", "Lose")</f>
        <v>Win</v>
      </c>
    </row>
    <row r="350" spans="1:14" x14ac:dyDescent="0.25">
      <c r="A350">
        <v>349</v>
      </c>
      <c r="B350" t="s">
        <v>7</v>
      </c>
      <c r="C350" t="s">
        <v>147</v>
      </c>
      <c r="D350">
        <v>3</v>
      </c>
      <c r="E350">
        <v>2021</v>
      </c>
      <c r="F350" s="2">
        <f>DATE(Table1[[#This Row],[Tahun]],Table1[[#This Row],[Bulan]],1)</f>
        <v>44256</v>
      </c>
      <c r="G350">
        <v>112</v>
      </c>
      <c r="H350">
        <v>112</v>
      </c>
      <c r="I350" s="6">
        <f>(Table1[[#This Row],[Aktual]]-Table1[[#This Row],[Target]])</f>
        <v>0</v>
      </c>
      <c r="J350" s="3">
        <f>(Table1[[#This Row],[Aktual]]-Table1[[#This Row],[Target]])/Table1[[#This Row],[Target]]</f>
        <v>0</v>
      </c>
      <c r="K350" t="str">
        <f>IF(Table1[[#This Row],[Performance Gap (%)]]&lt;0,"Tidak mencapai target", IF(Table1[[#This Row],[Performance Gap (%)]]=0,"Mencapai target", "Melebihi Target"))</f>
        <v>Mencapai target</v>
      </c>
      <c r="L350">
        <f>VLOOKUP(Table1[[#This Row],[Propinsi]]&amp;"_"&amp;Table1[[#This Row],[Dati 2]]&amp;"_"&amp;Table1[[#This Row],[Tanggal]],Table2[[#All],[Kompetitor area]:[Jumlah Kompetitor]],7,0)</f>
        <v>115</v>
      </c>
      <c r="M350">
        <f>Table1[[#This Row],[Aktual]]-Table1[[#This Row],[Jumlah Kompetitor]]</f>
        <v>-3</v>
      </c>
      <c r="N350" t="str">
        <f>IF(Table1[[#This Row],[vs Kompetitor]]&gt;0,"Win", "Lose")</f>
        <v>Lose</v>
      </c>
    </row>
    <row r="351" spans="1:14" x14ac:dyDescent="0.25">
      <c r="A351">
        <v>350</v>
      </c>
      <c r="B351" t="s">
        <v>7</v>
      </c>
      <c r="C351" t="s">
        <v>148</v>
      </c>
      <c r="D351">
        <v>3</v>
      </c>
      <c r="E351">
        <v>2021</v>
      </c>
      <c r="F351" s="2">
        <f>DATE(Table1[[#This Row],[Tahun]],Table1[[#This Row],[Bulan]],1)</f>
        <v>44256</v>
      </c>
      <c r="G351">
        <v>170</v>
      </c>
      <c r="H351">
        <v>172</v>
      </c>
      <c r="I351" s="6">
        <f>(Table1[[#This Row],[Aktual]]-Table1[[#This Row],[Target]])</f>
        <v>-2</v>
      </c>
      <c r="J351" s="3">
        <f>(Table1[[#This Row],[Aktual]]-Table1[[#This Row],[Target]])/Table1[[#This Row],[Target]]</f>
        <v>-1.1627906976744186E-2</v>
      </c>
      <c r="K351" t="str">
        <f>IF(Table1[[#This Row],[Performance Gap (%)]]&lt;0,"Tidak mencapai target", IF(Table1[[#This Row],[Performance Gap (%)]]=0,"Mencapai target", "Melebihi Target"))</f>
        <v>Tidak mencapai target</v>
      </c>
      <c r="L351">
        <f>VLOOKUP(Table1[[#This Row],[Propinsi]]&amp;"_"&amp;Table1[[#This Row],[Dati 2]]&amp;"_"&amp;Table1[[#This Row],[Tanggal]],Table2[[#All],[Kompetitor area]:[Jumlah Kompetitor]],7,0)</f>
        <v>160</v>
      </c>
      <c r="M351">
        <f>Table1[[#This Row],[Aktual]]-Table1[[#This Row],[Jumlah Kompetitor]]</f>
        <v>10</v>
      </c>
      <c r="N351" t="str">
        <f>IF(Table1[[#This Row],[vs Kompetitor]]&gt;0,"Win", "Lose")</f>
        <v>Win</v>
      </c>
    </row>
    <row r="352" spans="1:14" x14ac:dyDescent="0.25">
      <c r="A352">
        <v>351</v>
      </c>
      <c r="B352" t="s">
        <v>7</v>
      </c>
      <c r="C352" t="s">
        <v>149</v>
      </c>
      <c r="D352">
        <v>3</v>
      </c>
      <c r="E352">
        <v>2021</v>
      </c>
      <c r="F352" s="2">
        <f>DATE(Table1[[#This Row],[Tahun]],Table1[[#This Row],[Bulan]],1)</f>
        <v>44256</v>
      </c>
      <c r="G352">
        <v>57</v>
      </c>
      <c r="H352">
        <v>52</v>
      </c>
      <c r="I352" s="6">
        <f>(Table1[[#This Row],[Aktual]]-Table1[[#This Row],[Target]])</f>
        <v>5</v>
      </c>
      <c r="J352" s="3">
        <f>(Table1[[#This Row],[Aktual]]-Table1[[#This Row],[Target]])/Table1[[#This Row],[Target]]</f>
        <v>9.6153846153846159E-2</v>
      </c>
      <c r="K352" t="str">
        <f>IF(Table1[[#This Row],[Performance Gap (%)]]&lt;0,"Tidak mencapai target", IF(Table1[[#This Row],[Performance Gap (%)]]=0,"Mencapai target", "Melebihi Target"))</f>
        <v>Melebihi Target</v>
      </c>
      <c r="L352">
        <f>VLOOKUP(Table1[[#This Row],[Propinsi]]&amp;"_"&amp;Table1[[#This Row],[Dati 2]]&amp;"_"&amp;Table1[[#This Row],[Tanggal]],Table2[[#All],[Kompetitor area]:[Jumlah Kompetitor]],7,0)</f>
        <v>59</v>
      </c>
      <c r="M352">
        <f>Table1[[#This Row],[Aktual]]-Table1[[#This Row],[Jumlah Kompetitor]]</f>
        <v>-2</v>
      </c>
      <c r="N352" t="str">
        <f>IF(Table1[[#This Row],[vs Kompetitor]]&gt;0,"Win", "Lose")</f>
        <v>Lose</v>
      </c>
    </row>
    <row r="353" spans="1:14" x14ac:dyDescent="0.25">
      <c r="A353">
        <v>352</v>
      </c>
      <c r="B353" t="s">
        <v>8</v>
      </c>
      <c r="C353" t="s">
        <v>150</v>
      </c>
      <c r="D353">
        <v>3</v>
      </c>
      <c r="E353">
        <v>2021</v>
      </c>
      <c r="F353" s="2">
        <f>DATE(Table1[[#This Row],[Tahun]],Table1[[#This Row],[Bulan]],1)</f>
        <v>44256</v>
      </c>
      <c r="G353">
        <v>740</v>
      </c>
      <c r="H353">
        <v>677</v>
      </c>
      <c r="I353" s="6">
        <f>(Table1[[#This Row],[Aktual]]-Table1[[#This Row],[Target]])</f>
        <v>63</v>
      </c>
      <c r="J353" s="3">
        <f>(Table1[[#This Row],[Aktual]]-Table1[[#This Row],[Target]])/Table1[[#This Row],[Target]]</f>
        <v>9.3057607090103397E-2</v>
      </c>
      <c r="K353" t="str">
        <f>IF(Table1[[#This Row],[Performance Gap (%)]]&lt;0,"Tidak mencapai target", IF(Table1[[#This Row],[Performance Gap (%)]]=0,"Mencapai target", "Melebihi Target"))</f>
        <v>Melebihi Target</v>
      </c>
      <c r="L353">
        <f>VLOOKUP(Table1[[#This Row],[Propinsi]]&amp;"_"&amp;Table1[[#This Row],[Dati 2]]&amp;"_"&amp;Table1[[#This Row],[Tanggal]],Table2[[#All],[Kompetitor area]:[Jumlah Kompetitor]],7,0)</f>
        <v>660</v>
      </c>
      <c r="M353">
        <f>Table1[[#This Row],[Aktual]]-Table1[[#This Row],[Jumlah Kompetitor]]</f>
        <v>80</v>
      </c>
      <c r="N353" t="str">
        <f>IF(Table1[[#This Row],[vs Kompetitor]]&gt;0,"Win", "Lose")</f>
        <v>Win</v>
      </c>
    </row>
    <row r="354" spans="1:14" x14ac:dyDescent="0.25">
      <c r="A354">
        <v>353</v>
      </c>
      <c r="B354" t="s">
        <v>8</v>
      </c>
      <c r="C354" t="s">
        <v>151</v>
      </c>
      <c r="D354">
        <v>3</v>
      </c>
      <c r="E354">
        <v>2021</v>
      </c>
      <c r="F354" s="2">
        <f>DATE(Table1[[#This Row],[Tahun]],Table1[[#This Row],[Bulan]],1)</f>
        <v>44256</v>
      </c>
      <c r="G354">
        <v>610</v>
      </c>
      <c r="H354">
        <v>509</v>
      </c>
      <c r="I354" s="6">
        <f>(Table1[[#This Row],[Aktual]]-Table1[[#This Row],[Target]])</f>
        <v>101</v>
      </c>
      <c r="J354" s="3">
        <f>(Table1[[#This Row],[Aktual]]-Table1[[#This Row],[Target]])/Table1[[#This Row],[Target]]</f>
        <v>0.19842829076620824</v>
      </c>
      <c r="K354" t="str">
        <f>IF(Table1[[#This Row],[Performance Gap (%)]]&lt;0,"Tidak mencapai target", IF(Table1[[#This Row],[Performance Gap (%)]]=0,"Mencapai target", "Melebihi Target"))</f>
        <v>Melebihi Target</v>
      </c>
      <c r="L354">
        <f>VLOOKUP(Table1[[#This Row],[Propinsi]]&amp;"_"&amp;Table1[[#This Row],[Dati 2]]&amp;"_"&amp;Table1[[#This Row],[Tanggal]],Table2[[#All],[Kompetitor area]:[Jumlah Kompetitor]],7,0)</f>
        <v>521</v>
      </c>
      <c r="M354">
        <f>Table1[[#This Row],[Aktual]]-Table1[[#This Row],[Jumlah Kompetitor]]</f>
        <v>89</v>
      </c>
      <c r="N354" t="str">
        <f>IF(Table1[[#This Row],[vs Kompetitor]]&gt;0,"Win", "Lose")</f>
        <v>Win</v>
      </c>
    </row>
    <row r="355" spans="1:14" x14ac:dyDescent="0.25">
      <c r="A355">
        <v>354</v>
      </c>
      <c r="B355" t="s">
        <v>8</v>
      </c>
      <c r="C355" t="s">
        <v>152</v>
      </c>
      <c r="D355">
        <v>3</v>
      </c>
      <c r="E355">
        <v>2021</v>
      </c>
      <c r="F355" s="2">
        <f>DATE(Table1[[#This Row],[Tahun]],Table1[[#This Row],[Bulan]],1)</f>
        <v>44256</v>
      </c>
      <c r="G355">
        <v>203</v>
      </c>
      <c r="H355">
        <v>171</v>
      </c>
      <c r="I355" s="6">
        <f>(Table1[[#This Row],[Aktual]]-Table1[[#This Row],[Target]])</f>
        <v>32</v>
      </c>
      <c r="J355" s="3">
        <f>(Table1[[#This Row],[Aktual]]-Table1[[#This Row],[Target]])/Table1[[#This Row],[Target]]</f>
        <v>0.1871345029239766</v>
      </c>
      <c r="K355" t="str">
        <f>IF(Table1[[#This Row],[Performance Gap (%)]]&lt;0,"Tidak mencapai target", IF(Table1[[#This Row],[Performance Gap (%)]]=0,"Mencapai target", "Melebihi Target"))</f>
        <v>Melebihi Target</v>
      </c>
      <c r="L355">
        <f>VLOOKUP(Table1[[#This Row],[Propinsi]]&amp;"_"&amp;Table1[[#This Row],[Dati 2]]&amp;"_"&amp;Table1[[#This Row],[Tanggal]],Table2[[#All],[Kompetitor area]:[Jumlah Kompetitor]],7,0)</f>
        <v>172</v>
      </c>
      <c r="M355">
        <f>Table1[[#This Row],[Aktual]]-Table1[[#This Row],[Jumlah Kompetitor]]</f>
        <v>31</v>
      </c>
      <c r="N355" t="str">
        <f>IF(Table1[[#This Row],[vs Kompetitor]]&gt;0,"Win", "Lose")</f>
        <v>Win</v>
      </c>
    </row>
    <row r="356" spans="1:14" x14ac:dyDescent="0.25">
      <c r="A356">
        <v>355</v>
      </c>
      <c r="B356" t="s">
        <v>8</v>
      </c>
      <c r="C356" t="s">
        <v>153</v>
      </c>
      <c r="D356">
        <v>3</v>
      </c>
      <c r="E356">
        <v>2021</v>
      </c>
      <c r="F356" s="2">
        <f>DATE(Table1[[#This Row],[Tahun]],Table1[[#This Row],[Bulan]],1)</f>
        <v>44256</v>
      </c>
      <c r="G356">
        <v>405</v>
      </c>
      <c r="H356">
        <v>436</v>
      </c>
      <c r="I356" s="6">
        <f>(Table1[[#This Row],[Aktual]]-Table1[[#This Row],[Target]])</f>
        <v>-31</v>
      </c>
      <c r="J356" s="3">
        <f>(Table1[[#This Row],[Aktual]]-Table1[[#This Row],[Target]])/Table1[[#This Row],[Target]]</f>
        <v>-7.1100917431192664E-2</v>
      </c>
      <c r="K356" t="str">
        <f>IF(Table1[[#This Row],[Performance Gap (%)]]&lt;0,"Tidak mencapai target", IF(Table1[[#This Row],[Performance Gap (%)]]=0,"Mencapai target", "Melebihi Target"))</f>
        <v>Tidak mencapai target</v>
      </c>
      <c r="L356">
        <f>VLOOKUP(Table1[[#This Row],[Propinsi]]&amp;"_"&amp;Table1[[#This Row],[Dati 2]]&amp;"_"&amp;Table1[[#This Row],[Tanggal]],Table2[[#All],[Kompetitor area]:[Jumlah Kompetitor]],7,0)</f>
        <v>425</v>
      </c>
      <c r="M356">
        <f>Table1[[#This Row],[Aktual]]-Table1[[#This Row],[Jumlah Kompetitor]]</f>
        <v>-20</v>
      </c>
      <c r="N356" t="str">
        <f>IF(Table1[[#This Row],[vs Kompetitor]]&gt;0,"Win", "Lose")</f>
        <v>Lose</v>
      </c>
    </row>
    <row r="357" spans="1:14" x14ac:dyDescent="0.25">
      <c r="A357">
        <v>356</v>
      </c>
      <c r="B357" t="s">
        <v>8</v>
      </c>
      <c r="C357" t="s">
        <v>154</v>
      </c>
      <c r="D357">
        <v>3</v>
      </c>
      <c r="E357">
        <v>2021</v>
      </c>
      <c r="F357" s="2">
        <f>DATE(Table1[[#This Row],[Tahun]],Table1[[#This Row],[Bulan]],1)</f>
        <v>44256</v>
      </c>
      <c r="G357">
        <v>270</v>
      </c>
      <c r="H357">
        <v>254</v>
      </c>
      <c r="I357" s="6">
        <f>(Table1[[#This Row],[Aktual]]-Table1[[#This Row],[Target]])</f>
        <v>16</v>
      </c>
      <c r="J357" s="3">
        <f>(Table1[[#This Row],[Aktual]]-Table1[[#This Row],[Target]])/Table1[[#This Row],[Target]]</f>
        <v>6.2992125984251968E-2</v>
      </c>
      <c r="K357" t="str">
        <f>IF(Table1[[#This Row],[Performance Gap (%)]]&lt;0,"Tidak mencapai target", IF(Table1[[#This Row],[Performance Gap (%)]]=0,"Mencapai target", "Melebihi Target"))</f>
        <v>Melebihi Target</v>
      </c>
      <c r="L357">
        <f>VLOOKUP(Table1[[#This Row],[Propinsi]]&amp;"_"&amp;Table1[[#This Row],[Dati 2]]&amp;"_"&amp;Table1[[#This Row],[Tanggal]],Table2[[#All],[Kompetitor area]:[Jumlah Kompetitor]],7,0)</f>
        <v>248</v>
      </c>
      <c r="M357">
        <f>Table1[[#This Row],[Aktual]]-Table1[[#This Row],[Jumlah Kompetitor]]</f>
        <v>22</v>
      </c>
      <c r="N357" t="str">
        <f>IF(Table1[[#This Row],[vs Kompetitor]]&gt;0,"Win", "Lose")</f>
        <v>Win</v>
      </c>
    </row>
    <row r="358" spans="1:14" x14ac:dyDescent="0.25">
      <c r="A358">
        <v>357</v>
      </c>
      <c r="B358" t="s">
        <v>8</v>
      </c>
      <c r="C358" t="s">
        <v>155</v>
      </c>
      <c r="D358">
        <v>3</v>
      </c>
      <c r="E358">
        <v>2021</v>
      </c>
      <c r="F358" s="2">
        <f>DATE(Table1[[#This Row],[Tahun]],Table1[[#This Row],[Bulan]],1)</f>
        <v>44256</v>
      </c>
      <c r="G358">
        <v>391</v>
      </c>
      <c r="H358">
        <v>338</v>
      </c>
      <c r="I358" s="6">
        <f>(Table1[[#This Row],[Aktual]]-Table1[[#This Row],[Target]])</f>
        <v>53</v>
      </c>
      <c r="J358" s="3">
        <f>(Table1[[#This Row],[Aktual]]-Table1[[#This Row],[Target]])/Table1[[#This Row],[Target]]</f>
        <v>0.15680473372781065</v>
      </c>
      <c r="K358" t="str">
        <f>IF(Table1[[#This Row],[Performance Gap (%)]]&lt;0,"Tidak mencapai target", IF(Table1[[#This Row],[Performance Gap (%)]]=0,"Mencapai target", "Melebihi Target"))</f>
        <v>Melebihi Target</v>
      </c>
      <c r="L358">
        <f>VLOOKUP(Table1[[#This Row],[Propinsi]]&amp;"_"&amp;Table1[[#This Row],[Dati 2]]&amp;"_"&amp;Table1[[#This Row],[Tanggal]],Table2[[#All],[Kompetitor area]:[Jumlah Kompetitor]],7,0)</f>
        <v>331</v>
      </c>
      <c r="M358">
        <f>Table1[[#This Row],[Aktual]]-Table1[[#This Row],[Jumlah Kompetitor]]</f>
        <v>60</v>
      </c>
      <c r="N358" t="str">
        <f>IF(Table1[[#This Row],[vs Kompetitor]]&gt;0,"Win", "Lose")</f>
        <v>Win</v>
      </c>
    </row>
    <row r="359" spans="1:14" x14ac:dyDescent="0.25">
      <c r="A359">
        <v>358</v>
      </c>
      <c r="B359" t="s">
        <v>8</v>
      </c>
      <c r="C359" t="s">
        <v>156</v>
      </c>
      <c r="D359">
        <v>3</v>
      </c>
      <c r="E359">
        <v>2021</v>
      </c>
      <c r="F359" s="2">
        <f>DATE(Table1[[#This Row],[Tahun]],Table1[[#This Row],[Bulan]],1)</f>
        <v>44256</v>
      </c>
      <c r="G359">
        <v>145</v>
      </c>
      <c r="H359">
        <v>141</v>
      </c>
      <c r="I359" s="6">
        <f>(Table1[[#This Row],[Aktual]]-Table1[[#This Row],[Target]])</f>
        <v>4</v>
      </c>
      <c r="J359" s="3">
        <f>(Table1[[#This Row],[Aktual]]-Table1[[#This Row],[Target]])/Table1[[#This Row],[Target]]</f>
        <v>2.8368794326241134E-2</v>
      </c>
      <c r="K359" t="str">
        <f>IF(Table1[[#This Row],[Performance Gap (%)]]&lt;0,"Tidak mencapai target", IF(Table1[[#This Row],[Performance Gap (%)]]=0,"Mencapai target", "Melebihi Target"))</f>
        <v>Melebihi Target</v>
      </c>
      <c r="L359">
        <f>VLOOKUP(Table1[[#This Row],[Propinsi]]&amp;"_"&amp;Table1[[#This Row],[Dati 2]]&amp;"_"&amp;Table1[[#This Row],[Tanggal]],Table2[[#All],[Kompetitor area]:[Jumlah Kompetitor]],7,0)</f>
        <v>138</v>
      </c>
      <c r="M359">
        <f>Table1[[#This Row],[Aktual]]-Table1[[#This Row],[Jumlah Kompetitor]]</f>
        <v>7</v>
      </c>
      <c r="N359" t="str">
        <f>IF(Table1[[#This Row],[vs Kompetitor]]&gt;0,"Win", "Lose")</f>
        <v>Win</v>
      </c>
    </row>
    <row r="360" spans="1:14" x14ac:dyDescent="0.25">
      <c r="A360">
        <v>359</v>
      </c>
      <c r="B360" t="s">
        <v>8</v>
      </c>
      <c r="C360" t="s">
        <v>157</v>
      </c>
      <c r="D360">
        <v>3</v>
      </c>
      <c r="E360">
        <v>2021</v>
      </c>
      <c r="F360" s="2">
        <f>DATE(Table1[[#This Row],[Tahun]],Table1[[#This Row],[Bulan]],1)</f>
        <v>44256</v>
      </c>
      <c r="G360">
        <v>240</v>
      </c>
      <c r="H360">
        <v>236</v>
      </c>
      <c r="I360" s="6">
        <f>(Table1[[#This Row],[Aktual]]-Table1[[#This Row],[Target]])</f>
        <v>4</v>
      </c>
      <c r="J360" s="3">
        <f>(Table1[[#This Row],[Aktual]]-Table1[[#This Row],[Target]])/Table1[[#This Row],[Target]]</f>
        <v>1.6949152542372881E-2</v>
      </c>
      <c r="K360" t="str">
        <f>IF(Table1[[#This Row],[Performance Gap (%)]]&lt;0,"Tidak mencapai target", IF(Table1[[#This Row],[Performance Gap (%)]]=0,"Mencapai target", "Melebihi Target"))</f>
        <v>Melebihi Target</v>
      </c>
      <c r="L360">
        <f>VLOOKUP(Table1[[#This Row],[Propinsi]]&amp;"_"&amp;Table1[[#This Row],[Dati 2]]&amp;"_"&amp;Table1[[#This Row],[Tanggal]],Table2[[#All],[Kompetitor area]:[Jumlah Kompetitor]],7,0)</f>
        <v>219</v>
      </c>
      <c r="M360">
        <f>Table1[[#This Row],[Aktual]]-Table1[[#This Row],[Jumlah Kompetitor]]</f>
        <v>21</v>
      </c>
      <c r="N360" t="str">
        <f>IF(Table1[[#This Row],[vs Kompetitor]]&gt;0,"Win", "Lose")</f>
        <v>Win</v>
      </c>
    </row>
    <row r="361" spans="1:14" x14ac:dyDescent="0.25">
      <c r="A361">
        <v>360</v>
      </c>
      <c r="B361" t="s">
        <v>8</v>
      </c>
      <c r="C361" t="s">
        <v>158</v>
      </c>
      <c r="D361">
        <v>3</v>
      </c>
      <c r="E361">
        <v>2021</v>
      </c>
      <c r="F361" s="2">
        <f>DATE(Table1[[#This Row],[Tahun]],Table1[[#This Row],[Bulan]],1)</f>
        <v>44256</v>
      </c>
      <c r="G361">
        <v>197</v>
      </c>
      <c r="H361">
        <v>183</v>
      </c>
      <c r="I361" s="6">
        <f>(Table1[[#This Row],[Aktual]]-Table1[[#This Row],[Target]])</f>
        <v>14</v>
      </c>
      <c r="J361" s="3">
        <f>(Table1[[#This Row],[Aktual]]-Table1[[#This Row],[Target]])/Table1[[#This Row],[Target]]</f>
        <v>7.650273224043716E-2</v>
      </c>
      <c r="K361" t="str">
        <f>IF(Table1[[#This Row],[Performance Gap (%)]]&lt;0,"Tidak mencapai target", IF(Table1[[#This Row],[Performance Gap (%)]]=0,"Mencapai target", "Melebihi Target"))</f>
        <v>Melebihi Target</v>
      </c>
      <c r="L361">
        <f>VLOOKUP(Table1[[#This Row],[Propinsi]]&amp;"_"&amp;Table1[[#This Row],[Dati 2]]&amp;"_"&amp;Table1[[#This Row],[Tanggal]],Table2[[#All],[Kompetitor area]:[Jumlah Kompetitor]],7,0)</f>
        <v>190</v>
      </c>
      <c r="M361">
        <f>Table1[[#This Row],[Aktual]]-Table1[[#This Row],[Jumlah Kompetitor]]</f>
        <v>7</v>
      </c>
      <c r="N361" t="str">
        <f>IF(Table1[[#This Row],[vs Kompetitor]]&gt;0,"Win", "Lose")</f>
        <v>Win</v>
      </c>
    </row>
    <row r="362" spans="1:14" x14ac:dyDescent="0.25">
      <c r="A362">
        <v>361</v>
      </c>
      <c r="B362" t="s">
        <v>8</v>
      </c>
      <c r="C362" t="s">
        <v>159</v>
      </c>
      <c r="D362">
        <v>3</v>
      </c>
      <c r="E362">
        <v>2021</v>
      </c>
      <c r="F362" s="2">
        <f>DATE(Table1[[#This Row],[Tahun]],Table1[[#This Row],[Bulan]],1)</f>
        <v>44256</v>
      </c>
      <c r="G362">
        <v>183</v>
      </c>
      <c r="H362">
        <v>167</v>
      </c>
      <c r="I362" s="6">
        <f>(Table1[[#This Row],[Aktual]]-Table1[[#This Row],[Target]])</f>
        <v>16</v>
      </c>
      <c r="J362" s="3">
        <f>(Table1[[#This Row],[Aktual]]-Table1[[#This Row],[Target]])/Table1[[#This Row],[Target]]</f>
        <v>9.580838323353294E-2</v>
      </c>
      <c r="K362" t="str">
        <f>IF(Table1[[#This Row],[Performance Gap (%)]]&lt;0,"Tidak mencapai target", IF(Table1[[#This Row],[Performance Gap (%)]]=0,"Mencapai target", "Melebihi Target"))</f>
        <v>Melebihi Target</v>
      </c>
      <c r="L362">
        <f>VLOOKUP(Table1[[#This Row],[Propinsi]]&amp;"_"&amp;Table1[[#This Row],[Dati 2]]&amp;"_"&amp;Table1[[#This Row],[Tanggal]],Table2[[#All],[Kompetitor area]:[Jumlah Kompetitor]],7,0)</f>
        <v>168</v>
      </c>
      <c r="M362">
        <f>Table1[[#This Row],[Aktual]]-Table1[[#This Row],[Jumlah Kompetitor]]</f>
        <v>15</v>
      </c>
      <c r="N362" t="str">
        <f>IF(Table1[[#This Row],[vs Kompetitor]]&gt;0,"Win", "Lose")</f>
        <v>Win</v>
      </c>
    </row>
    <row r="363" spans="1:14" x14ac:dyDescent="0.25">
      <c r="A363">
        <v>362</v>
      </c>
      <c r="B363" t="s">
        <v>8</v>
      </c>
      <c r="C363" t="s">
        <v>160</v>
      </c>
      <c r="D363">
        <v>3</v>
      </c>
      <c r="E363">
        <v>2021</v>
      </c>
      <c r="F363" s="2">
        <f>DATE(Table1[[#This Row],[Tahun]],Table1[[#This Row],[Bulan]],1)</f>
        <v>44256</v>
      </c>
      <c r="G363">
        <v>121</v>
      </c>
      <c r="H363">
        <v>103</v>
      </c>
      <c r="I363" s="6">
        <f>(Table1[[#This Row],[Aktual]]-Table1[[#This Row],[Target]])</f>
        <v>18</v>
      </c>
      <c r="J363" s="3">
        <f>(Table1[[#This Row],[Aktual]]-Table1[[#This Row],[Target]])/Table1[[#This Row],[Target]]</f>
        <v>0.17475728155339806</v>
      </c>
      <c r="K363" t="str">
        <f>IF(Table1[[#This Row],[Performance Gap (%)]]&lt;0,"Tidak mencapai target", IF(Table1[[#This Row],[Performance Gap (%)]]=0,"Mencapai target", "Melebihi Target"))</f>
        <v>Melebihi Target</v>
      </c>
      <c r="L363">
        <f>VLOOKUP(Table1[[#This Row],[Propinsi]]&amp;"_"&amp;Table1[[#This Row],[Dati 2]]&amp;"_"&amp;Table1[[#This Row],[Tanggal]],Table2[[#All],[Kompetitor area]:[Jumlah Kompetitor]],7,0)</f>
        <v>99</v>
      </c>
      <c r="M363">
        <f>Table1[[#This Row],[Aktual]]-Table1[[#This Row],[Jumlah Kompetitor]]</f>
        <v>22</v>
      </c>
      <c r="N363" t="str">
        <f>IF(Table1[[#This Row],[vs Kompetitor]]&gt;0,"Win", "Lose")</f>
        <v>Win</v>
      </c>
    </row>
    <row r="364" spans="1:14" x14ac:dyDescent="0.25">
      <c r="A364">
        <v>363</v>
      </c>
      <c r="B364" t="s">
        <v>8</v>
      </c>
      <c r="C364" t="s">
        <v>161</v>
      </c>
      <c r="D364">
        <v>3</v>
      </c>
      <c r="E364">
        <v>2021</v>
      </c>
      <c r="F364" s="2">
        <f>DATE(Table1[[#This Row],[Tahun]],Table1[[#This Row],[Bulan]],1)</f>
        <v>44256</v>
      </c>
      <c r="G364">
        <v>194</v>
      </c>
      <c r="H364">
        <v>172</v>
      </c>
      <c r="I364" s="6">
        <f>(Table1[[#This Row],[Aktual]]-Table1[[#This Row],[Target]])</f>
        <v>22</v>
      </c>
      <c r="J364" s="3">
        <f>(Table1[[#This Row],[Aktual]]-Table1[[#This Row],[Target]])/Table1[[#This Row],[Target]]</f>
        <v>0.12790697674418605</v>
      </c>
      <c r="K364" t="str">
        <f>IF(Table1[[#This Row],[Performance Gap (%)]]&lt;0,"Tidak mencapai target", IF(Table1[[#This Row],[Performance Gap (%)]]=0,"Mencapai target", "Melebihi Target"))</f>
        <v>Melebihi Target</v>
      </c>
      <c r="L364">
        <f>VLOOKUP(Table1[[#This Row],[Propinsi]]&amp;"_"&amp;Table1[[#This Row],[Dati 2]]&amp;"_"&amp;Table1[[#This Row],[Tanggal]],Table2[[#All],[Kompetitor area]:[Jumlah Kompetitor]],7,0)</f>
        <v>176</v>
      </c>
      <c r="M364">
        <f>Table1[[#This Row],[Aktual]]-Table1[[#This Row],[Jumlah Kompetitor]]</f>
        <v>18</v>
      </c>
      <c r="N364" t="str">
        <f>IF(Table1[[#This Row],[vs Kompetitor]]&gt;0,"Win", "Lose")</f>
        <v>Win</v>
      </c>
    </row>
    <row r="365" spans="1:14" x14ac:dyDescent="0.25">
      <c r="A365">
        <v>364</v>
      </c>
      <c r="B365" t="s">
        <v>8</v>
      </c>
      <c r="C365" t="s">
        <v>162</v>
      </c>
      <c r="D365">
        <v>3</v>
      </c>
      <c r="E365">
        <v>2021</v>
      </c>
      <c r="F365" s="2">
        <f>DATE(Table1[[#This Row],[Tahun]],Table1[[#This Row],[Bulan]],1)</f>
        <v>44256</v>
      </c>
      <c r="G365">
        <v>119</v>
      </c>
      <c r="H365">
        <v>119</v>
      </c>
      <c r="I365" s="6">
        <f>(Table1[[#This Row],[Aktual]]-Table1[[#This Row],[Target]])</f>
        <v>0</v>
      </c>
      <c r="J365" s="3">
        <f>(Table1[[#This Row],[Aktual]]-Table1[[#This Row],[Target]])/Table1[[#This Row],[Target]]</f>
        <v>0</v>
      </c>
      <c r="K365" t="str">
        <f>IF(Table1[[#This Row],[Performance Gap (%)]]&lt;0,"Tidak mencapai target", IF(Table1[[#This Row],[Performance Gap (%)]]=0,"Mencapai target", "Melebihi Target"))</f>
        <v>Mencapai target</v>
      </c>
      <c r="L365">
        <f>VLOOKUP(Table1[[#This Row],[Propinsi]]&amp;"_"&amp;Table1[[#This Row],[Dati 2]]&amp;"_"&amp;Table1[[#This Row],[Tanggal]],Table2[[#All],[Kompetitor area]:[Jumlah Kompetitor]],7,0)</f>
        <v>115</v>
      </c>
      <c r="M365">
        <f>Table1[[#This Row],[Aktual]]-Table1[[#This Row],[Jumlah Kompetitor]]</f>
        <v>4</v>
      </c>
      <c r="N365" t="str">
        <f>IF(Table1[[#This Row],[vs Kompetitor]]&gt;0,"Win", "Lose")</f>
        <v>Win</v>
      </c>
    </row>
    <row r="366" spans="1:14" x14ac:dyDescent="0.25">
      <c r="A366">
        <v>365</v>
      </c>
      <c r="B366" t="s">
        <v>8</v>
      </c>
      <c r="C366" t="s">
        <v>163</v>
      </c>
      <c r="D366">
        <v>3</v>
      </c>
      <c r="E366">
        <v>2021</v>
      </c>
      <c r="F366" s="2">
        <f>DATE(Table1[[#This Row],[Tahun]],Table1[[#This Row],[Bulan]],1)</f>
        <v>44256</v>
      </c>
      <c r="G366">
        <v>243</v>
      </c>
      <c r="H366">
        <v>257</v>
      </c>
      <c r="I366" s="6">
        <f>(Table1[[#This Row],[Aktual]]-Table1[[#This Row],[Target]])</f>
        <v>-14</v>
      </c>
      <c r="J366" s="3">
        <f>(Table1[[#This Row],[Aktual]]-Table1[[#This Row],[Target]])/Table1[[#This Row],[Target]]</f>
        <v>-5.4474708171206226E-2</v>
      </c>
      <c r="K366" t="str">
        <f>IF(Table1[[#This Row],[Performance Gap (%)]]&lt;0,"Tidak mencapai target", IF(Table1[[#This Row],[Performance Gap (%)]]=0,"Mencapai target", "Melebihi Target"))</f>
        <v>Tidak mencapai target</v>
      </c>
      <c r="L366">
        <f>VLOOKUP(Table1[[#This Row],[Propinsi]]&amp;"_"&amp;Table1[[#This Row],[Dati 2]]&amp;"_"&amp;Table1[[#This Row],[Tanggal]],Table2[[#All],[Kompetitor area]:[Jumlah Kompetitor]],7,0)</f>
        <v>266</v>
      </c>
      <c r="M366">
        <f>Table1[[#This Row],[Aktual]]-Table1[[#This Row],[Jumlah Kompetitor]]</f>
        <v>-23</v>
      </c>
      <c r="N366" t="str">
        <f>IF(Table1[[#This Row],[vs Kompetitor]]&gt;0,"Win", "Lose")</f>
        <v>Lose</v>
      </c>
    </row>
    <row r="367" spans="1:14" x14ac:dyDescent="0.25">
      <c r="A367">
        <v>366</v>
      </c>
      <c r="B367" t="s">
        <v>8</v>
      </c>
      <c r="C367" t="s">
        <v>164</v>
      </c>
      <c r="D367">
        <v>3</v>
      </c>
      <c r="E367">
        <v>2021</v>
      </c>
      <c r="F367" s="2">
        <f>DATE(Table1[[#This Row],[Tahun]],Table1[[#This Row],[Bulan]],1)</f>
        <v>44256</v>
      </c>
      <c r="G367">
        <v>303</v>
      </c>
      <c r="H367">
        <v>279</v>
      </c>
      <c r="I367" s="6">
        <f>(Table1[[#This Row],[Aktual]]-Table1[[#This Row],[Target]])</f>
        <v>24</v>
      </c>
      <c r="J367" s="3">
        <f>(Table1[[#This Row],[Aktual]]-Table1[[#This Row],[Target]])/Table1[[#This Row],[Target]]</f>
        <v>8.6021505376344093E-2</v>
      </c>
      <c r="K367" t="str">
        <f>IF(Table1[[#This Row],[Performance Gap (%)]]&lt;0,"Tidak mencapai target", IF(Table1[[#This Row],[Performance Gap (%)]]=0,"Mencapai target", "Melebihi Target"))</f>
        <v>Melebihi Target</v>
      </c>
      <c r="L367">
        <f>VLOOKUP(Table1[[#This Row],[Propinsi]]&amp;"_"&amp;Table1[[#This Row],[Dati 2]]&amp;"_"&amp;Table1[[#This Row],[Tanggal]],Table2[[#All],[Kompetitor area]:[Jumlah Kompetitor]],7,0)</f>
        <v>255</v>
      </c>
      <c r="M367">
        <f>Table1[[#This Row],[Aktual]]-Table1[[#This Row],[Jumlah Kompetitor]]</f>
        <v>48</v>
      </c>
      <c r="N367" t="str">
        <f>IF(Table1[[#This Row],[vs Kompetitor]]&gt;0,"Win", "Lose")</f>
        <v>Win</v>
      </c>
    </row>
    <row r="368" spans="1:14" x14ac:dyDescent="0.25">
      <c r="A368">
        <v>367</v>
      </c>
      <c r="B368" t="s">
        <v>6</v>
      </c>
      <c r="C368" t="s">
        <v>43</v>
      </c>
      <c r="D368">
        <v>4</v>
      </c>
      <c r="E368">
        <v>2021</v>
      </c>
      <c r="F368" s="2">
        <f>DATE(Table1[[#This Row],[Tahun]],Table1[[#This Row],[Bulan]],1)</f>
        <v>44287</v>
      </c>
      <c r="G368">
        <v>1468</v>
      </c>
      <c r="H368">
        <v>1254</v>
      </c>
      <c r="I368" s="6">
        <f>(Table1[[#This Row],[Aktual]]-Table1[[#This Row],[Target]])</f>
        <v>214</v>
      </c>
      <c r="J368" s="3">
        <f>(Table1[[#This Row],[Aktual]]-Table1[[#This Row],[Target]])/Table1[[#This Row],[Target]]</f>
        <v>0.17065390749601275</v>
      </c>
      <c r="K368" t="str">
        <f>IF(Table1[[#This Row],[Performance Gap (%)]]&lt;0,"Tidak mencapai target", IF(Table1[[#This Row],[Performance Gap (%)]]=0,"Mencapai target", "Melebihi Target"))</f>
        <v>Melebihi Target</v>
      </c>
      <c r="L368">
        <f>VLOOKUP(Table1[[#This Row],[Propinsi]]&amp;"_"&amp;Table1[[#This Row],[Dati 2]]&amp;"_"&amp;Table1[[#This Row],[Tanggal]],Table2[[#All],[Kompetitor area]:[Jumlah Kompetitor]],7,0)</f>
        <v>346</v>
      </c>
      <c r="M368">
        <f>Table1[[#This Row],[Aktual]]-Table1[[#This Row],[Jumlah Kompetitor]]</f>
        <v>1122</v>
      </c>
      <c r="N368" t="str">
        <f>IF(Table1[[#This Row],[vs Kompetitor]]&gt;0,"Win", "Lose")</f>
        <v>Win</v>
      </c>
    </row>
    <row r="369" spans="1:14" x14ac:dyDescent="0.25">
      <c r="A369">
        <v>368</v>
      </c>
      <c r="B369" t="s">
        <v>6</v>
      </c>
      <c r="C369" t="s">
        <v>44</v>
      </c>
      <c r="D369">
        <v>4</v>
      </c>
      <c r="E369">
        <v>2021</v>
      </c>
      <c r="F369" s="2">
        <f>DATE(Table1[[#This Row],[Tahun]],Table1[[#This Row],[Bulan]],1)</f>
        <v>44287</v>
      </c>
      <c r="G369">
        <v>761</v>
      </c>
      <c r="H369">
        <v>703</v>
      </c>
      <c r="I369" s="6">
        <f>(Table1[[#This Row],[Aktual]]-Table1[[#This Row],[Target]])</f>
        <v>58</v>
      </c>
      <c r="J369" s="3">
        <f>(Table1[[#This Row],[Aktual]]-Table1[[#This Row],[Target]])/Table1[[#This Row],[Target]]</f>
        <v>8.2503556187766711E-2</v>
      </c>
      <c r="K369" t="str">
        <f>IF(Table1[[#This Row],[Performance Gap (%)]]&lt;0,"Tidak mencapai target", IF(Table1[[#This Row],[Performance Gap (%)]]=0,"Mencapai target", "Melebihi Target"))</f>
        <v>Melebihi Target</v>
      </c>
      <c r="L369">
        <f>VLOOKUP(Table1[[#This Row],[Propinsi]]&amp;"_"&amp;Table1[[#This Row],[Dati 2]]&amp;"_"&amp;Table1[[#This Row],[Tanggal]],Table2[[#All],[Kompetitor area]:[Jumlah Kompetitor]],7,0)</f>
        <v>143</v>
      </c>
      <c r="M369">
        <f>Table1[[#This Row],[Aktual]]-Table1[[#This Row],[Jumlah Kompetitor]]</f>
        <v>618</v>
      </c>
      <c r="N369" t="str">
        <f>IF(Table1[[#This Row],[vs Kompetitor]]&gt;0,"Win", "Lose")</f>
        <v>Win</v>
      </c>
    </row>
    <row r="370" spans="1:14" x14ac:dyDescent="0.25">
      <c r="A370">
        <v>369</v>
      </c>
      <c r="B370" t="s">
        <v>6</v>
      </c>
      <c r="C370" t="s">
        <v>45</v>
      </c>
      <c r="D370">
        <v>4</v>
      </c>
      <c r="E370">
        <v>2021</v>
      </c>
      <c r="F370" s="2">
        <f>DATE(Table1[[#This Row],[Tahun]],Table1[[#This Row],[Bulan]],1)</f>
        <v>44287</v>
      </c>
      <c r="G370">
        <v>854</v>
      </c>
      <c r="H370">
        <v>805</v>
      </c>
      <c r="I370" s="6">
        <f>(Table1[[#This Row],[Aktual]]-Table1[[#This Row],[Target]])</f>
        <v>49</v>
      </c>
      <c r="J370" s="3">
        <f>(Table1[[#This Row],[Aktual]]-Table1[[#This Row],[Target]])/Table1[[#This Row],[Target]]</f>
        <v>6.0869565217391307E-2</v>
      </c>
      <c r="K370" t="str">
        <f>IF(Table1[[#This Row],[Performance Gap (%)]]&lt;0,"Tidak mencapai target", IF(Table1[[#This Row],[Performance Gap (%)]]=0,"Mencapai target", "Melebihi Target"))</f>
        <v>Melebihi Target</v>
      </c>
      <c r="L370">
        <f>VLOOKUP(Table1[[#This Row],[Propinsi]]&amp;"_"&amp;Table1[[#This Row],[Dati 2]]&amp;"_"&amp;Table1[[#This Row],[Tanggal]],Table2[[#All],[Kompetitor area]:[Jumlah Kompetitor]],7,0)</f>
        <v>228</v>
      </c>
      <c r="M370">
        <f>Table1[[#This Row],[Aktual]]-Table1[[#This Row],[Jumlah Kompetitor]]</f>
        <v>626</v>
      </c>
      <c r="N370" t="str">
        <f>IF(Table1[[#This Row],[vs Kompetitor]]&gt;0,"Win", "Lose")</f>
        <v>Win</v>
      </c>
    </row>
    <row r="371" spans="1:14" x14ac:dyDescent="0.25">
      <c r="A371">
        <v>370</v>
      </c>
      <c r="B371" t="s">
        <v>6</v>
      </c>
      <c r="C371" t="s">
        <v>46</v>
      </c>
      <c r="D371">
        <v>4</v>
      </c>
      <c r="E371">
        <v>2021</v>
      </c>
      <c r="F371" s="2">
        <f>DATE(Table1[[#This Row],[Tahun]],Table1[[#This Row],[Bulan]],1)</f>
        <v>44287</v>
      </c>
      <c r="G371">
        <v>115</v>
      </c>
      <c r="H371">
        <v>108</v>
      </c>
      <c r="I371" s="6">
        <f>(Table1[[#This Row],[Aktual]]-Table1[[#This Row],[Target]])</f>
        <v>7</v>
      </c>
      <c r="J371" s="3">
        <f>(Table1[[#This Row],[Aktual]]-Table1[[#This Row],[Target]])/Table1[[#This Row],[Target]]</f>
        <v>6.4814814814814811E-2</v>
      </c>
      <c r="K371" t="str">
        <f>IF(Table1[[#This Row],[Performance Gap (%)]]&lt;0,"Tidak mencapai target", IF(Table1[[#This Row],[Performance Gap (%)]]=0,"Mencapai target", "Melebihi Target"))</f>
        <v>Melebihi Target</v>
      </c>
      <c r="L371">
        <f>VLOOKUP(Table1[[#This Row],[Propinsi]]&amp;"_"&amp;Table1[[#This Row],[Dati 2]]&amp;"_"&amp;Table1[[#This Row],[Tanggal]],Table2[[#All],[Kompetitor area]:[Jumlah Kompetitor]],7,0)</f>
        <v>140</v>
      </c>
      <c r="M371">
        <f>Table1[[#This Row],[Aktual]]-Table1[[#This Row],[Jumlah Kompetitor]]</f>
        <v>-25</v>
      </c>
      <c r="N371" t="str">
        <f>IF(Table1[[#This Row],[vs Kompetitor]]&gt;0,"Win", "Lose")</f>
        <v>Lose</v>
      </c>
    </row>
    <row r="372" spans="1:14" x14ac:dyDescent="0.25">
      <c r="A372">
        <v>371</v>
      </c>
      <c r="B372" t="s">
        <v>6</v>
      </c>
      <c r="C372" t="s">
        <v>47</v>
      </c>
      <c r="D372">
        <v>4</v>
      </c>
      <c r="E372">
        <v>2021</v>
      </c>
      <c r="F372" s="2">
        <f>DATE(Table1[[#This Row],[Tahun]],Table1[[#This Row],[Bulan]],1)</f>
        <v>44287</v>
      </c>
      <c r="G372">
        <v>1103</v>
      </c>
      <c r="H372">
        <v>1181</v>
      </c>
      <c r="I372" s="6">
        <f>(Table1[[#This Row],[Aktual]]-Table1[[#This Row],[Target]])</f>
        <v>-78</v>
      </c>
      <c r="J372" s="3">
        <f>(Table1[[#This Row],[Aktual]]-Table1[[#This Row],[Target]])/Table1[[#This Row],[Target]]</f>
        <v>-6.6045723962743441E-2</v>
      </c>
      <c r="K372" t="str">
        <f>IF(Table1[[#This Row],[Performance Gap (%)]]&lt;0,"Tidak mencapai target", IF(Table1[[#This Row],[Performance Gap (%)]]=0,"Mencapai target", "Melebihi Target"))</f>
        <v>Tidak mencapai target</v>
      </c>
      <c r="L372">
        <f>VLOOKUP(Table1[[#This Row],[Propinsi]]&amp;"_"&amp;Table1[[#This Row],[Dati 2]]&amp;"_"&amp;Table1[[#This Row],[Tanggal]],Table2[[#All],[Kompetitor area]:[Jumlah Kompetitor]],7,0)</f>
        <v>21</v>
      </c>
      <c r="M372">
        <f>Table1[[#This Row],[Aktual]]-Table1[[#This Row],[Jumlah Kompetitor]]</f>
        <v>1082</v>
      </c>
      <c r="N372" t="str">
        <f>IF(Table1[[#This Row],[vs Kompetitor]]&gt;0,"Win", "Lose")</f>
        <v>Win</v>
      </c>
    </row>
    <row r="373" spans="1:14" x14ac:dyDescent="0.25">
      <c r="A373">
        <v>372</v>
      </c>
      <c r="B373" t="s">
        <v>6</v>
      </c>
      <c r="C373" t="s">
        <v>48</v>
      </c>
      <c r="D373">
        <v>4</v>
      </c>
      <c r="E373">
        <v>2021</v>
      </c>
      <c r="F373" s="2">
        <f>DATE(Table1[[#This Row],[Tahun]],Table1[[#This Row],[Bulan]],1)</f>
        <v>44287</v>
      </c>
      <c r="G373">
        <v>535</v>
      </c>
      <c r="H373">
        <v>599</v>
      </c>
      <c r="I373" s="6">
        <f>(Table1[[#This Row],[Aktual]]-Table1[[#This Row],[Target]])</f>
        <v>-64</v>
      </c>
      <c r="J373" s="3">
        <f>(Table1[[#This Row],[Aktual]]-Table1[[#This Row],[Target]])/Table1[[#This Row],[Target]]</f>
        <v>-0.10684474123539232</v>
      </c>
      <c r="K373" t="str">
        <f>IF(Table1[[#This Row],[Performance Gap (%)]]&lt;0,"Tidak mencapai target", IF(Table1[[#This Row],[Performance Gap (%)]]=0,"Mencapai target", "Melebihi Target"))</f>
        <v>Tidak mencapai target</v>
      </c>
      <c r="L373">
        <f>VLOOKUP(Table1[[#This Row],[Propinsi]]&amp;"_"&amp;Table1[[#This Row],[Dati 2]]&amp;"_"&amp;Table1[[#This Row],[Tanggal]],Table2[[#All],[Kompetitor area]:[Jumlah Kompetitor]],7,0)</f>
        <v>36</v>
      </c>
      <c r="M373">
        <f>Table1[[#This Row],[Aktual]]-Table1[[#This Row],[Jumlah Kompetitor]]</f>
        <v>499</v>
      </c>
      <c r="N373" t="str">
        <f>IF(Table1[[#This Row],[vs Kompetitor]]&gt;0,"Win", "Lose")</f>
        <v>Win</v>
      </c>
    </row>
    <row r="374" spans="1:14" x14ac:dyDescent="0.25">
      <c r="A374">
        <v>373</v>
      </c>
      <c r="B374" t="s">
        <v>6</v>
      </c>
      <c r="C374" t="s">
        <v>49</v>
      </c>
      <c r="D374">
        <v>4</v>
      </c>
      <c r="E374">
        <v>2021</v>
      </c>
      <c r="F374" s="2">
        <f>DATE(Table1[[#This Row],[Tahun]],Table1[[#This Row],[Bulan]],1)</f>
        <v>44287</v>
      </c>
      <c r="G374">
        <v>1082</v>
      </c>
      <c r="H374">
        <v>1064</v>
      </c>
      <c r="I374" s="6">
        <f>(Table1[[#This Row],[Aktual]]-Table1[[#This Row],[Target]])</f>
        <v>18</v>
      </c>
      <c r="J374" s="3">
        <f>(Table1[[#This Row],[Aktual]]-Table1[[#This Row],[Target]])/Table1[[#This Row],[Target]]</f>
        <v>1.6917293233082706E-2</v>
      </c>
      <c r="K374" t="str">
        <f>IF(Table1[[#This Row],[Performance Gap (%)]]&lt;0,"Tidak mencapai target", IF(Table1[[#This Row],[Performance Gap (%)]]=0,"Mencapai target", "Melebihi Target"))</f>
        <v>Melebihi Target</v>
      </c>
      <c r="L374">
        <f>VLOOKUP(Table1[[#This Row],[Propinsi]]&amp;"_"&amp;Table1[[#This Row],[Dati 2]]&amp;"_"&amp;Table1[[#This Row],[Tanggal]],Table2[[#All],[Kompetitor area]:[Jumlah Kompetitor]],7,0)</f>
        <v>129</v>
      </c>
      <c r="M374">
        <f>Table1[[#This Row],[Aktual]]-Table1[[#This Row],[Jumlah Kompetitor]]</f>
        <v>953</v>
      </c>
      <c r="N374" t="str">
        <f>IF(Table1[[#This Row],[vs Kompetitor]]&gt;0,"Win", "Lose")</f>
        <v>Win</v>
      </c>
    </row>
    <row r="375" spans="1:14" x14ac:dyDescent="0.25">
      <c r="A375">
        <v>374</v>
      </c>
      <c r="B375" t="s">
        <v>6</v>
      </c>
      <c r="C375" t="s">
        <v>50</v>
      </c>
      <c r="D375">
        <v>4</v>
      </c>
      <c r="E375">
        <v>2021</v>
      </c>
      <c r="F375" s="2">
        <f>DATE(Table1[[#This Row],[Tahun]],Table1[[#This Row],[Bulan]],1)</f>
        <v>44287</v>
      </c>
      <c r="G375">
        <v>969</v>
      </c>
      <c r="H375">
        <v>895</v>
      </c>
      <c r="I375" s="6">
        <f>(Table1[[#This Row],[Aktual]]-Table1[[#This Row],[Target]])</f>
        <v>74</v>
      </c>
      <c r="J375" s="3">
        <f>(Table1[[#This Row],[Aktual]]-Table1[[#This Row],[Target]])/Table1[[#This Row],[Target]]</f>
        <v>8.2681564245810052E-2</v>
      </c>
      <c r="K375" t="str">
        <f>IF(Table1[[#This Row],[Performance Gap (%)]]&lt;0,"Tidak mencapai target", IF(Table1[[#This Row],[Performance Gap (%)]]=0,"Mencapai target", "Melebihi Target"))</f>
        <v>Melebihi Target</v>
      </c>
      <c r="L375">
        <f>VLOOKUP(Table1[[#This Row],[Propinsi]]&amp;"_"&amp;Table1[[#This Row],[Dati 2]]&amp;"_"&amp;Table1[[#This Row],[Tanggal]],Table2[[#All],[Kompetitor area]:[Jumlah Kompetitor]],7,0)</f>
        <v>105</v>
      </c>
      <c r="M375">
        <f>Table1[[#This Row],[Aktual]]-Table1[[#This Row],[Jumlah Kompetitor]]</f>
        <v>864</v>
      </c>
      <c r="N375" t="str">
        <f>IF(Table1[[#This Row],[vs Kompetitor]]&gt;0,"Win", "Lose")</f>
        <v>Win</v>
      </c>
    </row>
    <row r="376" spans="1:14" x14ac:dyDescent="0.25">
      <c r="A376">
        <v>375</v>
      </c>
      <c r="B376" t="s">
        <v>6</v>
      </c>
      <c r="C376" t="s">
        <v>51</v>
      </c>
      <c r="D376">
        <v>4</v>
      </c>
      <c r="E376">
        <v>2021</v>
      </c>
      <c r="F376" s="2">
        <f>DATE(Table1[[#This Row],[Tahun]],Table1[[#This Row],[Bulan]],1)</f>
        <v>44287</v>
      </c>
      <c r="G376">
        <v>140</v>
      </c>
      <c r="H376">
        <v>157</v>
      </c>
      <c r="I376" s="6">
        <f>(Table1[[#This Row],[Aktual]]-Table1[[#This Row],[Target]])</f>
        <v>-17</v>
      </c>
      <c r="J376" s="3">
        <f>(Table1[[#This Row],[Aktual]]-Table1[[#This Row],[Target]])/Table1[[#This Row],[Target]]</f>
        <v>-0.10828025477707007</v>
      </c>
      <c r="K376" t="str">
        <f>IF(Table1[[#This Row],[Performance Gap (%)]]&lt;0,"Tidak mencapai target", IF(Table1[[#This Row],[Performance Gap (%)]]=0,"Mencapai target", "Melebihi Target"))</f>
        <v>Tidak mencapai target</v>
      </c>
      <c r="L376">
        <f>VLOOKUP(Table1[[#This Row],[Propinsi]]&amp;"_"&amp;Table1[[#This Row],[Dati 2]]&amp;"_"&amp;Table1[[#This Row],[Tanggal]],Table2[[#All],[Kompetitor area]:[Jumlah Kompetitor]],7,0)</f>
        <v>104</v>
      </c>
      <c r="M376">
        <f>Table1[[#This Row],[Aktual]]-Table1[[#This Row],[Jumlah Kompetitor]]</f>
        <v>36</v>
      </c>
      <c r="N376" t="str">
        <f>IF(Table1[[#This Row],[vs Kompetitor]]&gt;0,"Win", "Lose")</f>
        <v>Win</v>
      </c>
    </row>
    <row r="377" spans="1:14" x14ac:dyDescent="0.25">
      <c r="A377">
        <v>376</v>
      </c>
      <c r="B377" t="s">
        <v>6</v>
      </c>
      <c r="C377" t="s">
        <v>52</v>
      </c>
      <c r="D377">
        <v>4</v>
      </c>
      <c r="E377">
        <v>2021</v>
      </c>
      <c r="F377" s="2">
        <f>DATE(Table1[[#This Row],[Tahun]],Table1[[#This Row],[Bulan]],1)</f>
        <v>44287</v>
      </c>
      <c r="G377">
        <v>552</v>
      </c>
      <c r="H377">
        <v>564</v>
      </c>
      <c r="I377" s="6">
        <f>(Table1[[#This Row],[Aktual]]-Table1[[#This Row],[Target]])</f>
        <v>-12</v>
      </c>
      <c r="J377" s="3">
        <f>(Table1[[#This Row],[Aktual]]-Table1[[#This Row],[Target]])/Table1[[#This Row],[Target]]</f>
        <v>-2.1276595744680851E-2</v>
      </c>
      <c r="K377" t="str">
        <f>IF(Table1[[#This Row],[Performance Gap (%)]]&lt;0,"Tidak mencapai target", IF(Table1[[#This Row],[Performance Gap (%)]]=0,"Mencapai target", "Melebihi Target"))</f>
        <v>Tidak mencapai target</v>
      </c>
      <c r="L377">
        <f>VLOOKUP(Table1[[#This Row],[Propinsi]]&amp;"_"&amp;Table1[[#This Row],[Dati 2]]&amp;"_"&amp;Table1[[#This Row],[Tanggal]],Table2[[#All],[Kompetitor area]:[Jumlah Kompetitor]],7,0)</f>
        <v>114</v>
      </c>
      <c r="M377">
        <f>Table1[[#This Row],[Aktual]]-Table1[[#This Row],[Jumlah Kompetitor]]</f>
        <v>438</v>
      </c>
      <c r="N377" t="str">
        <f>IF(Table1[[#This Row],[vs Kompetitor]]&gt;0,"Win", "Lose")</f>
        <v>Win</v>
      </c>
    </row>
    <row r="378" spans="1:14" x14ac:dyDescent="0.25">
      <c r="A378">
        <v>377</v>
      </c>
      <c r="B378" t="s">
        <v>6</v>
      </c>
      <c r="C378" t="s">
        <v>53</v>
      </c>
      <c r="D378">
        <v>4</v>
      </c>
      <c r="E378">
        <v>2021</v>
      </c>
      <c r="F378" s="2">
        <f>DATE(Table1[[#This Row],[Tahun]],Table1[[#This Row],[Bulan]],1)</f>
        <v>44287</v>
      </c>
      <c r="G378">
        <v>565</v>
      </c>
      <c r="H378">
        <v>492</v>
      </c>
      <c r="I378" s="6">
        <f>(Table1[[#This Row],[Aktual]]-Table1[[#This Row],[Target]])</f>
        <v>73</v>
      </c>
      <c r="J378" s="3">
        <f>(Table1[[#This Row],[Aktual]]-Table1[[#This Row],[Target]])/Table1[[#This Row],[Target]]</f>
        <v>0.1483739837398374</v>
      </c>
      <c r="K378" t="str">
        <f>IF(Table1[[#This Row],[Performance Gap (%)]]&lt;0,"Tidak mencapai target", IF(Table1[[#This Row],[Performance Gap (%)]]=0,"Mencapai target", "Melebihi Target"))</f>
        <v>Melebihi Target</v>
      </c>
      <c r="L378">
        <f>VLOOKUP(Table1[[#This Row],[Propinsi]]&amp;"_"&amp;Table1[[#This Row],[Dati 2]]&amp;"_"&amp;Table1[[#This Row],[Tanggal]],Table2[[#All],[Kompetitor area]:[Jumlah Kompetitor]],7,0)</f>
        <v>226</v>
      </c>
      <c r="M378">
        <f>Table1[[#This Row],[Aktual]]-Table1[[#This Row],[Jumlah Kompetitor]]</f>
        <v>339</v>
      </c>
      <c r="N378" t="str">
        <f>IF(Table1[[#This Row],[vs Kompetitor]]&gt;0,"Win", "Lose")</f>
        <v>Win</v>
      </c>
    </row>
    <row r="379" spans="1:14" x14ac:dyDescent="0.25">
      <c r="A379">
        <v>378</v>
      </c>
      <c r="B379" t="s">
        <v>6</v>
      </c>
      <c r="C379" t="s">
        <v>54</v>
      </c>
      <c r="D379">
        <v>4</v>
      </c>
      <c r="E379">
        <v>2021</v>
      </c>
      <c r="F379" s="2">
        <f>DATE(Table1[[#This Row],[Tahun]],Table1[[#This Row],[Bulan]],1)</f>
        <v>44287</v>
      </c>
      <c r="G379">
        <v>572</v>
      </c>
      <c r="H379">
        <v>513</v>
      </c>
      <c r="I379" s="6">
        <f>(Table1[[#This Row],[Aktual]]-Table1[[#This Row],[Target]])</f>
        <v>59</v>
      </c>
      <c r="J379" s="3">
        <f>(Table1[[#This Row],[Aktual]]-Table1[[#This Row],[Target]])/Table1[[#This Row],[Target]]</f>
        <v>0.11500974658869395</v>
      </c>
      <c r="K379" t="str">
        <f>IF(Table1[[#This Row],[Performance Gap (%)]]&lt;0,"Tidak mencapai target", IF(Table1[[#This Row],[Performance Gap (%)]]=0,"Mencapai target", "Melebihi Target"))</f>
        <v>Melebihi Target</v>
      </c>
      <c r="L379">
        <f>VLOOKUP(Table1[[#This Row],[Propinsi]]&amp;"_"&amp;Table1[[#This Row],[Dati 2]]&amp;"_"&amp;Table1[[#This Row],[Tanggal]],Table2[[#All],[Kompetitor area]:[Jumlah Kompetitor]],7,0)</f>
        <v>262</v>
      </c>
      <c r="M379">
        <f>Table1[[#This Row],[Aktual]]-Table1[[#This Row],[Jumlah Kompetitor]]</f>
        <v>310</v>
      </c>
      <c r="N379" t="str">
        <f>IF(Table1[[#This Row],[vs Kompetitor]]&gt;0,"Win", "Lose")</f>
        <v>Win</v>
      </c>
    </row>
    <row r="380" spans="1:14" x14ac:dyDescent="0.25">
      <c r="A380">
        <v>379</v>
      </c>
      <c r="B380" t="s">
        <v>6</v>
      </c>
      <c r="C380" t="s">
        <v>55</v>
      </c>
      <c r="D380">
        <v>4</v>
      </c>
      <c r="E380">
        <v>2021</v>
      </c>
      <c r="F380" s="2">
        <f>DATE(Table1[[#This Row],[Tahun]],Table1[[#This Row],[Bulan]],1)</f>
        <v>44287</v>
      </c>
      <c r="G380">
        <v>368</v>
      </c>
      <c r="H380">
        <v>306</v>
      </c>
      <c r="I380" s="6">
        <f>(Table1[[#This Row],[Aktual]]-Table1[[#This Row],[Target]])</f>
        <v>62</v>
      </c>
      <c r="J380" s="3">
        <f>(Table1[[#This Row],[Aktual]]-Table1[[#This Row],[Target]])/Table1[[#This Row],[Target]]</f>
        <v>0.20261437908496732</v>
      </c>
      <c r="K380" t="str">
        <f>IF(Table1[[#This Row],[Performance Gap (%)]]&lt;0,"Tidak mencapai target", IF(Table1[[#This Row],[Performance Gap (%)]]=0,"Mencapai target", "Melebihi Target"))</f>
        <v>Melebihi Target</v>
      </c>
      <c r="L380">
        <f>VLOOKUP(Table1[[#This Row],[Propinsi]]&amp;"_"&amp;Table1[[#This Row],[Dati 2]]&amp;"_"&amp;Table1[[#This Row],[Tanggal]],Table2[[#All],[Kompetitor area]:[Jumlah Kompetitor]],7,0)</f>
        <v>216</v>
      </c>
      <c r="M380">
        <f>Table1[[#This Row],[Aktual]]-Table1[[#This Row],[Jumlah Kompetitor]]</f>
        <v>152</v>
      </c>
      <c r="N380" t="str">
        <f>IF(Table1[[#This Row],[vs Kompetitor]]&gt;0,"Win", "Lose")</f>
        <v>Win</v>
      </c>
    </row>
    <row r="381" spans="1:14" x14ac:dyDescent="0.25">
      <c r="A381">
        <v>380</v>
      </c>
      <c r="B381" t="s">
        <v>6</v>
      </c>
      <c r="C381" t="s">
        <v>56</v>
      </c>
      <c r="D381">
        <v>4</v>
      </c>
      <c r="E381">
        <v>2021</v>
      </c>
      <c r="F381" s="2">
        <f>DATE(Table1[[#This Row],[Tahun]],Table1[[#This Row],[Bulan]],1)</f>
        <v>44287</v>
      </c>
      <c r="G381">
        <v>163</v>
      </c>
      <c r="H381">
        <v>151</v>
      </c>
      <c r="I381" s="6">
        <f>(Table1[[#This Row],[Aktual]]-Table1[[#This Row],[Target]])</f>
        <v>12</v>
      </c>
      <c r="J381" s="3">
        <f>(Table1[[#This Row],[Aktual]]-Table1[[#This Row],[Target]])/Table1[[#This Row],[Target]]</f>
        <v>7.9470198675496692E-2</v>
      </c>
      <c r="K381" t="str">
        <f>IF(Table1[[#This Row],[Performance Gap (%)]]&lt;0,"Tidak mencapai target", IF(Table1[[#This Row],[Performance Gap (%)]]=0,"Mencapai target", "Melebihi Target"))</f>
        <v>Melebihi Target</v>
      </c>
      <c r="L381">
        <f>VLOOKUP(Table1[[#This Row],[Propinsi]]&amp;"_"&amp;Table1[[#This Row],[Dati 2]]&amp;"_"&amp;Table1[[#This Row],[Tanggal]],Table2[[#All],[Kompetitor area]:[Jumlah Kompetitor]],7,0)</f>
        <v>143</v>
      </c>
      <c r="M381">
        <f>Table1[[#This Row],[Aktual]]-Table1[[#This Row],[Jumlah Kompetitor]]</f>
        <v>20</v>
      </c>
      <c r="N381" t="str">
        <f>IF(Table1[[#This Row],[vs Kompetitor]]&gt;0,"Win", "Lose")</f>
        <v>Win</v>
      </c>
    </row>
    <row r="382" spans="1:14" x14ac:dyDescent="0.25">
      <c r="A382">
        <v>381</v>
      </c>
      <c r="B382" t="s">
        <v>6</v>
      </c>
      <c r="C382" t="s">
        <v>57</v>
      </c>
      <c r="D382">
        <v>4</v>
      </c>
      <c r="E382">
        <v>2021</v>
      </c>
      <c r="F382" s="2">
        <f>DATE(Table1[[#This Row],[Tahun]],Table1[[#This Row],[Bulan]],1)</f>
        <v>44287</v>
      </c>
      <c r="G382">
        <v>565</v>
      </c>
      <c r="H382">
        <v>535</v>
      </c>
      <c r="I382" s="6">
        <f>(Table1[[#This Row],[Aktual]]-Table1[[#This Row],[Target]])</f>
        <v>30</v>
      </c>
      <c r="J382" s="3">
        <f>(Table1[[#This Row],[Aktual]]-Table1[[#This Row],[Target]])/Table1[[#This Row],[Target]]</f>
        <v>5.6074766355140186E-2</v>
      </c>
      <c r="K382" t="str">
        <f>IF(Table1[[#This Row],[Performance Gap (%)]]&lt;0,"Tidak mencapai target", IF(Table1[[#This Row],[Performance Gap (%)]]=0,"Mencapai target", "Melebihi Target"))</f>
        <v>Melebihi Target</v>
      </c>
      <c r="L382">
        <f>VLOOKUP(Table1[[#This Row],[Propinsi]]&amp;"_"&amp;Table1[[#This Row],[Dati 2]]&amp;"_"&amp;Table1[[#This Row],[Tanggal]],Table2[[#All],[Kompetitor area]:[Jumlah Kompetitor]],7,0)</f>
        <v>13</v>
      </c>
      <c r="M382">
        <f>Table1[[#This Row],[Aktual]]-Table1[[#This Row],[Jumlah Kompetitor]]</f>
        <v>552</v>
      </c>
      <c r="N382" t="str">
        <f>IF(Table1[[#This Row],[vs Kompetitor]]&gt;0,"Win", "Lose")</f>
        <v>Win</v>
      </c>
    </row>
    <row r="383" spans="1:14" x14ac:dyDescent="0.25">
      <c r="A383">
        <v>382</v>
      </c>
      <c r="B383" t="s">
        <v>6</v>
      </c>
      <c r="C383" t="s">
        <v>58</v>
      </c>
      <c r="D383">
        <v>4</v>
      </c>
      <c r="E383">
        <v>2021</v>
      </c>
      <c r="F383" s="2">
        <f>DATE(Table1[[#This Row],[Tahun]],Table1[[#This Row],[Bulan]],1)</f>
        <v>44287</v>
      </c>
      <c r="G383">
        <v>528</v>
      </c>
      <c r="H383">
        <v>523</v>
      </c>
      <c r="I383" s="6">
        <f>(Table1[[#This Row],[Aktual]]-Table1[[#This Row],[Target]])</f>
        <v>5</v>
      </c>
      <c r="J383" s="3">
        <f>(Table1[[#This Row],[Aktual]]-Table1[[#This Row],[Target]])/Table1[[#This Row],[Target]]</f>
        <v>9.5602294455066923E-3</v>
      </c>
      <c r="K383" t="str">
        <f>IF(Table1[[#This Row],[Performance Gap (%)]]&lt;0,"Tidak mencapai target", IF(Table1[[#This Row],[Performance Gap (%)]]=0,"Mencapai target", "Melebihi Target"))</f>
        <v>Melebihi Target</v>
      </c>
      <c r="L383">
        <f>VLOOKUP(Table1[[#This Row],[Propinsi]]&amp;"_"&amp;Table1[[#This Row],[Dati 2]]&amp;"_"&amp;Table1[[#This Row],[Tanggal]],Table2[[#All],[Kompetitor area]:[Jumlah Kompetitor]],7,0)</f>
        <v>114</v>
      </c>
      <c r="M383">
        <f>Table1[[#This Row],[Aktual]]-Table1[[#This Row],[Jumlah Kompetitor]]</f>
        <v>414</v>
      </c>
      <c r="N383" t="str">
        <f>IF(Table1[[#This Row],[vs Kompetitor]]&gt;0,"Win", "Lose")</f>
        <v>Win</v>
      </c>
    </row>
    <row r="384" spans="1:14" x14ac:dyDescent="0.25">
      <c r="A384">
        <v>383</v>
      </c>
      <c r="B384" t="s">
        <v>6</v>
      </c>
      <c r="C384" t="s">
        <v>59</v>
      </c>
      <c r="D384">
        <v>4</v>
      </c>
      <c r="E384">
        <v>2021</v>
      </c>
      <c r="F384" s="2">
        <f>DATE(Table1[[#This Row],[Tahun]],Table1[[#This Row],[Bulan]],1)</f>
        <v>44287</v>
      </c>
      <c r="G384">
        <v>174</v>
      </c>
      <c r="H384">
        <v>158</v>
      </c>
      <c r="I384" s="6">
        <f>(Table1[[#This Row],[Aktual]]-Table1[[#This Row],[Target]])</f>
        <v>16</v>
      </c>
      <c r="J384" s="3">
        <f>(Table1[[#This Row],[Aktual]]-Table1[[#This Row],[Target]])/Table1[[#This Row],[Target]]</f>
        <v>0.10126582278481013</v>
      </c>
      <c r="K384" t="str">
        <f>IF(Table1[[#This Row],[Performance Gap (%)]]&lt;0,"Tidak mencapai target", IF(Table1[[#This Row],[Performance Gap (%)]]=0,"Mencapai target", "Melebihi Target"))</f>
        <v>Melebihi Target</v>
      </c>
      <c r="L384">
        <f>VLOOKUP(Table1[[#This Row],[Propinsi]]&amp;"_"&amp;Table1[[#This Row],[Dati 2]]&amp;"_"&amp;Table1[[#This Row],[Tanggal]],Table2[[#All],[Kompetitor area]:[Jumlah Kompetitor]],7,0)</f>
        <v>131</v>
      </c>
      <c r="M384">
        <f>Table1[[#This Row],[Aktual]]-Table1[[#This Row],[Jumlah Kompetitor]]</f>
        <v>43</v>
      </c>
      <c r="N384" t="str">
        <f>IF(Table1[[#This Row],[vs Kompetitor]]&gt;0,"Win", "Lose")</f>
        <v>Win</v>
      </c>
    </row>
    <row r="385" spans="1:14" x14ac:dyDescent="0.25">
      <c r="A385">
        <v>384</v>
      </c>
      <c r="B385" t="s">
        <v>6</v>
      </c>
      <c r="C385" t="s">
        <v>60</v>
      </c>
      <c r="D385">
        <v>4</v>
      </c>
      <c r="E385">
        <v>2021</v>
      </c>
      <c r="F385" s="2">
        <f>DATE(Table1[[#This Row],[Tahun]],Table1[[#This Row],[Bulan]],1)</f>
        <v>44287</v>
      </c>
      <c r="G385">
        <v>79</v>
      </c>
      <c r="H385">
        <v>76</v>
      </c>
      <c r="I385" s="6">
        <f>(Table1[[#This Row],[Aktual]]-Table1[[#This Row],[Target]])</f>
        <v>3</v>
      </c>
      <c r="J385" s="3">
        <f>(Table1[[#This Row],[Aktual]]-Table1[[#This Row],[Target]])/Table1[[#This Row],[Target]]</f>
        <v>3.9473684210526314E-2</v>
      </c>
      <c r="K385" t="str">
        <f>IF(Table1[[#This Row],[Performance Gap (%)]]&lt;0,"Tidak mencapai target", IF(Table1[[#This Row],[Performance Gap (%)]]=0,"Mencapai target", "Melebihi Target"))</f>
        <v>Melebihi Target</v>
      </c>
      <c r="L385">
        <f>VLOOKUP(Table1[[#This Row],[Propinsi]]&amp;"_"&amp;Table1[[#This Row],[Dati 2]]&amp;"_"&amp;Table1[[#This Row],[Tanggal]],Table2[[#All],[Kompetitor area]:[Jumlah Kompetitor]],7,0)</f>
        <v>98</v>
      </c>
      <c r="M385">
        <f>Table1[[#This Row],[Aktual]]-Table1[[#This Row],[Jumlah Kompetitor]]</f>
        <v>-19</v>
      </c>
      <c r="N385" t="str">
        <f>IF(Table1[[#This Row],[vs Kompetitor]]&gt;0,"Win", "Lose")</f>
        <v>Lose</v>
      </c>
    </row>
    <row r="386" spans="1:14" x14ac:dyDescent="0.25">
      <c r="A386">
        <v>385</v>
      </c>
      <c r="B386" t="s">
        <v>6</v>
      </c>
      <c r="C386" t="s">
        <v>61</v>
      </c>
      <c r="D386">
        <v>4</v>
      </c>
      <c r="E386">
        <v>2021</v>
      </c>
      <c r="F386" s="2">
        <f>DATE(Table1[[#This Row],[Tahun]],Table1[[#This Row],[Bulan]],1)</f>
        <v>44287</v>
      </c>
      <c r="G386">
        <v>619</v>
      </c>
      <c r="H386">
        <v>581</v>
      </c>
      <c r="I386" s="6">
        <f>(Table1[[#This Row],[Aktual]]-Table1[[#This Row],[Target]])</f>
        <v>38</v>
      </c>
      <c r="J386" s="3">
        <f>(Table1[[#This Row],[Aktual]]-Table1[[#This Row],[Target]])/Table1[[#This Row],[Target]]</f>
        <v>6.5404475043029264E-2</v>
      </c>
      <c r="K386" t="str">
        <f>IF(Table1[[#This Row],[Performance Gap (%)]]&lt;0,"Tidak mencapai target", IF(Table1[[#This Row],[Performance Gap (%)]]=0,"Mencapai target", "Melebihi Target"))</f>
        <v>Melebihi Target</v>
      </c>
      <c r="L386">
        <f>VLOOKUP(Table1[[#This Row],[Propinsi]]&amp;"_"&amp;Table1[[#This Row],[Dati 2]]&amp;"_"&amp;Table1[[#This Row],[Tanggal]],Table2[[#All],[Kompetitor area]:[Jumlah Kompetitor]],7,0)</f>
        <v>165</v>
      </c>
      <c r="M386">
        <f>Table1[[#This Row],[Aktual]]-Table1[[#This Row],[Jumlah Kompetitor]]</f>
        <v>454</v>
      </c>
      <c r="N386" t="str">
        <f>IF(Table1[[#This Row],[vs Kompetitor]]&gt;0,"Win", "Lose")</f>
        <v>Win</v>
      </c>
    </row>
    <row r="387" spans="1:14" x14ac:dyDescent="0.25">
      <c r="A387">
        <v>386</v>
      </c>
      <c r="B387" t="s">
        <v>3</v>
      </c>
      <c r="C387" t="s">
        <v>62</v>
      </c>
      <c r="D387">
        <v>4</v>
      </c>
      <c r="E387">
        <v>2021</v>
      </c>
      <c r="F387" s="2">
        <f>DATE(Table1[[#This Row],[Tahun]],Table1[[#This Row],[Bulan]],1)</f>
        <v>44287</v>
      </c>
      <c r="G387">
        <v>709</v>
      </c>
      <c r="H387">
        <v>625</v>
      </c>
      <c r="I387" s="6">
        <f>(Table1[[#This Row],[Aktual]]-Table1[[#This Row],[Target]])</f>
        <v>84</v>
      </c>
      <c r="J387" s="3">
        <f>(Table1[[#This Row],[Aktual]]-Table1[[#This Row],[Target]])/Table1[[#This Row],[Target]]</f>
        <v>0.13439999999999999</v>
      </c>
      <c r="K387" t="str">
        <f>IF(Table1[[#This Row],[Performance Gap (%)]]&lt;0,"Tidak mencapai target", IF(Table1[[#This Row],[Performance Gap (%)]]=0,"Mencapai target", "Melebihi Target"))</f>
        <v>Melebihi Target</v>
      </c>
      <c r="L387">
        <f>VLOOKUP(Table1[[#This Row],[Propinsi]]&amp;"_"&amp;Table1[[#This Row],[Dati 2]]&amp;"_"&amp;Table1[[#This Row],[Tanggal]],Table2[[#All],[Kompetitor area]:[Jumlah Kompetitor]],7,0)</f>
        <v>274</v>
      </c>
      <c r="M387">
        <f>Table1[[#This Row],[Aktual]]-Table1[[#This Row],[Jumlah Kompetitor]]</f>
        <v>435</v>
      </c>
      <c r="N387" t="str">
        <f>IF(Table1[[#This Row],[vs Kompetitor]]&gt;0,"Win", "Lose")</f>
        <v>Win</v>
      </c>
    </row>
    <row r="388" spans="1:14" x14ac:dyDescent="0.25">
      <c r="A388">
        <v>387</v>
      </c>
      <c r="B388" t="s">
        <v>3</v>
      </c>
      <c r="C388" t="s">
        <v>63</v>
      </c>
      <c r="D388">
        <v>4</v>
      </c>
      <c r="E388">
        <v>2021</v>
      </c>
      <c r="F388" s="2">
        <f>DATE(Table1[[#This Row],[Tahun]],Table1[[#This Row],[Bulan]],1)</f>
        <v>44287</v>
      </c>
      <c r="G388">
        <v>911</v>
      </c>
      <c r="H388">
        <v>1015</v>
      </c>
      <c r="I388" s="6">
        <f>(Table1[[#This Row],[Aktual]]-Table1[[#This Row],[Target]])</f>
        <v>-104</v>
      </c>
      <c r="J388" s="3">
        <f>(Table1[[#This Row],[Aktual]]-Table1[[#This Row],[Target]])/Table1[[#This Row],[Target]]</f>
        <v>-0.10246305418719212</v>
      </c>
      <c r="K388" t="str">
        <f>IF(Table1[[#This Row],[Performance Gap (%)]]&lt;0,"Tidak mencapai target", IF(Table1[[#This Row],[Performance Gap (%)]]=0,"Mencapai target", "Melebihi Target"))</f>
        <v>Tidak mencapai target</v>
      </c>
      <c r="L388">
        <f>VLOOKUP(Table1[[#This Row],[Propinsi]]&amp;"_"&amp;Table1[[#This Row],[Dati 2]]&amp;"_"&amp;Table1[[#This Row],[Tanggal]],Table2[[#All],[Kompetitor area]:[Jumlah Kompetitor]],7,0)</f>
        <v>297</v>
      </c>
      <c r="M388">
        <f>Table1[[#This Row],[Aktual]]-Table1[[#This Row],[Jumlah Kompetitor]]</f>
        <v>614</v>
      </c>
      <c r="N388" t="str">
        <f>IF(Table1[[#This Row],[vs Kompetitor]]&gt;0,"Win", "Lose")</f>
        <v>Win</v>
      </c>
    </row>
    <row r="389" spans="1:14" x14ac:dyDescent="0.25">
      <c r="A389">
        <v>388</v>
      </c>
      <c r="B389" t="s">
        <v>3</v>
      </c>
      <c r="C389" t="s">
        <v>64</v>
      </c>
      <c r="D389">
        <v>4</v>
      </c>
      <c r="E389">
        <v>2021</v>
      </c>
      <c r="F389" s="2">
        <f>DATE(Table1[[#This Row],[Tahun]],Table1[[#This Row],[Bulan]],1)</f>
        <v>44287</v>
      </c>
      <c r="G389">
        <v>620</v>
      </c>
      <c r="H389">
        <v>702</v>
      </c>
      <c r="I389" s="6">
        <f>(Table1[[#This Row],[Aktual]]-Table1[[#This Row],[Target]])</f>
        <v>-82</v>
      </c>
      <c r="J389" s="3">
        <f>(Table1[[#This Row],[Aktual]]-Table1[[#This Row],[Target]])/Table1[[#This Row],[Target]]</f>
        <v>-0.11680911680911681</v>
      </c>
      <c r="K389" t="str">
        <f>IF(Table1[[#This Row],[Performance Gap (%)]]&lt;0,"Tidak mencapai target", IF(Table1[[#This Row],[Performance Gap (%)]]=0,"Mencapai target", "Melebihi Target"))</f>
        <v>Tidak mencapai target</v>
      </c>
      <c r="L389">
        <f>VLOOKUP(Table1[[#This Row],[Propinsi]]&amp;"_"&amp;Table1[[#This Row],[Dati 2]]&amp;"_"&amp;Table1[[#This Row],[Tanggal]],Table2[[#All],[Kompetitor area]:[Jumlah Kompetitor]],7,0)</f>
        <v>136</v>
      </c>
      <c r="M389">
        <f>Table1[[#This Row],[Aktual]]-Table1[[#This Row],[Jumlah Kompetitor]]</f>
        <v>484</v>
      </c>
      <c r="N389" t="str">
        <f>IF(Table1[[#This Row],[vs Kompetitor]]&gt;0,"Win", "Lose")</f>
        <v>Win</v>
      </c>
    </row>
    <row r="390" spans="1:14" x14ac:dyDescent="0.25">
      <c r="A390">
        <v>389</v>
      </c>
      <c r="B390" t="s">
        <v>3</v>
      </c>
      <c r="C390" t="s">
        <v>65</v>
      </c>
      <c r="D390">
        <v>4</v>
      </c>
      <c r="E390">
        <v>2021</v>
      </c>
      <c r="F390" s="2">
        <f>DATE(Table1[[#This Row],[Tahun]],Table1[[#This Row],[Bulan]],1)</f>
        <v>44287</v>
      </c>
      <c r="G390">
        <v>1220</v>
      </c>
      <c r="H390">
        <v>1120</v>
      </c>
      <c r="I390" s="6">
        <f>(Table1[[#This Row],[Aktual]]-Table1[[#This Row],[Target]])</f>
        <v>100</v>
      </c>
      <c r="J390" s="3">
        <f>(Table1[[#This Row],[Aktual]]-Table1[[#This Row],[Target]])/Table1[[#This Row],[Target]]</f>
        <v>8.9285714285714288E-2</v>
      </c>
      <c r="K390" t="str">
        <f>IF(Table1[[#This Row],[Performance Gap (%)]]&lt;0,"Tidak mencapai target", IF(Table1[[#This Row],[Performance Gap (%)]]=0,"Mencapai target", "Melebihi Target"))</f>
        <v>Melebihi Target</v>
      </c>
      <c r="L390">
        <f>VLOOKUP(Table1[[#This Row],[Propinsi]]&amp;"_"&amp;Table1[[#This Row],[Dati 2]]&amp;"_"&amp;Table1[[#This Row],[Tanggal]],Table2[[#All],[Kompetitor area]:[Jumlah Kompetitor]],7,0)</f>
        <v>179</v>
      </c>
      <c r="M390">
        <f>Table1[[#This Row],[Aktual]]-Table1[[#This Row],[Jumlah Kompetitor]]</f>
        <v>1041</v>
      </c>
      <c r="N390" t="str">
        <f>IF(Table1[[#This Row],[vs Kompetitor]]&gt;0,"Win", "Lose")</f>
        <v>Win</v>
      </c>
    </row>
    <row r="391" spans="1:14" x14ac:dyDescent="0.25">
      <c r="A391">
        <v>390</v>
      </c>
      <c r="B391" t="s">
        <v>3</v>
      </c>
      <c r="C391" t="s">
        <v>66</v>
      </c>
      <c r="D391">
        <v>4</v>
      </c>
      <c r="E391">
        <v>2021</v>
      </c>
      <c r="F391" s="2">
        <f>DATE(Table1[[#This Row],[Tahun]],Table1[[#This Row],[Bulan]],1)</f>
        <v>44287</v>
      </c>
      <c r="G391">
        <v>1209</v>
      </c>
      <c r="H391">
        <v>998</v>
      </c>
      <c r="I391" s="6">
        <f>(Table1[[#This Row],[Aktual]]-Table1[[#This Row],[Target]])</f>
        <v>211</v>
      </c>
      <c r="J391" s="3">
        <f>(Table1[[#This Row],[Aktual]]-Table1[[#This Row],[Target]])/Table1[[#This Row],[Target]]</f>
        <v>0.21142284569138275</v>
      </c>
      <c r="K391" t="str">
        <f>IF(Table1[[#This Row],[Performance Gap (%)]]&lt;0,"Tidak mencapai target", IF(Table1[[#This Row],[Performance Gap (%)]]=0,"Mencapai target", "Melebihi Target"))</f>
        <v>Melebihi Target</v>
      </c>
      <c r="L391">
        <f>VLOOKUP(Table1[[#This Row],[Propinsi]]&amp;"_"&amp;Table1[[#This Row],[Dati 2]]&amp;"_"&amp;Table1[[#This Row],[Tanggal]],Table2[[#All],[Kompetitor area]:[Jumlah Kompetitor]],7,0)</f>
        <v>88</v>
      </c>
      <c r="M391">
        <f>Table1[[#This Row],[Aktual]]-Table1[[#This Row],[Jumlah Kompetitor]]</f>
        <v>1121</v>
      </c>
      <c r="N391" t="str">
        <f>IF(Table1[[#This Row],[vs Kompetitor]]&gt;0,"Win", "Lose")</f>
        <v>Win</v>
      </c>
    </row>
    <row r="392" spans="1:14" x14ac:dyDescent="0.25">
      <c r="A392">
        <v>391</v>
      </c>
      <c r="B392" t="s">
        <v>3</v>
      </c>
      <c r="C392" t="s">
        <v>67</v>
      </c>
      <c r="D392">
        <v>4</v>
      </c>
      <c r="E392">
        <v>2021</v>
      </c>
      <c r="F392" s="2">
        <f>DATE(Table1[[#This Row],[Tahun]],Table1[[#This Row],[Bulan]],1)</f>
        <v>44287</v>
      </c>
      <c r="G392">
        <v>23</v>
      </c>
      <c r="H392">
        <v>20</v>
      </c>
      <c r="I392" s="6">
        <f>(Table1[[#This Row],[Aktual]]-Table1[[#This Row],[Target]])</f>
        <v>3</v>
      </c>
      <c r="J392" s="3">
        <f>(Table1[[#This Row],[Aktual]]-Table1[[#This Row],[Target]])/Table1[[#This Row],[Target]]</f>
        <v>0.15</v>
      </c>
      <c r="K392" t="str">
        <f>IF(Table1[[#This Row],[Performance Gap (%)]]&lt;0,"Tidak mencapai target", IF(Table1[[#This Row],[Performance Gap (%)]]=0,"Mencapai target", "Melebihi Target"))</f>
        <v>Melebihi Target</v>
      </c>
      <c r="L392">
        <f>VLOOKUP(Table1[[#This Row],[Propinsi]]&amp;"_"&amp;Table1[[#This Row],[Dati 2]]&amp;"_"&amp;Table1[[#This Row],[Tanggal]],Table2[[#All],[Kompetitor area]:[Jumlah Kompetitor]],7,0)</f>
        <v>120</v>
      </c>
      <c r="M392">
        <f>Table1[[#This Row],[Aktual]]-Table1[[#This Row],[Jumlah Kompetitor]]</f>
        <v>-97</v>
      </c>
      <c r="N392" t="str">
        <f>IF(Table1[[#This Row],[vs Kompetitor]]&gt;0,"Win", "Lose")</f>
        <v>Lose</v>
      </c>
    </row>
    <row r="393" spans="1:14" x14ac:dyDescent="0.25">
      <c r="A393">
        <v>392</v>
      </c>
      <c r="B393" t="s">
        <v>2</v>
      </c>
      <c r="C393" t="s">
        <v>68</v>
      </c>
      <c r="D393">
        <v>4</v>
      </c>
      <c r="E393">
        <v>2021</v>
      </c>
      <c r="F393" s="2">
        <f>DATE(Table1[[#This Row],[Tahun]],Table1[[#This Row],[Bulan]],1)</f>
        <v>44287</v>
      </c>
      <c r="G393">
        <v>1092</v>
      </c>
      <c r="H393">
        <v>1197</v>
      </c>
      <c r="I393" s="6">
        <f>(Table1[[#This Row],[Aktual]]-Table1[[#This Row],[Target]])</f>
        <v>-105</v>
      </c>
      <c r="J393" s="3">
        <f>(Table1[[#This Row],[Aktual]]-Table1[[#This Row],[Target]])/Table1[[#This Row],[Target]]</f>
        <v>-8.771929824561403E-2</v>
      </c>
      <c r="K393" t="str">
        <f>IF(Table1[[#This Row],[Performance Gap (%)]]&lt;0,"Tidak mencapai target", IF(Table1[[#This Row],[Performance Gap (%)]]=0,"Mencapai target", "Melebihi Target"))</f>
        <v>Tidak mencapai target</v>
      </c>
      <c r="L393">
        <f>VLOOKUP(Table1[[#This Row],[Propinsi]]&amp;"_"&amp;Table1[[#This Row],[Dati 2]]&amp;"_"&amp;Table1[[#This Row],[Tanggal]],Table2[[#All],[Kompetitor area]:[Jumlah Kompetitor]],7,0)</f>
        <v>168</v>
      </c>
      <c r="M393">
        <f>Table1[[#This Row],[Aktual]]-Table1[[#This Row],[Jumlah Kompetitor]]</f>
        <v>924</v>
      </c>
      <c r="N393" t="str">
        <f>IF(Table1[[#This Row],[vs Kompetitor]]&gt;0,"Win", "Lose")</f>
        <v>Win</v>
      </c>
    </row>
    <row r="394" spans="1:14" x14ac:dyDescent="0.25">
      <c r="A394">
        <v>393</v>
      </c>
      <c r="B394" t="s">
        <v>2</v>
      </c>
      <c r="C394" t="s">
        <v>69</v>
      </c>
      <c r="D394">
        <v>4</v>
      </c>
      <c r="E394">
        <v>2021</v>
      </c>
      <c r="F394" s="2">
        <f>DATE(Table1[[#This Row],[Tahun]],Table1[[#This Row],[Bulan]],1)</f>
        <v>44287</v>
      </c>
      <c r="G394">
        <v>678</v>
      </c>
      <c r="H394">
        <v>594</v>
      </c>
      <c r="I394" s="6">
        <f>(Table1[[#This Row],[Aktual]]-Table1[[#This Row],[Target]])</f>
        <v>84</v>
      </c>
      <c r="J394" s="3">
        <f>(Table1[[#This Row],[Aktual]]-Table1[[#This Row],[Target]])/Table1[[#This Row],[Target]]</f>
        <v>0.14141414141414141</v>
      </c>
      <c r="K394" t="str">
        <f>IF(Table1[[#This Row],[Performance Gap (%)]]&lt;0,"Tidak mencapai target", IF(Table1[[#This Row],[Performance Gap (%)]]=0,"Mencapai target", "Melebihi Target"))</f>
        <v>Melebihi Target</v>
      </c>
      <c r="L394">
        <f>VLOOKUP(Table1[[#This Row],[Propinsi]]&amp;"_"&amp;Table1[[#This Row],[Dati 2]]&amp;"_"&amp;Table1[[#This Row],[Tanggal]],Table2[[#All],[Kompetitor area]:[Jumlah Kompetitor]],7,0)</f>
        <v>68</v>
      </c>
      <c r="M394">
        <f>Table1[[#This Row],[Aktual]]-Table1[[#This Row],[Jumlah Kompetitor]]</f>
        <v>610</v>
      </c>
      <c r="N394" t="str">
        <f>IF(Table1[[#This Row],[vs Kompetitor]]&gt;0,"Win", "Lose")</f>
        <v>Win</v>
      </c>
    </row>
    <row r="395" spans="1:14" x14ac:dyDescent="0.25">
      <c r="A395">
        <v>394</v>
      </c>
      <c r="B395" t="s">
        <v>4</v>
      </c>
      <c r="C395" t="s">
        <v>70</v>
      </c>
      <c r="D395">
        <v>4</v>
      </c>
      <c r="E395">
        <v>2021</v>
      </c>
      <c r="F395" s="2">
        <f>DATE(Table1[[#This Row],[Tahun]],Table1[[#This Row],[Bulan]],1)</f>
        <v>44287</v>
      </c>
      <c r="G395">
        <v>833</v>
      </c>
      <c r="H395">
        <v>892</v>
      </c>
      <c r="I395" s="6">
        <f>(Table1[[#This Row],[Aktual]]-Table1[[#This Row],[Target]])</f>
        <v>-59</v>
      </c>
      <c r="J395" s="3">
        <f>(Table1[[#This Row],[Aktual]]-Table1[[#This Row],[Target]])/Table1[[#This Row],[Target]]</f>
        <v>-6.614349775784753E-2</v>
      </c>
      <c r="K395" t="str">
        <f>IF(Table1[[#This Row],[Performance Gap (%)]]&lt;0,"Tidak mencapai target", IF(Table1[[#This Row],[Performance Gap (%)]]=0,"Mencapai target", "Melebihi Target"))</f>
        <v>Tidak mencapai target</v>
      </c>
      <c r="L395">
        <f>VLOOKUP(Table1[[#This Row],[Propinsi]]&amp;"_"&amp;Table1[[#This Row],[Dati 2]]&amp;"_"&amp;Table1[[#This Row],[Tanggal]],Table2[[#All],[Kompetitor area]:[Jumlah Kompetitor]],7,0)</f>
        <v>42</v>
      </c>
      <c r="M395">
        <f>Table1[[#This Row],[Aktual]]-Table1[[#This Row],[Jumlah Kompetitor]]</f>
        <v>791</v>
      </c>
      <c r="N395" t="str">
        <f>IF(Table1[[#This Row],[vs Kompetitor]]&gt;0,"Win", "Lose")</f>
        <v>Win</v>
      </c>
    </row>
    <row r="396" spans="1:14" x14ac:dyDescent="0.25">
      <c r="A396">
        <v>395</v>
      </c>
      <c r="B396" t="s">
        <v>4</v>
      </c>
      <c r="C396" t="s">
        <v>71</v>
      </c>
      <c r="D396">
        <v>4</v>
      </c>
      <c r="E396">
        <v>2021</v>
      </c>
      <c r="F396" s="2">
        <f>DATE(Table1[[#This Row],[Tahun]],Table1[[#This Row],[Bulan]],1)</f>
        <v>44287</v>
      </c>
      <c r="G396">
        <v>1426</v>
      </c>
      <c r="H396">
        <v>1487</v>
      </c>
      <c r="I396" s="6">
        <f>(Table1[[#This Row],[Aktual]]-Table1[[#This Row],[Target]])</f>
        <v>-61</v>
      </c>
      <c r="J396" s="3">
        <f>(Table1[[#This Row],[Aktual]]-Table1[[#This Row],[Target]])/Table1[[#This Row],[Target]]</f>
        <v>-4.10221923335575E-2</v>
      </c>
      <c r="K396" t="str">
        <f>IF(Table1[[#This Row],[Performance Gap (%)]]&lt;0,"Tidak mencapai target", IF(Table1[[#This Row],[Performance Gap (%)]]=0,"Mencapai target", "Melebihi Target"))</f>
        <v>Tidak mencapai target</v>
      </c>
      <c r="L396">
        <f>VLOOKUP(Table1[[#This Row],[Propinsi]]&amp;"_"&amp;Table1[[#This Row],[Dati 2]]&amp;"_"&amp;Table1[[#This Row],[Tanggal]],Table2[[#All],[Kompetitor area]:[Jumlah Kompetitor]],7,0)</f>
        <v>195</v>
      </c>
      <c r="M396">
        <f>Table1[[#This Row],[Aktual]]-Table1[[#This Row],[Jumlah Kompetitor]]</f>
        <v>1231</v>
      </c>
      <c r="N396" t="str">
        <f>IF(Table1[[#This Row],[vs Kompetitor]]&gt;0,"Win", "Lose")</f>
        <v>Win</v>
      </c>
    </row>
    <row r="397" spans="1:14" x14ac:dyDescent="0.25">
      <c r="A397">
        <v>396</v>
      </c>
      <c r="B397" t="s">
        <v>4</v>
      </c>
      <c r="C397" t="s">
        <v>72</v>
      </c>
      <c r="D397">
        <v>4</v>
      </c>
      <c r="E397">
        <v>2021</v>
      </c>
      <c r="F397" s="2">
        <f>DATE(Table1[[#This Row],[Tahun]],Table1[[#This Row],[Bulan]],1)</f>
        <v>44287</v>
      </c>
      <c r="G397">
        <v>1179</v>
      </c>
      <c r="H397">
        <v>1271</v>
      </c>
      <c r="I397" s="6">
        <f>(Table1[[#This Row],[Aktual]]-Table1[[#This Row],[Target]])</f>
        <v>-92</v>
      </c>
      <c r="J397" s="3">
        <f>(Table1[[#This Row],[Aktual]]-Table1[[#This Row],[Target]])/Table1[[#This Row],[Target]]</f>
        <v>-7.2383949645948076E-2</v>
      </c>
      <c r="K397" t="str">
        <f>IF(Table1[[#This Row],[Performance Gap (%)]]&lt;0,"Tidak mencapai target", IF(Table1[[#This Row],[Performance Gap (%)]]=0,"Mencapai target", "Melebihi Target"))</f>
        <v>Tidak mencapai target</v>
      </c>
      <c r="L397">
        <f>VLOOKUP(Table1[[#This Row],[Propinsi]]&amp;"_"&amp;Table1[[#This Row],[Dati 2]]&amp;"_"&amp;Table1[[#This Row],[Tanggal]],Table2[[#All],[Kompetitor area]:[Jumlah Kompetitor]],7,0)</f>
        <v>312</v>
      </c>
      <c r="M397">
        <f>Table1[[#This Row],[Aktual]]-Table1[[#This Row],[Jumlah Kompetitor]]</f>
        <v>867</v>
      </c>
      <c r="N397" t="str">
        <f>IF(Table1[[#This Row],[vs Kompetitor]]&gt;0,"Win", "Lose")</f>
        <v>Win</v>
      </c>
    </row>
    <row r="398" spans="1:14" x14ac:dyDescent="0.25">
      <c r="A398">
        <v>397</v>
      </c>
      <c r="B398" t="s">
        <v>4</v>
      </c>
      <c r="C398" t="s">
        <v>73</v>
      </c>
      <c r="D398">
        <v>4</v>
      </c>
      <c r="E398">
        <v>2021</v>
      </c>
      <c r="F398" s="2">
        <f>DATE(Table1[[#This Row],[Tahun]],Table1[[#This Row],[Bulan]],1)</f>
        <v>44287</v>
      </c>
      <c r="G398">
        <v>1442</v>
      </c>
      <c r="H398">
        <v>1521</v>
      </c>
      <c r="I398" s="6">
        <f>(Table1[[#This Row],[Aktual]]-Table1[[#This Row],[Target]])</f>
        <v>-79</v>
      </c>
      <c r="J398" s="3">
        <f>(Table1[[#This Row],[Aktual]]-Table1[[#This Row],[Target]])/Table1[[#This Row],[Target]]</f>
        <v>-5.1939513477975013E-2</v>
      </c>
      <c r="K398" t="str">
        <f>IF(Table1[[#This Row],[Performance Gap (%)]]&lt;0,"Tidak mencapai target", IF(Table1[[#This Row],[Performance Gap (%)]]=0,"Mencapai target", "Melebihi Target"))</f>
        <v>Tidak mencapai target</v>
      </c>
      <c r="L398">
        <f>VLOOKUP(Table1[[#This Row],[Propinsi]]&amp;"_"&amp;Table1[[#This Row],[Dati 2]]&amp;"_"&amp;Table1[[#This Row],[Tanggal]],Table2[[#All],[Kompetitor area]:[Jumlah Kompetitor]],7,0)</f>
        <v>33</v>
      </c>
      <c r="M398">
        <f>Table1[[#This Row],[Aktual]]-Table1[[#This Row],[Jumlah Kompetitor]]</f>
        <v>1409</v>
      </c>
      <c r="N398" t="str">
        <f>IF(Table1[[#This Row],[vs Kompetitor]]&gt;0,"Win", "Lose")</f>
        <v>Win</v>
      </c>
    </row>
    <row r="399" spans="1:14" x14ac:dyDescent="0.25">
      <c r="A399">
        <v>398</v>
      </c>
      <c r="B399" t="s">
        <v>4</v>
      </c>
      <c r="C399" t="s">
        <v>74</v>
      </c>
      <c r="D399">
        <v>4</v>
      </c>
      <c r="E399">
        <v>2021</v>
      </c>
      <c r="F399" s="2">
        <f>DATE(Table1[[#This Row],[Tahun]],Table1[[#This Row],[Bulan]],1)</f>
        <v>44287</v>
      </c>
      <c r="G399">
        <v>1744</v>
      </c>
      <c r="H399">
        <v>1546</v>
      </c>
      <c r="I399" s="6">
        <f>(Table1[[#This Row],[Aktual]]-Table1[[#This Row],[Target]])</f>
        <v>198</v>
      </c>
      <c r="J399" s="3">
        <f>(Table1[[#This Row],[Aktual]]-Table1[[#This Row],[Target]])/Table1[[#This Row],[Target]]</f>
        <v>0.12807244501940493</v>
      </c>
      <c r="K399" t="str">
        <f>IF(Table1[[#This Row],[Performance Gap (%)]]&lt;0,"Tidak mencapai target", IF(Table1[[#This Row],[Performance Gap (%)]]=0,"Mencapai target", "Melebihi Target"))</f>
        <v>Melebihi Target</v>
      </c>
      <c r="L399">
        <f>VLOOKUP(Table1[[#This Row],[Propinsi]]&amp;"_"&amp;Table1[[#This Row],[Dati 2]]&amp;"_"&amp;Table1[[#This Row],[Tanggal]],Table2[[#All],[Kompetitor area]:[Jumlah Kompetitor]],7,0)</f>
        <v>177</v>
      </c>
      <c r="M399">
        <f>Table1[[#This Row],[Aktual]]-Table1[[#This Row],[Jumlah Kompetitor]]</f>
        <v>1567</v>
      </c>
      <c r="N399" t="str">
        <f>IF(Table1[[#This Row],[vs Kompetitor]]&gt;0,"Win", "Lose")</f>
        <v>Win</v>
      </c>
    </row>
    <row r="400" spans="1:14" x14ac:dyDescent="0.25">
      <c r="A400">
        <v>399</v>
      </c>
      <c r="B400" t="s">
        <v>4</v>
      </c>
      <c r="C400" t="s">
        <v>75</v>
      </c>
      <c r="D400">
        <v>4</v>
      </c>
      <c r="E400">
        <v>2021</v>
      </c>
      <c r="F400" s="2">
        <f>DATE(Table1[[#This Row],[Tahun]],Table1[[#This Row],[Bulan]],1)</f>
        <v>44287</v>
      </c>
      <c r="G400">
        <v>464</v>
      </c>
      <c r="H400">
        <v>446</v>
      </c>
      <c r="I400" s="6">
        <f>(Table1[[#This Row],[Aktual]]-Table1[[#This Row],[Target]])</f>
        <v>18</v>
      </c>
      <c r="J400" s="3">
        <f>(Table1[[#This Row],[Aktual]]-Table1[[#This Row],[Target]])/Table1[[#This Row],[Target]]</f>
        <v>4.0358744394618833E-2</v>
      </c>
      <c r="K400" t="str">
        <f>IF(Table1[[#This Row],[Performance Gap (%)]]&lt;0,"Tidak mencapai target", IF(Table1[[#This Row],[Performance Gap (%)]]=0,"Mencapai target", "Melebihi Target"))</f>
        <v>Melebihi Target</v>
      </c>
      <c r="L400">
        <f>VLOOKUP(Table1[[#This Row],[Propinsi]]&amp;"_"&amp;Table1[[#This Row],[Dati 2]]&amp;"_"&amp;Table1[[#This Row],[Tanggal]],Table2[[#All],[Kompetitor area]:[Jumlah Kompetitor]],7,0)</f>
        <v>132</v>
      </c>
      <c r="M400">
        <f>Table1[[#This Row],[Aktual]]-Table1[[#This Row],[Jumlah Kompetitor]]</f>
        <v>332</v>
      </c>
      <c r="N400" t="str">
        <f>IF(Table1[[#This Row],[vs Kompetitor]]&gt;0,"Win", "Lose")</f>
        <v>Win</v>
      </c>
    </row>
    <row r="401" spans="1:14" x14ac:dyDescent="0.25">
      <c r="A401">
        <v>400</v>
      </c>
      <c r="B401" t="s">
        <v>4</v>
      </c>
      <c r="C401" t="s">
        <v>76</v>
      </c>
      <c r="D401">
        <v>4</v>
      </c>
      <c r="E401">
        <v>2021</v>
      </c>
      <c r="F401" s="2">
        <f>DATE(Table1[[#This Row],[Tahun]],Table1[[#This Row],[Bulan]],1)</f>
        <v>44287</v>
      </c>
      <c r="G401">
        <v>566</v>
      </c>
      <c r="H401">
        <v>519</v>
      </c>
      <c r="I401" s="6">
        <f>(Table1[[#This Row],[Aktual]]-Table1[[#This Row],[Target]])</f>
        <v>47</v>
      </c>
      <c r="J401" s="3">
        <f>(Table1[[#This Row],[Aktual]]-Table1[[#This Row],[Target]])/Table1[[#This Row],[Target]]</f>
        <v>9.05587668593449E-2</v>
      </c>
      <c r="K401" t="str">
        <f>IF(Table1[[#This Row],[Performance Gap (%)]]&lt;0,"Tidak mencapai target", IF(Table1[[#This Row],[Performance Gap (%)]]=0,"Mencapai target", "Melebihi Target"))</f>
        <v>Melebihi Target</v>
      </c>
      <c r="L401">
        <f>VLOOKUP(Table1[[#This Row],[Propinsi]]&amp;"_"&amp;Table1[[#This Row],[Dati 2]]&amp;"_"&amp;Table1[[#This Row],[Tanggal]],Table2[[#All],[Kompetitor area]:[Jumlah Kompetitor]],7,0)</f>
        <v>79</v>
      </c>
      <c r="M401">
        <f>Table1[[#This Row],[Aktual]]-Table1[[#This Row],[Jumlah Kompetitor]]</f>
        <v>487</v>
      </c>
      <c r="N401" t="str">
        <f>IF(Table1[[#This Row],[vs Kompetitor]]&gt;0,"Win", "Lose")</f>
        <v>Win</v>
      </c>
    </row>
    <row r="402" spans="1:14" x14ac:dyDescent="0.25">
      <c r="A402">
        <v>401</v>
      </c>
      <c r="B402" t="s">
        <v>4</v>
      </c>
      <c r="C402" t="s">
        <v>77</v>
      </c>
      <c r="D402">
        <v>4</v>
      </c>
      <c r="E402">
        <v>2021</v>
      </c>
      <c r="F402" s="2">
        <f>DATE(Table1[[#This Row],[Tahun]],Table1[[#This Row],[Bulan]],1)</f>
        <v>44287</v>
      </c>
      <c r="G402">
        <v>716</v>
      </c>
      <c r="H402">
        <v>673</v>
      </c>
      <c r="I402" s="6">
        <f>(Table1[[#This Row],[Aktual]]-Table1[[#This Row],[Target]])</f>
        <v>43</v>
      </c>
      <c r="J402" s="3">
        <f>(Table1[[#This Row],[Aktual]]-Table1[[#This Row],[Target]])/Table1[[#This Row],[Target]]</f>
        <v>6.3893016344725106E-2</v>
      </c>
      <c r="K402" t="str">
        <f>IF(Table1[[#This Row],[Performance Gap (%)]]&lt;0,"Tidak mencapai target", IF(Table1[[#This Row],[Performance Gap (%)]]=0,"Mencapai target", "Melebihi Target"))</f>
        <v>Melebihi Target</v>
      </c>
      <c r="L402">
        <f>VLOOKUP(Table1[[#This Row],[Propinsi]]&amp;"_"&amp;Table1[[#This Row],[Dati 2]]&amp;"_"&amp;Table1[[#This Row],[Tanggal]],Table2[[#All],[Kompetitor area]:[Jumlah Kompetitor]],7,0)</f>
        <v>143</v>
      </c>
      <c r="M402">
        <f>Table1[[#This Row],[Aktual]]-Table1[[#This Row],[Jumlah Kompetitor]]</f>
        <v>573</v>
      </c>
      <c r="N402" t="str">
        <f>IF(Table1[[#This Row],[vs Kompetitor]]&gt;0,"Win", "Lose")</f>
        <v>Win</v>
      </c>
    </row>
    <row r="403" spans="1:14" x14ac:dyDescent="0.25">
      <c r="A403">
        <v>402</v>
      </c>
      <c r="B403" t="s">
        <v>4</v>
      </c>
      <c r="C403" t="s">
        <v>78</v>
      </c>
      <c r="D403">
        <v>4</v>
      </c>
      <c r="E403">
        <v>2021</v>
      </c>
      <c r="F403" s="2">
        <f>DATE(Table1[[#This Row],[Tahun]],Table1[[#This Row],[Bulan]],1)</f>
        <v>44287</v>
      </c>
      <c r="G403">
        <v>882</v>
      </c>
      <c r="H403">
        <v>845</v>
      </c>
      <c r="I403" s="6">
        <f>(Table1[[#This Row],[Aktual]]-Table1[[#This Row],[Target]])</f>
        <v>37</v>
      </c>
      <c r="J403" s="3">
        <f>(Table1[[#This Row],[Aktual]]-Table1[[#This Row],[Target]])/Table1[[#This Row],[Target]]</f>
        <v>4.3786982248520713E-2</v>
      </c>
      <c r="K403" t="str">
        <f>IF(Table1[[#This Row],[Performance Gap (%)]]&lt;0,"Tidak mencapai target", IF(Table1[[#This Row],[Performance Gap (%)]]=0,"Mencapai target", "Melebihi Target"))</f>
        <v>Melebihi Target</v>
      </c>
      <c r="L403">
        <f>VLOOKUP(Table1[[#This Row],[Propinsi]]&amp;"_"&amp;Table1[[#This Row],[Dati 2]]&amp;"_"&amp;Table1[[#This Row],[Tanggal]],Table2[[#All],[Kompetitor area]:[Jumlah Kompetitor]],7,0)</f>
        <v>44</v>
      </c>
      <c r="M403">
        <f>Table1[[#This Row],[Aktual]]-Table1[[#This Row],[Jumlah Kompetitor]]</f>
        <v>838</v>
      </c>
      <c r="N403" t="str">
        <f>IF(Table1[[#This Row],[vs Kompetitor]]&gt;0,"Win", "Lose")</f>
        <v>Win</v>
      </c>
    </row>
    <row r="404" spans="1:14" x14ac:dyDescent="0.25">
      <c r="A404">
        <v>403</v>
      </c>
      <c r="B404" t="s">
        <v>2</v>
      </c>
      <c r="C404" t="s">
        <v>79</v>
      </c>
      <c r="D404">
        <v>4</v>
      </c>
      <c r="E404">
        <v>2021</v>
      </c>
      <c r="F404" s="2">
        <f>DATE(Table1[[#This Row],[Tahun]],Table1[[#This Row],[Bulan]],1)</f>
        <v>44287</v>
      </c>
      <c r="G404">
        <v>458</v>
      </c>
      <c r="H404">
        <v>390</v>
      </c>
      <c r="I404" s="6">
        <f>(Table1[[#This Row],[Aktual]]-Table1[[#This Row],[Target]])</f>
        <v>68</v>
      </c>
      <c r="J404" s="3">
        <f>(Table1[[#This Row],[Aktual]]-Table1[[#This Row],[Target]])/Table1[[#This Row],[Target]]</f>
        <v>0.17435897435897435</v>
      </c>
      <c r="K404" t="str">
        <f>IF(Table1[[#This Row],[Performance Gap (%)]]&lt;0,"Tidak mencapai target", IF(Table1[[#This Row],[Performance Gap (%)]]=0,"Mencapai target", "Melebihi Target"))</f>
        <v>Melebihi Target</v>
      </c>
      <c r="L404">
        <f>VLOOKUP(Table1[[#This Row],[Propinsi]]&amp;"_"&amp;Table1[[#This Row],[Dati 2]]&amp;"_"&amp;Table1[[#This Row],[Tanggal]],Table2[[#All],[Kompetitor area]:[Jumlah Kompetitor]],7,0)</f>
        <v>25</v>
      </c>
      <c r="M404">
        <f>Table1[[#This Row],[Aktual]]-Table1[[#This Row],[Jumlah Kompetitor]]</f>
        <v>433</v>
      </c>
      <c r="N404" t="str">
        <f>IF(Table1[[#This Row],[vs Kompetitor]]&gt;0,"Win", "Lose")</f>
        <v>Win</v>
      </c>
    </row>
    <row r="405" spans="1:14" x14ac:dyDescent="0.25">
      <c r="A405">
        <v>404</v>
      </c>
      <c r="B405" t="s">
        <v>2</v>
      </c>
      <c r="C405" t="s">
        <v>80</v>
      </c>
      <c r="D405">
        <v>4</v>
      </c>
      <c r="E405">
        <v>2021</v>
      </c>
      <c r="F405" s="2">
        <f>DATE(Table1[[#This Row],[Tahun]],Table1[[#This Row],[Bulan]],1)</f>
        <v>44287</v>
      </c>
      <c r="G405">
        <v>601</v>
      </c>
      <c r="H405">
        <v>636</v>
      </c>
      <c r="I405" s="6">
        <f>(Table1[[#This Row],[Aktual]]-Table1[[#This Row],[Target]])</f>
        <v>-35</v>
      </c>
      <c r="J405" s="3">
        <f>(Table1[[#This Row],[Aktual]]-Table1[[#This Row],[Target]])/Table1[[#This Row],[Target]]</f>
        <v>-5.5031446540880505E-2</v>
      </c>
      <c r="K405" t="str">
        <f>IF(Table1[[#This Row],[Performance Gap (%)]]&lt;0,"Tidak mencapai target", IF(Table1[[#This Row],[Performance Gap (%)]]=0,"Mencapai target", "Melebihi Target"))</f>
        <v>Tidak mencapai target</v>
      </c>
      <c r="L405">
        <f>VLOOKUP(Table1[[#This Row],[Propinsi]]&amp;"_"&amp;Table1[[#This Row],[Dati 2]]&amp;"_"&amp;Table1[[#This Row],[Tanggal]],Table2[[#All],[Kompetitor area]:[Jumlah Kompetitor]],7,0)</f>
        <v>71</v>
      </c>
      <c r="M405">
        <f>Table1[[#This Row],[Aktual]]-Table1[[#This Row],[Jumlah Kompetitor]]</f>
        <v>530</v>
      </c>
      <c r="N405" t="str">
        <f>IF(Table1[[#This Row],[vs Kompetitor]]&gt;0,"Win", "Lose")</f>
        <v>Win</v>
      </c>
    </row>
    <row r="406" spans="1:14" x14ac:dyDescent="0.25">
      <c r="A406">
        <v>405</v>
      </c>
      <c r="B406" t="s">
        <v>2</v>
      </c>
      <c r="C406" t="s">
        <v>81</v>
      </c>
      <c r="D406">
        <v>4</v>
      </c>
      <c r="E406">
        <v>2021</v>
      </c>
      <c r="F406" s="2">
        <f>DATE(Table1[[#This Row],[Tahun]],Table1[[#This Row],[Bulan]],1)</f>
        <v>44287</v>
      </c>
      <c r="G406">
        <v>1045</v>
      </c>
      <c r="H406">
        <v>1027</v>
      </c>
      <c r="I406" s="6">
        <f>(Table1[[#This Row],[Aktual]]-Table1[[#This Row],[Target]])</f>
        <v>18</v>
      </c>
      <c r="J406" s="3">
        <f>(Table1[[#This Row],[Aktual]]-Table1[[#This Row],[Target]])/Table1[[#This Row],[Target]]</f>
        <v>1.7526777020447908E-2</v>
      </c>
      <c r="K406" t="str">
        <f>IF(Table1[[#This Row],[Performance Gap (%)]]&lt;0,"Tidak mencapai target", IF(Table1[[#This Row],[Performance Gap (%)]]=0,"Mencapai target", "Melebihi Target"))</f>
        <v>Melebihi Target</v>
      </c>
      <c r="L406">
        <f>VLOOKUP(Table1[[#This Row],[Propinsi]]&amp;"_"&amp;Table1[[#This Row],[Dati 2]]&amp;"_"&amp;Table1[[#This Row],[Tanggal]],Table2[[#All],[Kompetitor area]:[Jumlah Kompetitor]],7,0)</f>
        <v>27</v>
      </c>
      <c r="M406">
        <f>Table1[[#This Row],[Aktual]]-Table1[[#This Row],[Jumlah Kompetitor]]</f>
        <v>1018</v>
      </c>
      <c r="N406" t="str">
        <f>IF(Table1[[#This Row],[vs Kompetitor]]&gt;0,"Win", "Lose")</f>
        <v>Win</v>
      </c>
    </row>
    <row r="407" spans="1:14" x14ac:dyDescent="0.25">
      <c r="A407">
        <v>406</v>
      </c>
      <c r="B407" t="s">
        <v>2</v>
      </c>
      <c r="C407" t="s">
        <v>82</v>
      </c>
      <c r="D407">
        <v>4</v>
      </c>
      <c r="E407">
        <v>2021</v>
      </c>
      <c r="F407" s="2">
        <f>DATE(Table1[[#This Row],[Tahun]],Table1[[#This Row],[Bulan]],1)</f>
        <v>44287</v>
      </c>
      <c r="G407">
        <v>262</v>
      </c>
      <c r="H407">
        <v>255</v>
      </c>
      <c r="I407" s="6">
        <f>(Table1[[#This Row],[Aktual]]-Table1[[#This Row],[Target]])</f>
        <v>7</v>
      </c>
      <c r="J407" s="3">
        <f>(Table1[[#This Row],[Aktual]]-Table1[[#This Row],[Target]])/Table1[[#This Row],[Target]]</f>
        <v>2.7450980392156862E-2</v>
      </c>
      <c r="K407" t="str">
        <f>IF(Table1[[#This Row],[Performance Gap (%)]]&lt;0,"Tidak mencapai target", IF(Table1[[#This Row],[Performance Gap (%)]]=0,"Mencapai target", "Melebihi Target"))</f>
        <v>Melebihi Target</v>
      </c>
      <c r="L407">
        <f>VLOOKUP(Table1[[#This Row],[Propinsi]]&amp;"_"&amp;Table1[[#This Row],[Dati 2]]&amp;"_"&amp;Table1[[#This Row],[Tanggal]],Table2[[#All],[Kompetitor area]:[Jumlah Kompetitor]],7,0)</f>
        <v>31</v>
      </c>
      <c r="M407">
        <f>Table1[[#This Row],[Aktual]]-Table1[[#This Row],[Jumlah Kompetitor]]</f>
        <v>231</v>
      </c>
      <c r="N407" t="str">
        <f>IF(Table1[[#This Row],[vs Kompetitor]]&gt;0,"Win", "Lose")</f>
        <v>Win</v>
      </c>
    </row>
    <row r="408" spans="1:14" x14ac:dyDescent="0.25">
      <c r="A408">
        <v>407</v>
      </c>
      <c r="B408" t="s">
        <v>4</v>
      </c>
      <c r="C408" t="s">
        <v>83</v>
      </c>
      <c r="D408">
        <v>4</v>
      </c>
      <c r="E408">
        <v>2021</v>
      </c>
      <c r="F408" s="2">
        <f>DATE(Table1[[#This Row],[Tahun]],Table1[[#This Row],[Bulan]],1)</f>
        <v>44287</v>
      </c>
      <c r="G408">
        <v>152</v>
      </c>
      <c r="H408">
        <v>127</v>
      </c>
      <c r="I408" s="6">
        <f>(Table1[[#This Row],[Aktual]]-Table1[[#This Row],[Target]])</f>
        <v>25</v>
      </c>
      <c r="J408" s="3">
        <f>(Table1[[#This Row],[Aktual]]-Table1[[#This Row],[Target]])/Table1[[#This Row],[Target]]</f>
        <v>0.19685039370078741</v>
      </c>
      <c r="K408" t="str">
        <f>IF(Table1[[#This Row],[Performance Gap (%)]]&lt;0,"Tidak mencapai target", IF(Table1[[#This Row],[Performance Gap (%)]]=0,"Mencapai target", "Melebihi Target"))</f>
        <v>Melebihi Target</v>
      </c>
      <c r="L408">
        <f>VLOOKUP(Table1[[#This Row],[Propinsi]]&amp;"_"&amp;Table1[[#This Row],[Dati 2]]&amp;"_"&amp;Table1[[#This Row],[Tanggal]],Table2[[#All],[Kompetitor area]:[Jumlah Kompetitor]],7,0)</f>
        <v>30</v>
      </c>
      <c r="M408">
        <f>Table1[[#This Row],[Aktual]]-Table1[[#This Row],[Jumlah Kompetitor]]</f>
        <v>122</v>
      </c>
      <c r="N408" t="str">
        <f>IF(Table1[[#This Row],[vs Kompetitor]]&gt;0,"Win", "Lose")</f>
        <v>Win</v>
      </c>
    </row>
    <row r="409" spans="1:14" x14ac:dyDescent="0.25">
      <c r="A409">
        <v>408</v>
      </c>
      <c r="B409" t="s">
        <v>4</v>
      </c>
      <c r="C409" t="s">
        <v>84</v>
      </c>
      <c r="D409">
        <v>4</v>
      </c>
      <c r="E409">
        <v>2021</v>
      </c>
      <c r="F409" s="2">
        <f>DATE(Table1[[#This Row],[Tahun]],Table1[[#This Row],[Bulan]],1)</f>
        <v>44287</v>
      </c>
      <c r="G409">
        <v>1820</v>
      </c>
      <c r="H409">
        <v>1761</v>
      </c>
      <c r="I409" s="6">
        <f>(Table1[[#This Row],[Aktual]]-Table1[[#This Row],[Target]])</f>
        <v>59</v>
      </c>
      <c r="J409" s="3">
        <f>(Table1[[#This Row],[Aktual]]-Table1[[#This Row],[Target]])/Table1[[#This Row],[Target]]</f>
        <v>3.3503691084611015E-2</v>
      </c>
      <c r="K409" t="str">
        <f>IF(Table1[[#This Row],[Performance Gap (%)]]&lt;0,"Tidak mencapai target", IF(Table1[[#This Row],[Performance Gap (%)]]=0,"Mencapai target", "Melebihi Target"))</f>
        <v>Melebihi Target</v>
      </c>
      <c r="L409">
        <f>VLOOKUP(Table1[[#This Row],[Propinsi]]&amp;"_"&amp;Table1[[#This Row],[Dati 2]]&amp;"_"&amp;Table1[[#This Row],[Tanggal]],Table2[[#All],[Kompetitor area]:[Jumlah Kompetitor]],7,0)</f>
        <v>184</v>
      </c>
      <c r="M409">
        <f>Table1[[#This Row],[Aktual]]-Table1[[#This Row],[Jumlah Kompetitor]]</f>
        <v>1636</v>
      </c>
      <c r="N409" t="str">
        <f>IF(Table1[[#This Row],[vs Kompetitor]]&gt;0,"Win", "Lose")</f>
        <v>Win</v>
      </c>
    </row>
    <row r="410" spans="1:14" x14ac:dyDescent="0.25">
      <c r="A410">
        <v>409</v>
      </c>
      <c r="B410" t="s">
        <v>4</v>
      </c>
      <c r="C410" t="s">
        <v>85</v>
      </c>
      <c r="D410">
        <v>4</v>
      </c>
      <c r="E410">
        <v>2021</v>
      </c>
      <c r="F410" s="2">
        <f>DATE(Table1[[#This Row],[Tahun]],Table1[[#This Row],[Bulan]],1)</f>
        <v>44287</v>
      </c>
      <c r="G410">
        <v>958</v>
      </c>
      <c r="H410">
        <v>882</v>
      </c>
      <c r="I410" s="6">
        <f>(Table1[[#This Row],[Aktual]]-Table1[[#This Row],[Target]])</f>
        <v>76</v>
      </c>
      <c r="J410" s="3">
        <f>(Table1[[#This Row],[Aktual]]-Table1[[#This Row],[Target]])/Table1[[#This Row],[Target]]</f>
        <v>8.6167800453514742E-2</v>
      </c>
      <c r="K410" t="str">
        <f>IF(Table1[[#This Row],[Performance Gap (%)]]&lt;0,"Tidak mencapai target", IF(Table1[[#This Row],[Performance Gap (%)]]=0,"Mencapai target", "Melebihi Target"))</f>
        <v>Melebihi Target</v>
      </c>
      <c r="L410">
        <f>VLOOKUP(Table1[[#This Row],[Propinsi]]&amp;"_"&amp;Table1[[#This Row],[Dati 2]]&amp;"_"&amp;Table1[[#This Row],[Tanggal]],Table2[[#All],[Kompetitor area]:[Jumlah Kompetitor]],7,0)</f>
        <v>113</v>
      </c>
      <c r="M410">
        <f>Table1[[#This Row],[Aktual]]-Table1[[#This Row],[Jumlah Kompetitor]]</f>
        <v>845</v>
      </c>
      <c r="N410" t="str">
        <f>IF(Table1[[#This Row],[vs Kompetitor]]&gt;0,"Win", "Lose")</f>
        <v>Win</v>
      </c>
    </row>
    <row r="411" spans="1:14" x14ac:dyDescent="0.25">
      <c r="A411">
        <v>410</v>
      </c>
      <c r="B411" t="s">
        <v>4</v>
      </c>
      <c r="C411" t="s">
        <v>86</v>
      </c>
      <c r="D411">
        <v>4</v>
      </c>
      <c r="E411">
        <v>2021</v>
      </c>
      <c r="F411" s="2">
        <f>DATE(Table1[[#This Row],[Tahun]],Table1[[#This Row],[Bulan]],1)</f>
        <v>44287</v>
      </c>
      <c r="G411">
        <v>209</v>
      </c>
      <c r="H411">
        <v>193</v>
      </c>
      <c r="I411" s="6">
        <f>(Table1[[#This Row],[Aktual]]-Table1[[#This Row],[Target]])</f>
        <v>16</v>
      </c>
      <c r="J411" s="3">
        <f>(Table1[[#This Row],[Aktual]]-Table1[[#This Row],[Target]])/Table1[[#This Row],[Target]]</f>
        <v>8.2901554404145081E-2</v>
      </c>
      <c r="K411" t="str">
        <f>IF(Table1[[#This Row],[Performance Gap (%)]]&lt;0,"Tidak mencapai target", IF(Table1[[#This Row],[Performance Gap (%)]]=0,"Mencapai target", "Melebihi Target"))</f>
        <v>Melebihi Target</v>
      </c>
      <c r="L411">
        <f>VLOOKUP(Table1[[#This Row],[Propinsi]]&amp;"_"&amp;Table1[[#This Row],[Dati 2]]&amp;"_"&amp;Table1[[#This Row],[Tanggal]],Table2[[#All],[Kompetitor area]:[Jumlah Kompetitor]],7,0)</f>
        <v>145</v>
      </c>
      <c r="M411">
        <f>Table1[[#This Row],[Aktual]]-Table1[[#This Row],[Jumlah Kompetitor]]</f>
        <v>64</v>
      </c>
      <c r="N411" t="str">
        <f>IF(Table1[[#This Row],[vs Kompetitor]]&gt;0,"Win", "Lose")</f>
        <v>Win</v>
      </c>
    </row>
    <row r="412" spans="1:14" x14ac:dyDescent="0.25">
      <c r="A412">
        <v>411</v>
      </c>
      <c r="B412" t="s">
        <v>4</v>
      </c>
      <c r="C412" t="s">
        <v>87</v>
      </c>
      <c r="D412">
        <v>4</v>
      </c>
      <c r="E412">
        <v>2021</v>
      </c>
      <c r="F412" s="2">
        <f>DATE(Table1[[#This Row],[Tahun]],Table1[[#This Row],[Bulan]],1)</f>
        <v>44287</v>
      </c>
      <c r="G412">
        <v>1186</v>
      </c>
      <c r="H412">
        <v>1278</v>
      </c>
      <c r="I412" s="6">
        <f>(Table1[[#This Row],[Aktual]]-Table1[[#This Row],[Target]])</f>
        <v>-92</v>
      </c>
      <c r="J412" s="3">
        <f>(Table1[[#This Row],[Aktual]]-Table1[[#This Row],[Target]])/Table1[[#This Row],[Target]]</f>
        <v>-7.1987480438184662E-2</v>
      </c>
      <c r="K412" t="str">
        <f>IF(Table1[[#This Row],[Performance Gap (%)]]&lt;0,"Tidak mencapai target", IF(Table1[[#This Row],[Performance Gap (%)]]=0,"Mencapai target", "Melebihi Target"))</f>
        <v>Tidak mencapai target</v>
      </c>
      <c r="L412">
        <f>VLOOKUP(Table1[[#This Row],[Propinsi]]&amp;"_"&amp;Table1[[#This Row],[Dati 2]]&amp;"_"&amp;Table1[[#This Row],[Tanggal]],Table2[[#All],[Kompetitor area]:[Jumlah Kompetitor]],7,0)</f>
        <v>127</v>
      </c>
      <c r="M412">
        <f>Table1[[#This Row],[Aktual]]-Table1[[#This Row],[Jumlah Kompetitor]]</f>
        <v>1059</v>
      </c>
      <c r="N412" t="str">
        <f>IF(Table1[[#This Row],[vs Kompetitor]]&gt;0,"Win", "Lose")</f>
        <v>Win</v>
      </c>
    </row>
    <row r="413" spans="1:14" x14ac:dyDescent="0.25">
      <c r="A413">
        <v>412</v>
      </c>
      <c r="B413" t="s">
        <v>4</v>
      </c>
      <c r="C413" t="s">
        <v>88</v>
      </c>
      <c r="D413">
        <v>4</v>
      </c>
      <c r="E413">
        <v>2021</v>
      </c>
      <c r="F413" s="2">
        <f>DATE(Table1[[#This Row],[Tahun]],Table1[[#This Row],[Bulan]],1)</f>
        <v>44287</v>
      </c>
      <c r="G413">
        <v>918</v>
      </c>
      <c r="H413">
        <v>818</v>
      </c>
      <c r="I413" s="6">
        <f>(Table1[[#This Row],[Aktual]]-Table1[[#This Row],[Target]])</f>
        <v>100</v>
      </c>
      <c r="J413" s="3">
        <f>(Table1[[#This Row],[Aktual]]-Table1[[#This Row],[Target]])/Table1[[#This Row],[Target]]</f>
        <v>0.12224938875305623</v>
      </c>
      <c r="K413" t="str">
        <f>IF(Table1[[#This Row],[Performance Gap (%)]]&lt;0,"Tidak mencapai target", IF(Table1[[#This Row],[Performance Gap (%)]]=0,"Mencapai target", "Melebihi Target"))</f>
        <v>Melebihi Target</v>
      </c>
      <c r="L413">
        <f>VLOOKUP(Table1[[#This Row],[Propinsi]]&amp;"_"&amp;Table1[[#This Row],[Dati 2]]&amp;"_"&amp;Table1[[#This Row],[Tanggal]],Table2[[#All],[Kompetitor area]:[Jumlah Kompetitor]],7,0)</f>
        <v>83</v>
      </c>
      <c r="M413">
        <f>Table1[[#This Row],[Aktual]]-Table1[[#This Row],[Jumlah Kompetitor]]</f>
        <v>835</v>
      </c>
      <c r="N413" t="str">
        <f>IF(Table1[[#This Row],[vs Kompetitor]]&gt;0,"Win", "Lose")</f>
        <v>Win</v>
      </c>
    </row>
    <row r="414" spans="1:14" x14ac:dyDescent="0.25">
      <c r="A414">
        <v>413</v>
      </c>
      <c r="B414" t="s">
        <v>4</v>
      </c>
      <c r="C414" t="s">
        <v>89</v>
      </c>
      <c r="D414">
        <v>4</v>
      </c>
      <c r="E414">
        <v>2021</v>
      </c>
      <c r="F414" s="2">
        <f>DATE(Table1[[#This Row],[Tahun]],Table1[[#This Row],[Bulan]],1)</f>
        <v>44287</v>
      </c>
      <c r="G414">
        <v>640</v>
      </c>
      <c r="H414">
        <v>554</v>
      </c>
      <c r="I414" s="6">
        <f>(Table1[[#This Row],[Aktual]]-Table1[[#This Row],[Target]])</f>
        <v>86</v>
      </c>
      <c r="J414" s="3">
        <f>(Table1[[#This Row],[Aktual]]-Table1[[#This Row],[Target]])/Table1[[#This Row],[Target]]</f>
        <v>0.1552346570397112</v>
      </c>
      <c r="K414" t="str">
        <f>IF(Table1[[#This Row],[Performance Gap (%)]]&lt;0,"Tidak mencapai target", IF(Table1[[#This Row],[Performance Gap (%)]]=0,"Mencapai target", "Melebihi Target"))</f>
        <v>Melebihi Target</v>
      </c>
      <c r="L414">
        <f>VLOOKUP(Table1[[#This Row],[Propinsi]]&amp;"_"&amp;Table1[[#This Row],[Dati 2]]&amp;"_"&amp;Table1[[#This Row],[Tanggal]],Table2[[#All],[Kompetitor area]:[Jumlah Kompetitor]],7,0)</f>
        <v>116</v>
      </c>
      <c r="M414">
        <f>Table1[[#This Row],[Aktual]]-Table1[[#This Row],[Jumlah Kompetitor]]</f>
        <v>524</v>
      </c>
      <c r="N414" t="str">
        <f>IF(Table1[[#This Row],[vs Kompetitor]]&gt;0,"Win", "Lose")</f>
        <v>Win</v>
      </c>
    </row>
    <row r="415" spans="1:14" x14ac:dyDescent="0.25">
      <c r="A415">
        <v>414</v>
      </c>
      <c r="B415" t="s">
        <v>4</v>
      </c>
      <c r="C415" t="s">
        <v>90</v>
      </c>
      <c r="D415">
        <v>4</v>
      </c>
      <c r="E415">
        <v>2021</v>
      </c>
      <c r="F415" s="2">
        <f>DATE(Table1[[#This Row],[Tahun]],Table1[[#This Row],[Bulan]],1)</f>
        <v>44287</v>
      </c>
      <c r="G415">
        <v>541</v>
      </c>
      <c r="H415">
        <v>550</v>
      </c>
      <c r="I415" s="6">
        <f>(Table1[[#This Row],[Aktual]]-Table1[[#This Row],[Target]])</f>
        <v>-9</v>
      </c>
      <c r="J415" s="3">
        <f>(Table1[[#This Row],[Aktual]]-Table1[[#This Row],[Target]])/Table1[[#This Row],[Target]]</f>
        <v>-1.6363636363636365E-2</v>
      </c>
      <c r="K415" t="str">
        <f>IF(Table1[[#This Row],[Performance Gap (%)]]&lt;0,"Tidak mencapai target", IF(Table1[[#This Row],[Performance Gap (%)]]=0,"Mencapai target", "Melebihi Target"))</f>
        <v>Tidak mencapai target</v>
      </c>
      <c r="L415">
        <f>VLOOKUP(Table1[[#This Row],[Propinsi]]&amp;"_"&amp;Table1[[#This Row],[Dati 2]]&amp;"_"&amp;Table1[[#This Row],[Tanggal]],Table2[[#All],[Kompetitor area]:[Jumlah Kompetitor]],7,0)</f>
        <v>100</v>
      </c>
      <c r="M415">
        <f>Table1[[#This Row],[Aktual]]-Table1[[#This Row],[Jumlah Kompetitor]]</f>
        <v>441</v>
      </c>
      <c r="N415" t="str">
        <f>IF(Table1[[#This Row],[vs Kompetitor]]&gt;0,"Win", "Lose")</f>
        <v>Win</v>
      </c>
    </row>
    <row r="416" spans="1:14" x14ac:dyDescent="0.25">
      <c r="A416">
        <v>415</v>
      </c>
      <c r="B416" t="s">
        <v>4</v>
      </c>
      <c r="C416" t="s">
        <v>91</v>
      </c>
      <c r="D416">
        <v>4</v>
      </c>
      <c r="E416">
        <v>2021</v>
      </c>
      <c r="F416" s="2">
        <f>DATE(Table1[[#This Row],[Tahun]],Table1[[#This Row],[Bulan]],1)</f>
        <v>44287</v>
      </c>
      <c r="G416">
        <v>510</v>
      </c>
      <c r="H416">
        <v>471</v>
      </c>
      <c r="I416" s="6">
        <f>(Table1[[#This Row],[Aktual]]-Table1[[#This Row],[Target]])</f>
        <v>39</v>
      </c>
      <c r="J416" s="3">
        <f>(Table1[[#This Row],[Aktual]]-Table1[[#This Row],[Target]])/Table1[[#This Row],[Target]]</f>
        <v>8.2802547770700632E-2</v>
      </c>
      <c r="K416" t="str">
        <f>IF(Table1[[#This Row],[Performance Gap (%)]]&lt;0,"Tidak mencapai target", IF(Table1[[#This Row],[Performance Gap (%)]]=0,"Mencapai target", "Melebihi Target"))</f>
        <v>Melebihi Target</v>
      </c>
      <c r="L416">
        <f>VLOOKUP(Table1[[#This Row],[Propinsi]]&amp;"_"&amp;Table1[[#This Row],[Dati 2]]&amp;"_"&amp;Table1[[#This Row],[Tanggal]],Table2[[#All],[Kompetitor area]:[Jumlah Kompetitor]],7,0)</f>
        <v>117</v>
      </c>
      <c r="M416">
        <f>Table1[[#This Row],[Aktual]]-Table1[[#This Row],[Jumlah Kompetitor]]</f>
        <v>393</v>
      </c>
      <c r="N416" t="str">
        <f>IF(Table1[[#This Row],[vs Kompetitor]]&gt;0,"Win", "Lose")</f>
        <v>Win</v>
      </c>
    </row>
    <row r="417" spans="1:14" x14ac:dyDescent="0.25">
      <c r="A417">
        <v>416</v>
      </c>
      <c r="B417" t="s">
        <v>4</v>
      </c>
      <c r="C417" t="s">
        <v>92</v>
      </c>
      <c r="D417">
        <v>4</v>
      </c>
      <c r="E417">
        <v>2021</v>
      </c>
      <c r="F417" s="2">
        <f>DATE(Table1[[#This Row],[Tahun]],Table1[[#This Row],[Bulan]],1)</f>
        <v>44287</v>
      </c>
      <c r="G417">
        <v>639</v>
      </c>
      <c r="H417">
        <v>695</v>
      </c>
      <c r="I417" s="6">
        <f>(Table1[[#This Row],[Aktual]]-Table1[[#This Row],[Target]])</f>
        <v>-56</v>
      </c>
      <c r="J417" s="3">
        <f>(Table1[[#This Row],[Aktual]]-Table1[[#This Row],[Target]])/Table1[[#This Row],[Target]]</f>
        <v>-8.0575539568345317E-2</v>
      </c>
      <c r="K417" t="str">
        <f>IF(Table1[[#This Row],[Performance Gap (%)]]&lt;0,"Tidak mencapai target", IF(Table1[[#This Row],[Performance Gap (%)]]=0,"Mencapai target", "Melebihi Target"))</f>
        <v>Tidak mencapai target</v>
      </c>
      <c r="L417">
        <f>VLOOKUP(Table1[[#This Row],[Propinsi]]&amp;"_"&amp;Table1[[#This Row],[Dati 2]]&amp;"_"&amp;Table1[[#This Row],[Tanggal]],Table2[[#All],[Kompetitor area]:[Jumlah Kompetitor]],7,0)</f>
        <v>117</v>
      </c>
      <c r="M417">
        <f>Table1[[#This Row],[Aktual]]-Table1[[#This Row],[Jumlah Kompetitor]]</f>
        <v>522</v>
      </c>
      <c r="N417" t="str">
        <f>IF(Table1[[#This Row],[vs Kompetitor]]&gt;0,"Win", "Lose")</f>
        <v>Win</v>
      </c>
    </row>
    <row r="418" spans="1:14" x14ac:dyDescent="0.25">
      <c r="A418">
        <v>417</v>
      </c>
      <c r="B418" t="s">
        <v>4</v>
      </c>
      <c r="C418" t="s">
        <v>93</v>
      </c>
      <c r="D418">
        <v>4</v>
      </c>
      <c r="E418">
        <v>2021</v>
      </c>
      <c r="F418" s="2">
        <f>DATE(Table1[[#This Row],[Tahun]],Table1[[#This Row],[Bulan]],1)</f>
        <v>44287</v>
      </c>
      <c r="G418">
        <v>376</v>
      </c>
      <c r="H418">
        <v>369</v>
      </c>
      <c r="I418" s="6">
        <f>(Table1[[#This Row],[Aktual]]-Table1[[#This Row],[Target]])</f>
        <v>7</v>
      </c>
      <c r="J418" s="3">
        <f>(Table1[[#This Row],[Aktual]]-Table1[[#This Row],[Target]])/Table1[[#This Row],[Target]]</f>
        <v>1.8970189701897018E-2</v>
      </c>
      <c r="K418" t="str">
        <f>IF(Table1[[#This Row],[Performance Gap (%)]]&lt;0,"Tidak mencapai target", IF(Table1[[#This Row],[Performance Gap (%)]]=0,"Mencapai target", "Melebihi Target"))</f>
        <v>Melebihi Target</v>
      </c>
      <c r="L418">
        <f>VLOOKUP(Table1[[#This Row],[Propinsi]]&amp;"_"&amp;Table1[[#This Row],[Dati 2]]&amp;"_"&amp;Table1[[#This Row],[Tanggal]],Table2[[#All],[Kompetitor area]:[Jumlah Kompetitor]],7,0)</f>
        <v>51</v>
      </c>
      <c r="M418">
        <f>Table1[[#This Row],[Aktual]]-Table1[[#This Row],[Jumlah Kompetitor]]</f>
        <v>325</v>
      </c>
      <c r="N418" t="str">
        <f>IF(Table1[[#This Row],[vs Kompetitor]]&gt;0,"Win", "Lose")</f>
        <v>Win</v>
      </c>
    </row>
    <row r="419" spans="1:14" x14ac:dyDescent="0.25">
      <c r="A419">
        <v>418</v>
      </c>
      <c r="B419" t="s">
        <v>4</v>
      </c>
      <c r="C419" t="s">
        <v>94</v>
      </c>
      <c r="D419">
        <v>4</v>
      </c>
      <c r="E419">
        <v>2021</v>
      </c>
      <c r="F419" s="2">
        <f>DATE(Table1[[#This Row],[Tahun]],Table1[[#This Row],[Bulan]],1)</f>
        <v>44287</v>
      </c>
      <c r="G419">
        <v>82</v>
      </c>
      <c r="H419">
        <v>90</v>
      </c>
      <c r="I419" s="6">
        <f>(Table1[[#This Row],[Aktual]]-Table1[[#This Row],[Target]])</f>
        <v>-8</v>
      </c>
      <c r="J419" s="3">
        <f>(Table1[[#This Row],[Aktual]]-Table1[[#This Row],[Target]])/Table1[[#This Row],[Target]]</f>
        <v>-8.8888888888888892E-2</v>
      </c>
      <c r="K419" t="str">
        <f>IF(Table1[[#This Row],[Performance Gap (%)]]&lt;0,"Tidak mencapai target", IF(Table1[[#This Row],[Performance Gap (%)]]=0,"Mencapai target", "Melebihi Target"))</f>
        <v>Tidak mencapai target</v>
      </c>
      <c r="L419">
        <f>VLOOKUP(Table1[[#This Row],[Propinsi]]&amp;"_"&amp;Table1[[#This Row],[Dati 2]]&amp;"_"&amp;Table1[[#This Row],[Tanggal]],Table2[[#All],[Kompetitor area]:[Jumlah Kompetitor]],7,0)</f>
        <v>57</v>
      </c>
      <c r="M419">
        <f>Table1[[#This Row],[Aktual]]-Table1[[#This Row],[Jumlah Kompetitor]]</f>
        <v>25</v>
      </c>
      <c r="N419" t="str">
        <f>IF(Table1[[#This Row],[vs Kompetitor]]&gt;0,"Win", "Lose")</f>
        <v>Win</v>
      </c>
    </row>
    <row r="420" spans="1:14" x14ac:dyDescent="0.25">
      <c r="A420">
        <v>419</v>
      </c>
      <c r="B420" t="s">
        <v>5</v>
      </c>
      <c r="C420" t="s">
        <v>95</v>
      </c>
      <c r="D420">
        <v>4</v>
      </c>
      <c r="E420">
        <v>2021</v>
      </c>
      <c r="F420" s="2">
        <f>DATE(Table1[[#This Row],[Tahun]],Table1[[#This Row],[Bulan]],1)</f>
        <v>44287</v>
      </c>
      <c r="G420">
        <v>682</v>
      </c>
      <c r="H420">
        <v>642</v>
      </c>
      <c r="I420" s="6">
        <f>(Table1[[#This Row],[Aktual]]-Table1[[#This Row],[Target]])</f>
        <v>40</v>
      </c>
      <c r="J420" s="3">
        <f>(Table1[[#This Row],[Aktual]]-Table1[[#This Row],[Target]])/Table1[[#This Row],[Target]]</f>
        <v>6.2305295950155763E-2</v>
      </c>
      <c r="K420" t="str">
        <f>IF(Table1[[#This Row],[Performance Gap (%)]]&lt;0,"Tidak mencapai target", IF(Table1[[#This Row],[Performance Gap (%)]]=0,"Mencapai target", "Melebihi Target"))</f>
        <v>Melebihi Target</v>
      </c>
      <c r="L420">
        <f>VLOOKUP(Table1[[#This Row],[Propinsi]]&amp;"_"&amp;Table1[[#This Row],[Dati 2]]&amp;"_"&amp;Table1[[#This Row],[Tanggal]],Table2[[#All],[Kompetitor area]:[Jumlah Kompetitor]],7,0)</f>
        <v>36</v>
      </c>
      <c r="M420">
        <f>Table1[[#This Row],[Aktual]]-Table1[[#This Row],[Jumlah Kompetitor]]</f>
        <v>646</v>
      </c>
      <c r="N420" t="str">
        <f>IF(Table1[[#This Row],[vs Kompetitor]]&gt;0,"Win", "Lose")</f>
        <v>Win</v>
      </c>
    </row>
    <row r="421" spans="1:14" x14ac:dyDescent="0.25">
      <c r="A421">
        <v>420</v>
      </c>
      <c r="B421" t="s">
        <v>5</v>
      </c>
      <c r="C421" t="s">
        <v>96</v>
      </c>
      <c r="D421">
        <v>4</v>
      </c>
      <c r="E421">
        <v>2021</v>
      </c>
      <c r="F421" s="2">
        <f>DATE(Table1[[#This Row],[Tahun]],Table1[[#This Row],[Bulan]],1)</f>
        <v>44287</v>
      </c>
      <c r="G421">
        <v>167</v>
      </c>
      <c r="H421">
        <v>131</v>
      </c>
      <c r="I421" s="6">
        <f>(Table1[[#This Row],[Aktual]]-Table1[[#This Row],[Target]])</f>
        <v>36</v>
      </c>
      <c r="J421" s="3">
        <f>(Table1[[#This Row],[Aktual]]-Table1[[#This Row],[Target]])/Table1[[#This Row],[Target]]</f>
        <v>0.27480916030534353</v>
      </c>
      <c r="K421" t="str">
        <f>IF(Table1[[#This Row],[Performance Gap (%)]]&lt;0,"Tidak mencapai target", IF(Table1[[#This Row],[Performance Gap (%)]]=0,"Mencapai target", "Melebihi Target"))</f>
        <v>Melebihi Target</v>
      </c>
      <c r="L421">
        <f>VLOOKUP(Table1[[#This Row],[Propinsi]]&amp;"_"&amp;Table1[[#This Row],[Dati 2]]&amp;"_"&amp;Table1[[#This Row],[Tanggal]],Table2[[#All],[Kompetitor area]:[Jumlah Kompetitor]],7,0)</f>
        <v>69</v>
      </c>
      <c r="M421">
        <f>Table1[[#This Row],[Aktual]]-Table1[[#This Row],[Jumlah Kompetitor]]</f>
        <v>98</v>
      </c>
      <c r="N421" t="str">
        <f>IF(Table1[[#This Row],[vs Kompetitor]]&gt;0,"Win", "Lose")</f>
        <v>Win</v>
      </c>
    </row>
    <row r="422" spans="1:14" x14ac:dyDescent="0.25">
      <c r="A422">
        <v>421</v>
      </c>
      <c r="B422" t="s">
        <v>5</v>
      </c>
      <c r="C422" t="s">
        <v>97</v>
      </c>
      <c r="D422">
        <v>4</v>
      </c>
      <c r="E422">
        <v>2021</v>
      </c>
      <c r="F422" s="2">
        <f>DATE(Table1[[#This Row],[Tahun]],Table1[[#This Row],[Bulan]],1)</f>
        <v>44287</v>
      </c>
      <c r="G422">
        <v>157</v>
      </c>
      <c r="H422">
        <v>141</v>
      </c>
      <c r="I422" s="6">
        <f>(Table1[[#This Row],[Aktual]]-Table1[[#This Row],[Target]])</f>
        <v>16</v>
      </c>
      <c r="J422" s="3">
        <f>(Table1[[#This Row],[Aktual]]-Table1[[#This Row],[Target]])/Table1[[#This Row],[Target]]</f>
        <v>0.11347517730496454</v>
      </c>
      <c r="K422" t="str">
        <f>IF(Table1[[#This Row],[Performance Gap (%)]]&lt;0,"Tidak mencapai target", IF(Table1[[#This Row],[Performance Gap (%)]]=0,"Mencapai target", "Melebihi Target"))</f>
        <v>Melebihi Target</v>
      </c>
      <c r="L422">
        <f>VLOOKUP(Table1[[#This Row],[Propinsi]]&amp;"_"&amp;Table1[[#This Row],[Dati 2]]&amp;"_"&amp;Table1[[#This Row],[Tanggal]],Table2[[#All],[Kompetitor area]:[Jumlah Kompetitor]],7,0)</f>
        <v>96</v>
      </c>
      <c r="M422">
        <f>Table1[[#This Row],[Aktual]]-Table1[[#This Row],[Jumlah Kompetitor]]</f>
        <v>61</v>
      </c>
      <c r="N422" t="str">
        <f>IF(Table1[[#This Row],[vs Kompetitor]]&gt;0,"Win", "Lose")</f>
        <v>Win</v>
      </c>
    </row>
    <row r="423" spans="1:14" x14ac:dyDescent="0.25">
      <c r="A423">
        <v>422</v>
      </c>
      <c r="B423" t="s">
        <v>5</v>
      </c>
      <c r="C423" t="s">
        <v>98</v>
      </c>
      <c r="D423">
        <v>4</v>
      </c>
      <c r="E423">
        <v>2021</v>
      </c>
      <c r="F423" s="2">
        <f>DATE(Table1[[#This Row],[Tahun]],Table1[[#This Row],[Bulan]],1)</f>
        <v>44287</v>
      </c>
      <c r="G423">
        <v>463</v>
      </c>
      <c r="H423">
        <v>473</v>
      </c>
      <c r="I423" s="6">
        <f>(Table1[[#This Row],[Aktual]]-Table1[[#This Row],[Target]])</f>
        <v>-10</v>
      </c>
      <c r="J423" s="3">
        <f>(Table1[[#This Row],[Aktual]]-Table1[[#This Row],[Target]])/Table1[[#This Row],[Target]]</f>
        <v>-2.1141649048625793E-2</v>
      </c>
      <c r="K423" t="str">
        <f>IF(Table1[[#This Row],[Performance Gap (%)]]&lt;0,"Tidak mencapai target", IF(Table1[[#This Row],[Performance Gap (%)]]=0,"Mencapai target", "Melebihi Target"))</f>
        <v>Tidak mencapai target</v>
      </c>
      <c r="L423">
        <f>VLOOKUP(Table1[[#This Row],[Propinsi]]&amp;"_"&amp;Table1[[#This Row],[Dati 2]]&amp;"_"&amp;Table1[[#This Row],[Tanggal]],Table2[[#All],[Kompetitor area]:[Jumlah Kompetitor]],7,0)</f>
        <v>68</v>
      </c>
      <c r="M423">
        <f>Table1[[#This Row],[Aktual]]-Table1[[#This Row],[Jumlah Kompetitor]]</f>
        <v>395</v>
      </c>
      <c r="N423" t="str">
        <f>IF(Table1[[#This Row],[vs Kompetitor]]&gt;0,"Win", "Lose")</f>
        <v>Win</v>
      </c>
    </row>
    <row r="424" spans="1:14" x14ac:dyDescent="0.25">
      <c r="A424">
        <v>423</v>
      </c>
      <c r="B424" t="s">
        <v>5</v>
      </c>
      <c r="C424" t="s">
        <v>99</v>
      </c>
      <c r="D424">
        <v>4</v>
      </c>
      <c r="E424">
        <v>2021</v>
      </c>
      <c r="F424" s="2">
        <f>DATE(Table1[[#This Row],[Tahun]],Table1[[#This Row],[Bulan]],1)</f>
        <v>44287</v>
      </c>
      <c r="G424">
        <v>760</v>
      </c>
      <c r="H424">
        <v>678</v>
      </c>
      <c r="I424" s="6">
        <f>(Table1[[#This Row],[Aktual]]-Table1[[#This Row],[Target]])</f>
        <v>82</v>
      </c>
      <c r="J424" s="3">
        <f>(Table1[[#This Row],[Aktual]]-Table1[[#This Row],[Target]])/Table1[[#This Row],[Target]]</f>
        <v>0.12094395280235988</v>
      </c>
      <c r="K424" t="str">
        <f>IF(Table1[[#This Row],[Performance Gap (%)]]&lt;0,"Tidak mencapai target", IF(Table1[[#This Row],[Performance Gap (%)]]=0,"Mencapai target", "Melebihi Target"))</f>
        <v>Melebihi Target</v>
      </c>
      <c r="L424">
        <f>VLOOKUP(Table1[[#This Row],[Propinsi]]&amp;"_"&amp;Table1[[#This Row],[Dati 2]]&amp;"_"&amp;Table1[[#This Row],[Tanggal]],Table2[[#All],[Kompetitor area]:[Jumlah Kompetitor]],7,0)</f>
        <v>65</v>
      </c>
      <c r="M424">
        <f>Table1[[#This Row],[Aktual]]-Table1[[#This Row],[Jumlah Kompetitor]]</f>
        <v>695</v>
      </c>
      <c r="N424" t="str">
        <f>IF(Table1[[#This Row],[vs Kompetitor]]&gt;0,"Win", "Lose")</f>
        <v>Win</v>
      </c>
    </row>
    <row r="425" spans="1:14" x14ac:dyDescent="0.25">
      <c r="A425">
        <v>424</v>
      </c>
      <c r="B425" t="s">
        <v>5</v>
      </c>
      <c r="C425" t="s">
        <v>100</v>
      </c>
      <c r="D425">
        <v>4</v>
      </c>
      <c r="E425">
        <v>2021</v>
      </c>
      <c r="F425" s="2">
        <f>DATE(Table1[[#This Row],[Tahun]],Table1[[#This Row],[Bulan]],1)</f>
        <v>44287</v>
      </c>
      <c r="G425">
        <v>203</v>
      </c>
      <c r="H425">
        <v>194</v>
      </c>
      <c r="I425" s="6">
        <f>(Table1[[#This Row],[Aktual]]-Table1[[#This Row],[Target]])</f>
        <v>9</v>
      </c>
      <c r="J425" s="3">
        <f>(Table1[[#This Row],[Aktual]]-Table1[[#This Row],[Target]])/Table1[[#This Row],[Target]]</f>
        <v>4.6391752577319589E-2</v>
      </c>
      <c r="K425" t="str">
        <f>IF(Table1[[#This Row],[Performance Gap (%)]]&lt;0,"Tidak mencapai target", IF(Table1[[#This Row],[Performance Gap (%)]]=0,"Mencapai target", "Melebihi Target"))</f>
        <v>Melebihi Target</v>
      </c>
      <c r="L425">
        <f>VLOOKUP(Table1[[#This Row],[Propinsi]]&amp;"_"&amp;Table1[[#This Row],[Dati 2]]&amp;"_"&amp;Table1[[#This Row],[Tanggal]],Table2[[#All],[Kompetitor area]:[Jumlah Kompetitor]],7,0)</f>
        <v>152</v>
      </c>
      <c r="M425">
        <f>Table1[[#This Row],[Aktual]]-Table1[[#This Row],[Jumlah Kompetitor]]</f>
        <v>51</v>
      </c>
      <c r="N425" t="str">
        <f>IF(Table1[[#This Row],[vs Kompetitor]]&gt;0,"Win", "Lose")</f>
        <v>Win</v>
      </c>
    </row>
    <row r="426" spans="1:14" x14ac:dyDescent="0.25">
      <c r="A426">
        <v>425</v>
      </c>
      <c r="B426" t="s">
        <v>5</v>
      </c>
      <c r="C426" t="s">
        <v>101</v>
      </c>
      <c r="D426">
        <v>4</v>
      </c>
      <c r="E426">
        <v>2021</v>
      </c>
      <c r="F426" s="2">
        <f>DATE(Table1[[#This Row],[Tahun]],Table1[[#This Row],[Bulan]],1)</f>
        <v>44287</v>
      </c>
      <c r="G426">
        <v>1049</v>
      </c>
      <c r="H426">
        <v>1013</v>
      </c>
      <c r="I426" s="6">
        <f>(Table1[[#This Row],[Aktual]]-Table1[[#This Row],[Target]])</f>
        <v>36</v>
      </c>
      <c r="J426" s="3">
        <f>(Table1[[#This Row],[Aktual]]-Table1[[#This Row],[Target]])/Table1[[#This Row],[Target]]</f>
        <v>3.5538005923000986E-2</v>
      </c>
      <c r="K426" t="str">
        <f>IF(Table1[[#This Row],[Performance Gap (%)]]&lt;0,"Tidak mencapai target", IF(Table1[[#This Row],[Performance Gap (%)]]=0,"Mencapai target", "Melebihi Target"))</f>
        <v>Melebihi Target</v>
      </c>
      <c r="L426">
        <f>VLOOKUP(Table1[[#This Row],[Propinsi]]&amp;"_"&amp;Table1[[#This Row],[Dati 2]]&amp;"_"&amp;Table1[[#This Row],[Tanggal]],Table2[[#All],[Kompetitor area]:[Jumlah Kompetitor]],7,0)</f>
        <v>95</v>
      </c>
      <c r="M426">
        <f>Table1[[#This Row],[Aktual]]-Table1[[#This Row],[Jumlah Kompetitor]]</f>
        <v>954</v>
      </c>
      <c r="N426" t="str">
        <f>IF(Table1[[#This Row],[vs Kompetitor]]&gt;0,"Win", "Lose")</f>
        <v>Win</v>
      </c>
    </row>
    <row r="427" spans="1:14" x14ac:dyDescent="0.25">
      <c r="A427">
        <v>426</v>
      </c>
      <c r="B427" t="s">
        <v>5</v>
      </c>
      <c r="C427" t="s">
        <v>102</v>
      </c>
      <c r="D427">
        <v>4</v>
      </c>
      <c r="E427">
        <v>2021</v>
      </c>
      <c r="F427" s="2">
        <f>DATE(Table1[[#This Row],[Tahun]],Table1[[#This Row],[Bulan]],1)</f>
        <v>44287</v>
      </c>
      <c r="G427">
        <v>765</v>
      </c>
      <c r="H427">
        <v>687</v>
      </c>
      <c r="I427" s="6">
        <f>(Table1[[#This Row],[Aktual]]-Table1[[#This Row],[Target]])</f>
        <v>78</v>
      </c>
      <c r="J427" s="3">
        <f>(Table1[[#This Row],[Aktual]]-Table1[[#This Row],[Target]])/Table1[[#This Row],[Target]]</f>
        <v>0.11353711790393013</v>
      </c>
      <c r="K427" t="str">
        <f>IF(Table1[[#This Row],[Performance Gap (%)]]&lt;0,"Tidak mencapai target", IF(Table1[[#This Row],[Performance Gap (%)]]=0,"Mencapai target", "Melebihi Target"))</f>
        <v>Melebihi Target</v>
      </c>
      <c r="L427">
        <f>VLOOKUP(Table1[[#This Row],[Propinsi]]&amp;"_"&amp;Table1[[#This Row],[Dati 2]]&amp;"_"&amp;Table1[[#This Row],[Tanggal]],Table2[[#All],[Kompetitor area]:[Jumlah Kompetitor]],7,0)</f>
        <v>140</v>
      </c>
      <c r="M427">
        <f>Table1[[#This Row],[Aktual]]-Table1[[#This Row],[Jumlah Kompetitor]]</f>
        <v>625</v>
      </c>
      <c r="N427" t="str">
        <f>IF(Table1[[#This Row],[vs Kompetitor]]&gt;0,"Win", "Lose")</f>
        <v>Win</v>
      </c>
    </row>
    <row r="428" spans="1:14" x14ac:dyDescent="0.25">
      <c r="A428">
        <v>427</v>
      </c>
      <c r="B428" t="s">
        <v>5</v>
      </c>
      <c r="C428" t="s">
        <v>103</v>
      </c>
      <c r="D428">
        <v>4</v>
      </c>
      <c r="E428">
        <v>2021</v>
      </c>
      <c r="F428" s="2">
        <f>DATE(Table1[[#This Row],[Tahun]],Table1[[#This Row],[Bulan]],1)</f>
        <v>44287</v>
      </c>
      <c r="G428">
        <v>1603</v>
      </c>
      <c r="H428">
        <v>1435</v>
      </c>
      <c r="I428" s="6">
        <f>(Table1[[#This Row],[Aktual]]-Table1[[#This Row],[Target]])</f>
        <v>168</v>
      </c>
      <c r="J428" s="3">
        <f>(Table1[[#This Row],[Aktual]]-Table1[[#This Row],[Target]])/Table1[[#This Row],[Target]]</f>
        <v>0.11707317073170732</v>
      </c>
      <c r="K428" t="str">
        <f>IF(Table1[[#This Row],[Performance Gap (%)]]&lt;0,"Tidak mencapai target", IF(Table1[[#This Row],[Performance Gap (%)]]=0,"Mencapai target", "Melebihi Target"))</f>
        <v>Melebihi Target</v>
      </c>
      <c r="L428">
        <f>VLOOKUP(Table1[[#This Row],[Propinsi]]&amp;"_"&amp;Table1[[#This Row],[Dati 2]]&amp;"_"&amp;Table1[[#This Row],[Tanggal]],Table2[[#All],[Kompetitor area]:[Jumlah Kompetitor]],7,0)</f>
        <v>72</v>
      </c>
      <c r="M428">
        <f>Table1[[#This Row],[Aktual]]-Table1[[#This Row],[Jumlah Kompetitor]]</f>
        <v>1531</v>
      </c>
      <c r="N428" t="str">
        <f>IF(Table1[[#This Row],[vs Kompetitor]]&gt;0,"Win", "Lose")</f>
        <v>Win</v>
      </c>
    </row>
    <row r="429" spans="1:14" x14ac:dyDescent="0.25">
      <c r="A429">
        <v>428</v>
      </c>
      <c r="B429" t="s">
        <v>5</v>
      </c>
      <c r="C429" t="s">
        <v>104</v>
      </c>
      <c r="D429">
        <v>4</v>
      </c>
      <c r="E429">
        <v>2021</v>
      </c>
      <c r="F429" s="2">
        <f>DATE(Table1[[#This Row],[Tahun]],Table1[[#This Row],[Bulan]],1)</f>
        <v>44287</v>
      </c>
      <c r="G429">
        <v>1435</v>
      </c>
      <c r="H429">
        <v>1388</v>
      </c>
      <c r="I429" s="6">
        <f>(Table1[[#This Row],[Aktual]]-Table1[[#This Row],[Target]])</f>
        <v>47</v>
      </c>
      <c r="J429" s="3">
        <f>(Table1[[#This Row],[Aktual]]-Table1[[#This Row],[Target]])/Table1[[#This Row],[Target]]</f>
        <v>3.3861671469740631E-2</v>
      </c>
      <c r="K429" t="str">
        <f>IF(Table1[[#This Row],[Performance Gap (%)]]&lt;0,"Tidak mencapai target", IF(Table1[[#This Row],[Performance Gap (%)]]=0,"Mencapai target", "Melebihi Target"))</f>
        <v>Melebihi Target</v>
      </c>
      <c r="L429">
        <f>VLOOKUP(Table1[[#This Row],[Propinsi]]&amp;"_"&amp;Table1[[#This Row],[Dati 2]]&amp;"_"&amp;Table1[[#This Row],[Tanggal]],Table2[[#All],[Kompetitor area]:[Jumlah Kompetitor]],7,0)</f>
        <v>142</v>
      </c>
      <c r="M429">
        <f>Table1[[#This Row],[Aktual]]-Table1[[#This Row],[Jumlah Kompetitor]]</f>
        <v>1293</v>
      </c>
      <c r="N429" t="str">
        <f>IF(Table1[[#This Row],[vs Kompetitor]]&gt;0,"Win", "Lose")</f>
        <v>Win</v>
      </c>
    </row>
    <row r="430" spans="1:14" x14ac:dyDescent="0.25">
      <c r="A430">
        <v>429</v>
      </c>
      <c r="B430" t="s">
        <v>5</v>
      </c>
      <c r="C430" t="s">
        <v>105</v>
      </c>
      <c r="D430">
        <v>4</v>
      </c>
      <c r="E430">
        <v>2021</v>
      </c>
      <c r="F430" s="2">
        <f>DATE(Table1[[#This Row],[Tahun]],Table1[[#This Row],[Bulan]],1)</f>
        <v>44287</v>
      </c>
      <c r="G430">
        <v>611</v>
      </c>
      <c r="H430">
        <v>523</v>
      </c>
      <c r="I430" s="6">
        <f>(Table1[[#This Row],[Aktual]]-Table1[[#This Row],[Target]])</f>
        <v>88</v>
      </c>
      <c r="J430" s="3">
        <f>(Table1[[#This Row],[Aktual]]-Table1[[#This Row],[Target]])/Table1[[#This Row],[Target]]</f>
        <v>0.16826003824091779</v>
      </c>
      <c r="K430" t="str">
        <f>IF(Table1[[#This Row],[Performance Gap (%)]]&lt;0,"Tidak mencapai target", IF(Table1[[#This Row],[Performance Gap (%)]]=0,"Mencapai target", "Melebihi Target"))</f>
        <v>Melebihi Target</v>
      </c>
      <c r="L430">
        <f>VLOOKUP(Table1[[#This Row],[Propinsi]]&amp;"_"&amp;Table1[[#This Row],[Dati 2]]&amp;"_"&amp;Table1[[#This Row],[Tanggal]],Table2[[#All],[Kompetitor area]:[Jumlah Kompetitor]],7,0)</f>
        <v>76</v>
      </c>
      <c r="M430">
        <f>Table1[[#This Row],[Aktual]]-Table1[[#This Row],[Jumlah Kompetitor]]</f>
        <v>535</v>
      </c>
      <c r="N430" t="str">
        <f>IF(Table1[[#This Row],[vs Kompetitor]]&gt;0,"Win", "Lose")</f>
        <v>Win</v>
      </c>
    </row>
    <row r="431" spans="1:14" x14ac:dyDescent="0.25">
      <c r="A431">
        <v>430</v>
      </c>
      <c r="B431" t="s">
        <v>5</v>
      </c>
      <c r="C431" t="s">
        <v>106</v>
      </c>
      <c r="D431">
        <v>4</v>
      </c>
      <c r="E431">
        <v>2021</v>
      </c>
      <c r="F431" s="2">
        <f>DATE(Table1[[#This Row],[Tahun]],Table1[[#This Row],[Bulan]],1)</f>
        <v>44287</v>
      </c>
      <c r="G431">
        <v>516</v>
      </c>
      <c r="H431">
        <v>517</v>
      </c>
      <c r="I431" s="6">
        <f>(Table1[[#This Row],[Aktual]]-Table1[[#This Row],[Target]])</f>
        <v>-1</v>
      </c>
      <c r="J431" s="3">
        <f>(Table1[[#This Row],[Aktual]]-Table1[[#This Row],[Target]])/Table1[[#This Row],[Target]]</f>
        <v>-1.9342359767891683E-3</v>
      </c>
      <c r="K431" t="str">
        <f>IF(Table1[[#This Row],[Performance Gap (%)]]&lt;0,"Tidak mencapai target", IF(Table1[[#This Row],[Performance Gap (%)]]=0,"Mencapai target", "Melebihi Target"))</f>
        <v>Tidak mencapai target</v>
      </c>
      <c r="L431">
        <f>VLOOKUP(Table1[[#This Row],[Propinsi]]&amp;"_"&amp;Table1[[#This Row],[Dati 2]]&amp;"_"&amp;Table1[[#This Row],[Tanggal]],Table2[[#All],[Kompetitor area]:[Jumlah Kompetitor]],7,0)</f>
        <v>63</v>
      </c>
      <c r="M431">
        <f>Table1[[#This Row],[Aktual]]-Table1[[#This Row],[Jumlah Kompetitor]]</f>
        <v>453</v>
      </c>
      <c r="N431" t="str">
        <f>IF(Table1[[#This Row],[vs Kompetitor]]&gt;0,"Win", "Lose")</f>
        <v>Win</v>
      </c>
    </row>
    <row r="432" spans="1:14" x14ac:dyDescent="0.25">
      <c r="A432">
        <v>431</v>
      </c>
      <c r="B432" t="s">
        <v>5</v>
      </c>
      <c r="C432" t="s">
        <v>107</v>
      </c>
      <c r="D432">
        <v>4</v>
      </c>
      <c r="E432">
        <v>2021</v>
      </c>
      <c r="F432" s="2">
        <f>DATE(Table1[[#This Row],[Tahun]],Table1[[#This Row],[Bulan]],1)</f>
        <v>44287</v>
      </c>
      <c r="G432">
        <v>512</v>
      </c>
      <c r="H432">
        <v>531</v>
      </c>
      <c r="I432" s="6">
        <f>(Table1[[#This Row],[Aktual]]-Table1[[#This Row],[Target]])</f>
        <v>-19</v>
      </c>
      <c r="J432" s="3">
        <f>(Table1[[#This Row],[Aktual]]-Table1[[#This Row],[Target]])/Table1[[#This Row],[Target]]</f>
        <v>-3.5781544256120526E-2</v>
      </c>
      <c r="K432" t="str">
        <f>IF(Table1[[#This Row],[Performance Gap (%)]]&lt;0,"Tidak mencapai target", IF(Table1[[#This Row],[Performance Gap (%)]]=0,"Mencapai target", "Melebihi Target"))</f>
        <v>Tidak mencapai target</v>
      </c>
      <c r="L432">
        <f>VLOOKUP(Table1[[#This Row],[Propinsi]]&amp;"_"&amp;Table1[[#This Row],[Dati 2]]&amp;"_"&amp;Table1[[#This Row],[Tanggal]],Table2[[#All],[Kompetitor area]:[Jumlah Kompetitor]],7,0)</f>
        <v>113</v>
      </c>
      <c r="M432">
        <f>Table1[[#This Row],[Aktual]]-Table1[[#This Row],[Jumlah Kompetitor]]</f>
        <v>399</v>
      </c>
      <c r="N432" t="str">
        <f>IF(Table1[[#This Row],[vs Kompetitor]]&gt;0,"Win", "Lose")</f>
        <v>Win</v>
      </c>
    </row>
    <row r="433" spans="1:14" x14ac:dyDescent="0.25">
      <c r="A433">
        <v>432</v>
      </c>
      <c r="B433" t="s">
        <v>5</v>
      </c>
      <c r="C433" t="s">
        <v>108</v>
      </c>
      <c r="D433">
        <v>4</v>
      </c>
      <c r="E433">
        <v>2021</v>
      </c>
      <c r="F433" s="2">
        <f>DATE(Table1[[#This Row],[Tahun]],Table1[[#This Row],[Bulan]],1)</f>
        <v>44287</v>
      </c>
      <c r="G433">
        <v>1064</v>
      </c>
      <c r="H433">
        <v>1002</v>
      </c>
      <c r="I433" s="6">
        <f>(Table1[[#This Row],[Aktual]]-Table1[[#This Row],[Target]])</f>
        <v>62</v>
      </c>
      <c r="J433" s="3">
        <f>(Table1[[#This Row],[Aktual]]-Table1[[#This Row],[Target]])/Table1[[#This Row],[Target]]</f>
        <v>6.1876247504990017E-2</v>
      </c>
      <c r="K433" t="str">
        <f>IF(Table1[[#This Row],[Performance Gap (%)]]&lt;0,"Tidak mencapai target", IF(Table1[[#This Row],[Performance Gap (%)]]=0,"Mencapai target", "Melebihi Target"))</f>
        <v>Melebihi Target</v>
      </c>
      <c r="L433">
        <f>VLOOKUP(Table1[[#This Row],[Propinsi]]&amp;"_"&amp;Table1[[#This Row],[Dati 2]]&amp;"_"&amp;Table1[[#This Row],[Tanggal]],Table2[[#All],[Kompetitor area]:[Jumlah Kompetitor]],7,0)</f>
        <v>84</v>
      </c>
      <c r="M433">
        <f>Table1[[#This Row],[Aktual]]-Table1[[#This Row],[Jumlah Kompetitor]]</f>
        <v>980</v>
      </c>
      <c r="N433" t="str">
        <f>IF(Table1[[#This Row],[vs Kompetitor]]&gt;0,"Win", "Lose")</f>
        <v>Win</v>
      </c>
    </row>
    <row r="434" spans="1:14" x14ac:dyDescent="0.25">
      <c r="A434">
        <v>433</v>
      </c>
      <c r="B434" t="s">
        <v>5</v>
      </c>
      <c r="C434" t="s">
        <v>109</v>
      </c>
      <c r="D434">
        <v>4</v>
      </c>
      <c r="E434">
        <v>2021</v>
      </c>
      <c r="F434" s="2">
        <f>DATE(Table1[[#This Row],[Tahun]],Table1[[#This Row],[Bulan]],1)</f>
        <v>44287</v>
      </c>
      <c r="G434">
        <v>939</v>
      </c>
      <c r="H434">
        <v>1026</v>
      </c>
      <c r="I434" s="6">
        <f>(Table1[[#This Row],[Aktual]]-Table1[[#This Row],[Target]])</f>
        <v>-87</v>
      </c>
      <c r="J434" s="3">
        <f>(Table1[[#This Row],[Aktual]]-Table1[[#This Row],[Target]])/Table1[[#This Row],[Target]]</f>
        <v>-8.4795321637426896E-2</v>
      </c>
      <c r="K434" t="str">
        <f>IF(Table1[[#This Row],[Performance Gap (%)]]&lt;0,"Tidak mencapai target", IF(Table1[[#This Row],[Performance Gap (%)]]=0,"Mencapai target", "Melebihi Target"))</f>
        <v>Tidak mencapai target</v>
      </c>
      <c r="L434">
        <f>VLOOKUP(Table1[[#This Row],[Propinsi]]&amp;"_"&amp;Table1[[#This Row],[Dati 2]]&amp;"_"&amp;Table1[[#This Row],[Tanggal]],Table2[[#All],[Kompetitor area]:[Jumlah Kompetitor]],7,0)</f>
        <v>162</v>
      </c>
      <c r="M434">
        <f>Table1[[#This Row],[Aktual]]-Table1[[#This Row],[Jumlah Kompetitor]]</f>
        <v>777</v>
      </c>
      <c r="N434" t="str">
        <f>IF(Table1[[#This Row],[vs Kompetitor]]&gt;0,"Win", "Lose")</f>
        <v>Win</v>
      </c>
    </row>
    <row r="435" spans="1:14" x14ac:dyDescent="0.25">
      <c r="A435">
        <v>434</v>
      </c>
      <c r="B435" t="s">
        <v>5</v>
      </c>
      <c r="C435" t="s">
        <v>110</v>
      </c>
      <c r="D435">
        <v>4</v>
      </c>
      <c r="E435">
        <v>2021</v>
      </c>
      <c r="F435" s="2">
        <f>DATE(Table1[[#This Row],[Tahun]],Table1[[#This Row],[Bulan]],1)</f>
        <v>44287</v>
      </c>
      <c r="G435">
        <v>741</v>
      </c>
      <c r="H435">
        <v>630</v>
      </c>
      <c r="I435" s="6">
        <f>(Table1[[#This Row],[Aktual]]-Table1[[#This Row],[Target]])</f>
        <v>111</v>
      </c>
      <c r="J435" s="3">
        <f>(Table1[[#This Row],[Aktual]]-Table1[[#This Row],[Target]])/Table1[[#This Row],[Target]]</f>
        <v>0.1761904761904762</v>
      </c>
      <c r="K435" t="str">
        <f>IF(Table1[[#This Row],[Performance Gap (%)]]&lt;0,"Tidak mencapai target", IF(Table1[[#This Row],[Performance Gap (%)]]=0,"Mencapai target", "Melebihi Target"))</f>
        <v>Melebihi Target</v>
      </c>
      <c r="L435">
        <f>VLOOKUP(Table1[[#This Row],[Propinsi]]&amp;"_"&amp;Table1[[#This Row],[Dati 2]]&amp;"_"&amp;Table1[[#This Row],[Tanggal]],Table2[[#All],[Kompetitor area]:[Jumlah Kompetitor]],7,0)</f>
        <v>66</v>
      </c>
      <c r="M435">
        <f>Table1[[#This Row],[Aktual]]-Table1[[#This Row],[Jumlah Kompetitor]]</f>
        <v>675</v>
      </c>
      <c r="N435" t="str">
        <f>IF(Table1[[#This Row],[vs Kompetitor]]&gt;0,"Win", "Lose")</f>
        <v>Win</v>
      </c>
    </row>
    <row r="436" spans="1:14" x14ac:dyDescent="0.25">
      <c r="A436">
        <v>435</v>
      </c>
      <c r="B436" t="s">
        <v>5</v>
      </c>
      <c r="C436" t="s">
        <v>111</v>
      </c>
      <c r="D436">
        <v>4</v>
      </c>
      <c r="E436">
        <v>2021</v>
      </c>
      <c r="F436" s="2">
        <f>DATE(Table1[[#This Row],[Tahun]],Table1[[#This Row],[Bulan]],1)</f>
        <v>44287</v>
      </c>
      <c r="G436">
        <v>518</v>
      </c>
      <c r="H436">
        <v>568</v>
      </c>
      <c r="I436" s="6">
        <f>(Table1[[#This Row],[Aktual]]-Table1[[#This Row],[Target]])</f>
        <v>-50</v>
      </c>
      <c r="J436" s="3">
        <f>(Table1[[#This Row],[Aktual]]-Table1[[#This Row],[Target]])/Table1[[#This Row],[Target]]</f>
        <v>-8.8028169014084501E-2</v>
      </c>
      <c r="K436" t="str">
        <f>IF(Table1[[#This Row],[Performance Gap (%)]]&lt;0,"Tidak mencapai target", IF(Table1[[#This Row],[Performance Gap (%)]]=0,"Mencapai target", "Melebihi Target"))</f>
        <v>Tidak mencapai target</v>
      </c>
      <c r="L436">
        <f>VLOOKUP(Table1[[#This Row],[Propinsi]]&amp;"_"&amp;Table1[[#This Row],[Dati 2]]&amp;"_"&amp;Table1[[#This Row],[Tanggal]],Table2[[#All],[Kompetitor area]:[Jumlah Kompetitor]],7,0)</f>
        <v>84</v>
      </c>
      <c r="M436">
        <f>Table1[[#This Row],[Aktual]]-Table1[[#This Row],[Jumlah Kompetitor]]</f>
        <v>434</v>
      </c>
      <c r="N436" t="str">
        <f>IF(Table1[[#This Row],[vs Kompetitor]]&gt;0,"Win", "Lose")</f>
        <v>Win</v>
      </c>
    </row>
    <row r="437" spans="1:14" x14ac:dyDescent="0.25">
      <c r="A437">
        <v>436</v>
      </c>
      <c r="B437" t="s">
        <v>5</v>
      </c>
      <c r="C437" t="s">
        <v>112</v>
      </c>
      <c r="D437">
        <v>4</v>
      </c>
      <c r="E437">
        <v>2021</v>
      </c>
      <c r="F437" s="2">
        <f>DATE(Table1[[#This Row],[Tahun]],Table1[[#This Row],[Bulan]],1)</f>
        <v>44287</v>
      </c>
      <c r="G437">
        <v>326</v>
      </c>
      <c r="H437">
        <v>321</v>
      </c>
      <c r="I437" s="6">
        <f>(Table1[[#This Row],[Aktual]]-Table1[[#This Row],[Target]])</f>
        <v>5</v>
      </c>
      <c r="J437" s="3">
        <f>(Table1[[#This Row],[Aktual]]-Table1[[#This Row],[Target]])/Table1[[#This Row],[Target]]</f>
        <v>1.5576323987538941E-2</v>
      </c>
      <c r="K437" t="str">
        <f>IF(Table1[[#This Row],[Performance Gap (%)]]&lt;0,"Tidak mencapai target", IF(Table1[[#This Row],[Performance Gap (%)]]=0,"Mencapai target", "Melebihi Target"))</f>
        <v>Melebihi Target</v>
      </c>
      <c r="L437">
        <f>VLOOKUP(Table1[[#This Row],[Propinsi]]&amp;"_"&amp;Table1[[#This Row],[Dati 2]]&amp;"_"&amp;Table1[[#This Row],[Tanggal]],Table2[[#All],[Kompetitor area]:[Jumlah Kompetitor]],7,0)</f>
        <v>45</v>
      </c>
      <c r="M437">
        <f>Table1[[#This Row],[Aktual]]-Table1[[#This Row],[Jumlah Kompetitor]]</f>
        <v>281</v>
      </c>
      <c r="N437" t="str">
        <f>IF(Table1[[#This Row],[vs Kompetitor]]&gt;0,"Win", "Lose")</f>
        <v>Win</v>
      </c>
    </row>
    <row r="438" spans="1:14" x14ac:dyDescent="0.25">
      <c r="A438">
        <v>437</v>
      </c>
      <c r="B438" t="s">
        <v>5</v>
      </c>
      <c r="C438" t="s">
        <v>113</v>
      </c>
      <c r="D438">
        <v>4</v>
      </c>
      <c r="E438">
        <v>2021</v>
      </c>
      <c r="F438" s="2">
        <f>DATE(Table1[[#This Row],[Tahun]],Table1[[#This Row],[Bulan]],1)</f>
        <v>44287</v>
      </c>
      <c r="G438">
        <v>816</v>
      </c>
      <c r="H438">
        <v>733</v>
      </c>
      <c r="I438" s="6">
        <f>(Table1[[#This Row],[Aktual]]-Table1[[#This Row],[Target]])</f>
        <v>83</v>
      </c>
      <c r="J438" s="3">
        <f>(Table1[[#This Row],[Aktual]]-Table1[[#This Row],[Target]])/Table1[[#This Row],[Target]]</f>
        <v>0.11323328785811733</v>
      </c>
      <c r="K438" t="str">
        <f>IF(Table1[[#This Row],[Performance Gap (%)]]&lt;0,"Tidak mencapai target", IF(Table1[[#This Row],[Performance Gap (%)]]=0,"Mencapai target", "Melebihi Target"))</f>
        <v>Melebihi Target</v>
      </c>
      <c r="L438">
        <f>VLOOKUP(Table1[[#This Row],[Propinsi]]&amp;"_"&amp;Table1[[#This Row],[Dati 2]]&amp;"_"&amp;Table1[[#This Row],[Tanggal]],Table2[[#All],[Kompetitor area]:[Jumlah Kompetitor]],7,0)</f>
        <v>6</v>
      </c>
      <c r="M438">
        <f>Table1[[#This Row],[Aktual]]-Table1[[#This Row],[Jumlah Kompetitor]]</f>
        <v>810</v>
      </c>
      <c r="N438" t="str">
        <f>IF(Table1[[#This Row],[vs Kompetitor]]&gt;0,"Win", "Lose")</f>
        <v>Win</v>
      </c>
    </row>
    <row r="439" spans="1:14" x14ac:dyDescent="0.25">
      <c r="A439">
        <v>438</v>
      </c>
      <c r="B439" t="s">
        <v>5</v>
      </c>
      <c r="C439" t="s">
        <v>114</v>
      </c>
      <c r="D439">
        <v>4</v>
      </c>
      <c r="E439">
        <v>2021</v>
      </c>
      <c r="F439" s="2">
        <f>DATE(Table1[[#This Row],[Tahun]],Table1[[#This Row],[Bulan]],1)</f>
        <v>44287</v>
      </c>
      <c r="G439">
        <v>513</v>
      </c>
      <c r="H439">
        <v>572</v>
      </c>
      <c r="I439" s="6">
        <f>(Table1[[#This Row],[Aktual]]-Table1[[#This Row],[Target]])</f>
        <v>-59</v>
      </c>
      <c r="J439" s="3">
        <f>(Table1[[#This Row],[Aktual]]-Table1[[#This Row],[Target]])/Table1[[#This Row],[Target]]</f>
        <v>-0.10314685314685315</v>
      </c>
      <c r="K439" t="str">
        <f>IF(Table1[[#This Row],[Performance Gap (%)]]&lt;0,"Tidak mencapai target", IF(Table1[[#This Row],[Performance Gap (%)]]=0,"Mencapai target", "Melebihi Target"))</f>
        <v>Tidak mencapai target</v>
      </c>
      <c r="L439">
        <f>VLOOKUP(Table1[[#This Row],[Propinsi]]&amp;"_"&amp;Table1[[#This Row],[Dati 2]]&amp;"_"&amp;Table1[[#This Row],[Tanggal]],Table2[[#All],[Kompetitor area]:[Jumlah Kompetitor]],7,0)</f>
        <v>34</v>
      </c>
      <c r="M439">
        <f>Table1[[#This Row],[Aktual]]-Table1[[#This Row],[Jumlah Kompetitor]]</f>
        <v>479</v>
      </c>
      <c r="N439" t="str">
        <f>IF(Table1[[#This Row],[vs Kompetitor]]&gt;0,"Win", "Lose")</f>
        <v>Win</v>
      </c>
    </row>
    <row r="440" spans="1:14" x14ac:dyDescent="0.25">
      <c r="A440">
        <v>439</v>
      </c>
      <c r="B440" t="s">
        <v>5</v>
      </c>
      <c r="C440" t="s">
        <v>115</v>
      </c>
      <c r="D440">
        <v>4</v>
      </c>
      <c r="E440">
        <v>2021</v>
      </c>
      <c r="F440" s="2">
        <f>DATE(Table1[[#This Row],[Tahun]],Table1[[#This Row],[Bulan]],1)</f>
        <v>44287</v>
      </c>
      <c r="G440">
        <v>530</v>
      </c>
      <c r="H440">
        <v>517</v>
      </c>
      <c r="I440" s="6">
        <f>(Table1[[#This Row],[Aktual]]-Table1[[#This Row],[Target]])</f>
        <v>13</v>
      </c>
      <c r="J440" s="3">
        <f>(Table1[[#This Row],[Aktual]]-Table1[[#This Row],[Target]])/Table1[[#This Row],[Target]]</f>
        <v>2.5145067698259187E-2</v>
      </c>
      <c r="K440" t="str">
        <f>IF(Table1[[#This Row],[Performance Gap (%)]]&lt;0,"Tidak mencapai target", IF(Table1[[#This Row],[Performance Gap (%)]]=0,"Mencapai target", "Melebihi Target"))</f>
        <v>Melebihi Target</v>
      </c>
      <c r="L440">
        <f>VLOOKUP(Table1[[#This Row],[Propinsi]]&amp;"_"&amp;Table1[[#This Row],[Dati 2]]&amp;"_"&amp;Table1[[#This Row],[Tanggal]],Table2[[#All],[Kompetitor area]:[Jumlah Kompetitor]],7,0)</f>
        <v>28</v>
      </c>
      <c r="M440">
        <f>Table1[[#This Row],[Aktual]]-Table1[[#This Row],[Jumlah Kompetitor]]</f>
        <v>502</v>
      </c>
      <c r="N440" t="str">
        <f>IF(Table1[[#This Row],[vs Kompetitor]]&gt;0,"Win", "Lose")</f>
        <v>Win</v>
      </c>
    </row>
    <row r="441" spans="1:14" x14ac:dyDescent="0.25">
      <c r="A441">
        <v>440</v>
      </c>
      <c r="B441" t="s">
        <v>5</v>
      </c>
      <c r="C441" t="s">
        <v>116</v>
      </c>
      <c r="D441">
        <v>4</v>
      </c>
      <c r="E441">
        <v>2021</v>
      </c>
      <c r="F441" s="2">
        <f>DATE(Table1[[#This Row],[Tahun]],Table1[[#This Row],[Bulan]],1)</f>
        <v>44287</v>
      </c>
      <c r="G441">
        <v>994</v>
      </c>
      <c r="H441">
        <v>865</v>
      </c>
      <c r="I441" s="6">
        <f>(Table1[[#This Row],[Aktual]]-Table1[[#This Row],[Target]])</f>
        <v>129</v>
      </c>
      <c r="J441" s="3">
        <f>(Table1[[#This Row],[Aktual]]-Table1[[#This Row],[Target]])/Table1[[#This Row],[Target]]</f>
        <v>0.14913294797687862</v>
      </c>
      <c r="K441" t="str">
        <f>IF(Table1[[#This Row],[Performance Gap (%)]]&lt;0,"Tidak mencapai target", IF(Table1[[#This Row],[Performance Gap (%)]]=0,"Mencapai target", "Melebihi Target"))</f>
        <v>Melebihi Target</v>
      </c>
      <c r="L441">
        <f>VLOOKUP(Table1[[#This Row],[Propinsi]]&amp;"_"&amp;Table1[[#This Row],[Dati 2]]&amp;"_"&amp;Table1[[#This Row],[Tanggal]],Table2[[#All],[Kompetitor area]:[Jumlah Kompetitor]],7,0)</f>
        <v>51</v>
      </c>
      <c r="M441">
        <f>Table1[[#This Row],[Aktual]]-Table1[[#This Row],[Jumlah Kompetitor]]</f>
        <v>943</v>
      </c>
      <c r="N441" t="str">
        <f>IF(Table1[[#This Row],[vs Kompetitor]]&gt;0,"Win", "Lose")</f>
        <v>Win</v>
      </c>
    </row>
    <row r="442" spans="1:14" x14ac:dyDescent="0.25">
      <c r="A442">
        <v>441</v>
      </c>
      <c r="B442" t="s">
        <v>5</v>
      </c>
      <c r="C442" t="s">
        <v>117</v>
      </c>
      <c r="D442">
        <v>4</v>
      </c>
      <c r="E442">
        <v>2021</v>
      </c>
      <c r="F442" s="2">
        <f>DATE(Table1[[#This Row],[Tahun]],Table1[[#This Row],[Bulan]],1)</f>
        <v>44287</v>
      </c>
      <c r="G442">
        <v>1098</v>
      </c>
      <c r="H442">
        <v>1065</v>
      </c>
      <c r="I442" s="6">
        <f>(Table1[[#This Row],[Aktual]]-Table1[[#This Row],[Target]])</f>
        <v>33</v>
      </c>
      <c r="J442" s="3">
        <f>(Table1[[#This Row],[Aktual]]-Table1[[#This Row],[Target]])/Table1[[#This Row],[Target]]</f>
        <v>3.0985915492957747E-2</v>
      </c>
      <c r="K442" t="str">
        <f>IF(Table1[[#This Row],[Performance Gap (%)]]&lt;0,"Tidak mencapai target", IF(Table1[[#This Row],[Performance Gap (%)]]=0,"Mencapai target", "Melebihi Target"))</f>
        <v>Melebihi Target</v>
      </c>
      <c r="L442">
        <f>VLOOKUP(Table1[[#This Row],[Propinsi]]&amp;"_"&amp;Table1[[#This Row],[Dati 2]]&amp;"_"&amp;Table1[[#This Row],[Tanggal]],Table2[[#All],[Kompetitor area]:[Jumlah Kompetitor]],7,0)</f>
        <v>19</v>
      </c>
      <c r="M442">
        <f>Table1[[#This Row],[Aktual]]-Table1[[#This Row],[Jumlah Kompetitor]]</f>
        <v>1079</v>
      </c>
      <c r="N442" t="str">
        <f>IF(Table1[[#This Row],[vs Kompetitor]]&gt;0,"Win", "Lose")</f>
        <v>Win</v>
      </c>
    </row>
    <row r="443" spans="1:14" x14ac:dyDescent="0.25">
      <c r="A443">
        <v>442</v>
      </c>
      <c r="B443" t="s">
        <v>5</v>
      </c>
      <c r="C443" t="s">
        <v>118</v>
      </c>
      <c r="D443">
        <v>4</v>
      </c>
      <c r="E443">
        <v>2021</v>
      </c>
      <c r="F443" s="2">
        <f>DATE(Table1[[#This Row],[Tahun]],Table1[[#This Row],[Bulan]],1)</f>
        <v>44287</v>
      </c>
      <c r="G443">
        <v>765</v>
      </c>
      <c r="H443">
        <v>684</v>
      </c>
      <c r="I443" s="6">
        <f>(Table1[[#This Row],[Aktual]]-Table1[[#This Row],[Target]])</f>
        <v>81</v>
      </c>
      <c r="J443" s="3">
        <f>(Table1[[#This Row],[Aktual]]-Table1[[#This Row],[Target]])/Table1[[#This Row],[Target]]</f>
        <v>0.11842105263157894</v>
      </c>
      <c r="K443" t="str">
        <f>IF(Table1[[#This Row],[Performance Gap (%)]]&lt;0,"Tidak mencapai target", IF(Table1[[#This Row],[Performance Gap (%)]]=0,"Mencapai target", "Melebihi Target"))</f>
        <v>Melebihi Target</v>
      </c>
      <c r="L443">
        <f>VLOOKUP(Table1[[#This Row],[Propinsi]]&amp;"_"&amp;Table1[[#This Row],[Dati 2]]&amp;"_"&amp;Table1[[#This Row],[Tanggal]],Table2[[#All],[Kompetitor area]:[Jumlah Kompetitor]],7,0)</f>
        <v>135</v>
      </c>
      <c r="M443">
        <f>Table1[[#This Row],[Aktual]]-Table1[[#This Row],[Jumlah Kompetitor]]</f>
        <v>630</v>
      </c>
      <c r="N443" t="str">
        <f>IF(Table1[[#This Row],[vs Kompetitor]]&gt;0,"Win", "Lose")</f>
        <v>Win</v>
      </c>
    </row>
    <row r="444" spans="1:14" x14ac:dyDescent="0.25">
      <c r="A444">
        <v>443</v>
      </c>
      <c r="B444" t="s">
        <v>5</v>
      </c>
      <c r="C444" t="s">
        <v>119</v>
      </c>
      <c r="D444">
        <v>4</v>
      </c>
      <c r="E444">
        <v>2021</v>
      </c>
      <c r="F444" s="2">
        <f>DATE(Table1[[#This Row],[Tahun]],Table1[[#This Row],[Bulan]],1)</f>
        <v>44287</v>
      </c>
      <c r="G444">
        <v>785</v>
      </c>
      <c r="H444">
        <v>800</v>
      </c>
      <c r="I444" s="6">
        <f>(Table1[[#This Row],[Aktual]]-Table1[[#This Row],[Target]])</f>
        <v>-15</v>
      </c>
      <c r="J444" s="3">
        <f>(Table1[[#This Row],[Aktual]]-Table1[[#This Row],[Target]])/Table1[[#This Row],[Target]]</f>
        <v>-1.8749999999999999E-2</v>
      </c>
      <c r="K444" t="str">
        <f>IF(Table1[[#This Row],[Performance Gap (%)]]&lt;0,"Tidak mencapai target", IF(Table1[[#This Row],[Performance Gap (%)]]=0,"Mencapai target", "Melebihi Target"))</f>
        <v>Tidak mencapai target</v>
      </c>
      <c r="L444">
        <f>VLOOKUP(Table1[[#This Row],[Propinsi]]&amp;"_"&amp;Table1[[#This Row],[Dati 2]]&amp;"_"&amp;Table1[[#This Row],[Tanggal]],Table2[[#All],[Kompetitor area]:[Jumlah Kompetitor]],7,0)</f>
        <v>92</v>
      </c>
      <c r="M444">
        <f>Table1[[#This Row],[Aktual]]-Table1[[#This Row],[Jumlah Kompetitor]]</f>
        <v>693</v>
      </c>
      <c r="N444" t="str">
        <f>IF(Table1[[#This Row],[vs Kompetitor]]&gt;0,"Win", "Lose")</f>
        <v>Win</v>
      </c>
    </row>
    <row r="445" spans="1:14" x14ac:dyDescent="0.25">
      <c r="A445">
        <v>444</v>
      </c>
      <c r="B445" t="s">
        <v>5</v>
      </c>
      <c r="C445" t="s">
        <v>120</v>
      </c>
      <c r="D445">
        <v>4</v>
      </c>
      <c r="E445">
        <v>2021</v>
      </c>
      <c r="F445" s="2">
        <f>DATE(Table1[[#This Row],[Tahun]],Table1[[#This Row],[Bulan]],1)</f>
        <v>44287</v>
      </c>
      <c r="G445">
        <v>768</v>
      </c>
      <c r="H445">
        <v>694</v>
      </c>
      <c r="I445" s="6">
        <f>(Table1[[#This Row],[Aktual]]-Table1[[#This Row],[Target]])</f>
        <v>74</v>
      </c>
      <c r="J445" s="3">
        <f>(Table1[[#This Row],[Aktual]]-Table1[[#This Row],[Target]])/Table1[[#This Row],[Target]]</f>
        <v>0.10662824207492795</v>
      </c>
      <c r="K445" t="str">
        <f>IF(Table1[[#This Row],[Performance Gap (%)]]&lt;0,"Tidak mencapai target", IF(Table1[[#This Row],[Performance Gap (%)]]=0,"Mencapai target", "Melebihi Target"))</f>
        <v>Melebihi Target</v>
      </c>
      <c r="L445">
        <f>VLOOKUP(Table1[[#This Row],[Propinsi]]&amp;"_"&amp;Table1[[#This Row],[Dati 2]]&amp;"_"&amp;Table1[[#This Row],[Tanggal]],Table2[[#All],[Kompetitor area]:[Jumlah Kompetitor]],7,0)</f>
        <v>52</v>
      </c>
      <c r="M445">
        <f>Table1[[#This Row],[Aktual]]-Table1[[#This Row],[Jumlah Kompetitor]]</f>
        <v>716</v>
      </c>
      <c r="N445" t="str">
        <f>IF(Table1[[#This Row],[vs Kompetitor]]&gt;0,"Win", "Lose")</f>
        <v>Win</v>
      </c>
    </row>
    <row r="446" spans="1:14" x14ac:dyDescent="0.25">
      <c r="A446">
        <v>445</v>
      </c>
      <c r="B446" t="s">
        <v>5</v>
      </c>
      <c r="C446" t="s">
        <v>121</v>
      </c>
      <c r="D446">
        <v>4</v>
      </c>
      <c r="E446">
        <v>2021</v>
      </c>
      <c r="F446" s="2">
        <f>DATE(Table1[[#This Row],[Tahun]],Table1[[#This Row],[Bulan]],1)</f>
        <v>44287</v>
      </c>
      <c r="G446">
        <v>868</v>
      </c>
      <c r="H446">
        <v>936</v>
      </c>
      <c r="I446" s="6">
        <f>(Table1[[#This Row],[Aktual]]-Table1[[#This Row],[Target]])</f>
        <v>-68</v>
      </c>
      <c r="J446" s="3">
        <f>(Table1[[#This Row],[Aktual]]-Table1[[#This Row],[Target]])/Table1[[#This Row],[Target]]</f>
        <v>-7.2649572649572655E-2</v>
      </c>
      <c r="K446" t="str">
        <f>IF(Table1[[#This Row],[Performance Gap (%)]]&lt;0,"Tidak mencapai target", IF(Table1[[#This Row],[Performance Gap (%)]]=0,"Mencapai target", "Melebihi Target"))</f>
        <v>Tidak mencapai target</v>
      </c>
      <c r="L446">
        <f>VLOOKUP(Table1[[#This Row],[Propinsi]]&amp;"_"&amp;Table1[[#This Row],[Dati 2]]&amp;"_"&amp;Table1[[#This Row],[Tanggal]],Table2[[#All],[Kompetitor area]:[Jumlah Kompetitor]],7,0)</f>
        <v>846</v>
      </c>
      <c r="M446">
        <f>Table1[[#This Row],[Aktual]]-Table1[[#This Row],[Jumlah Kompetitor]]</f>
        <v>22</v>
      </c>
      <c r="N446" t="str">
        <f>IF(Table1[[#This Row],[vs Kompetitor]]&gt;0,"Win", "Lose")</f>
        <v>Win</v>
      </c>
    </row>
    <row r="447" spans="1:14" x14ac:dyDescent="0.25">
      <c r="A447">
        <v>446</v>
      </c>
      <c r="B447" t="s">
        <v>5</v>
      </c>
      <c r="C447" t="s">
        <v>122</v>
      </c>
      <c r="D447">
        <v>4</v>
      </c>
      <c r="E447">
        <v>2021</v>
      </c>
      <c r="F447" s="2">
        <f>DATE(Table1[[#This Row],[Tahun]],Table1[[#This Row],[Bulan]],1)</f>
        <v>44287</v>
      </c>
      <c r="G447">
        <v>548</v>
      </c>
      <c r="H447">
        <v>513</v>
      </c>
      <c r="I447" s="6">
        <f>(Table1[[#This Row],[Aktual]]-Table1[[#This Row],[Target]])</f>
        <v>35</v>
      </c>
      <c r="J447" s="3">
        <f>(Table1[[#This Row],[Aktual]]-Table1[[#This Row],[Target]])/Table1[[#This Row],[Target]]</f>
        <v>6.8226120857699801E-2</v>
      </c>
      <c r="K447" t="str">
        <f>IF(Table1[[#This Row],[Performance Gap (%)]]&lt;0,"Tidak mencapai target", IF(Table1[[#This Row],[Performance Gap (%)]]=0,"Mencapai target", "Melebihi Target"))</f>
        <v>Melebihi Target</v>
      </c>
      <c r="L447">
        <f>VLOOKUP(Table1[[#This Row],[Propinsi]]&amp;"_"&amp;Table1[[#This Row],[Dati 2]]&amp;"_"&amp;Table1[[#This Row],[Tanggal]],Table2[[#All],[Kompetitor area]:[Jumlah Kompetitor]],7,0)</f>
        <v>481</v>
      </c>
      <c r="M447">
        <f>Table1[[#This Row],[Aktual]]-Table1[[#This Row],[Jumlah Kompetitor]]</f>
        <v>67</v>
      </c>
      <c r="N447" t="str">
        <f>IF(Table1[[#This Row],[vs Kompetitor]]&gt;0,"Win", "Lose")</f>
        <v>Win</v>
      </c>
    </row>
    <row r="448" spans="1:14" x14ac:dyDescent="0.25">
      <c r="A448">
        <v>447</v>
      </c>
      <c r="B448" t="s">
        <v>5</v>
      </c>
      <c r="C448" t="s">
        <v>123</v>
      </c>
      <c r="D448">
        <v>4</v>
      </c>
      <c r="E448">
        <v>2021</v>
      </c>
      <c r="F448" s="2">
        <f>DATE(Table1[[#This Row],[Tahun]],Table1[[#This Row],[Bulan]],1)</f>
        <v>44287</v>
      </c>
      <c r="G448">
        <v>480</v>
      </c>
      <c r="H448">
        <v>502</v>
      </c>
      <c r="I448" s="6">
        <f>(Table1[[#This Row],[Aktual]]-Table1[[#This Row],[Target]])</f>
        <v>-22</v>
      </c>
      <c r="J448" s="3">
        <f>(Table1[[#This Row],[Aktual]]-Table1[[#This Row],[Target]])/Table1[[#This Row],[Target]]</f>
        <v>-4.3824701195219126E-2</v>
      </c>
      <c r="K448" t="str">
        <f>IF(Table1[[#This Row],[Performance Gap (%)]]&lt;0,"Tidak mencapai target", IF(Table1[[#This Row],[Performance Gap (%)]]=0,"Mencapai target", "Melebihi Target"))</f>
        <v>Tidak mencapai target</v>
      </c>
      <c r="L448">
        <f>VLOOKUP(Table1[[#This Row],[Propinsi]]&amp;"_"&amp;Table1[[#This Row],[Dati 2]]&amp;"_"&amp;Table1[[#This Row],[Tanggal]],Table2[[#All],[Kompetitor area]:[Jumlah Kompetitor]],7,0)</f>
        <v>500</v>
      </c>
      <c r="M448">
        <f>Table1[[#This Row],[Aktual]]-Table1[[#This Row],[Jumlah Kompetitor]]</f>
        <v>-20</v>
      </c>
      <c r="N448" t="str">
        <f>IF(Table1[[#This Row],[vs Kompetitor]]&gt;0,"Win", "Lose")</f>
        <v>Lose</v>
      </c>
    </row>
    <row r="449" spans="1:14" x14ac:dyDescent="0.25">
      <c r="A449">
        <v>448</v>
      </c>
      <c r="B449" t="s">
        <v>5</v>
      </c>
      <c r="C449" t="s">
        <v>124</v>
      </c>
      <c r="D449">
        <v>4</v>
      </c>
      <c r="E449">
        <v>2021</v>
      </c>
      <c r="F449" s="2">
        <f>DATE(Table1[[#This Row],[Tahun]],Table1[[#This Row],[Bulan]],1)</f>
        <v>44287</v>
      </c>
      <c r="G449">
        <v>713</v>
      </c>
      <c r="H449">
        <v>581</v>
      </c>
      <c r="I449" s="6">
        <f>(Table1[[#This Row],[Aktual]]-Table1[[#This Row],[Target]])</f>
        <v>132</v>
      </c>
      <c r="J449" s="3">
        <f>(Table1[[#This Row],[Aktual]]-Table1[[#This Row],[Target]])/Table1[[#This Row],[Target]]</f>
        <v>0.22719449225473323</v>
      </c>
      <c r="K449" t="str">
        <f>IF(Table1[[#This Row],[Performance Gap (%)]]&lt;0,"Tidak mencapai target", IF(Table1[[#This Row],[Performance Gap (%)]]=0,"Mencapai target", "Melebihi Target"))</f>
        <v>Melebihi Target</v>
      </c>
      <c r="L449">
        <f>VLOOKUP(Table1[[#This Row],[Propinsi]]&amp;"_"&amp;Table1[[#This Row],[Dati 2]]&amp;"_"&amp;Table1[[#This Row],[Tanggal]],Table2[[#All],[Kompetitor area]:[Jumlah Kompetitor]],7,0)</f>
        <v>580</v>
      </c>
      <c r="M449">
        <f>Table1[[#This Row],[Aktual]]-Table1[[#This Row],[Jumlah Kompetitor]]</f>
        <v>133</v>
      </c>
      <c r="N449" t="str">
        <f>IF(Table1[[#This Row],[vs Kompetitor]]&gt;0,"Win", "Lose")</f>
        <v>Win</v>
      </c>
    </row>
    <row r="450" spans="1:14" x14ac:dyDescent="0.25">
      <c r="A450">
        <v>449</v>
      </c>
      <c r="B450" t="s">
        <v>5</v>
      </c>
      <c r="C450" t="s">
        <v>125</v>
      </c>
      <c r="D450">
        <v>4</v>
      </c>
      <c r="E450">
        <v>2021</v>
      </c>
      <c r="F450" s="2">
        <f>DATE(Table1[[#This Row],[Tahun]],Table1[[#This Row],[Bulan]],1)</f>
        <v>44287</v>
      </c>
      <c r="G450">
        <v>414</v>
      </c>
      <c r="H450">
        <v>430</v>
      </c>
      <c r="I450" s="6">
        <f>(Table1[[#This Row],[Aktual]]-Table1[[#This Row],[Target]])</f>
        <v>-16</v>
      </c>
      <c r="J450" s="3">
        <f>(Table1[[#This Row],[Aktual]]-Table1[[#This Row],[Target]])/Table1[[#This Row],[Target]]</f>
        <v>-3.7209302325581395E-2</v>
      </c>
      <c r="K450" t="str">
        <f>IF(Table1[[#This Row],[Performance Gap (%)]]&lt;0,"Tidak mencapai target", IF(Table1[[#This Row],[Performance Gap (%)]]=0,"Mencapai target", "Melebihi Target"))</f>
        <v>Tidak mencapai target</v>
      </c>
      <c r="L450">
        <f>VLOOKUP(Table1[[#This Row],[Propinsi]]&amp;"_"&amp;Table1[[#This Row],[Dati 2]]&amp;"_"&amp;Table1[[#This Row],[Tanggal]],Table2[[#All],[Kompetitor area]:[Jumlah Kompetitor]],7,0)</f>
        <v>402</v>
      </c>
      <c r="M450">
        <f>Table1[[#This Row],[Aktual]]-Table1[[#This Row],[Jumlah Kompetitor]]</f>
        <v>12</v>
      </c>
      <c r="N450" t="str">
        <f>IF(Table1[[#This Row],[vs Kompetitor]]&gt;0,"Win", "Lose")</f>
        <v>Win</v>
      </c>
    </row>
    <row r="451" spans="1:14" x14ac:dyDescent="0.25">
      <c r="A451">
        <v>450</v>
      </c>
      <c r="B451" t="s">
        <v>7</v>
      </c>
      <c r="C451" t="s">
        <v>126</v>
      </c>
      <c r="D451">
        <v>4</v>
      </c>
      <c r="E451">
        <v>2021</v>
      </c>
      <c r="F451" s="2">
        <f>DATE(Table1[[#This Row],[Tahun]],Table1[[#This Row],[Bulan]],1)</f>
        <v>44287</v>
      </c>
      <c r="G451">
        <v>893</v>
      </c>
      <c r="H451">
        <v>957</v>
      </c>
      <c r="I451" s="6">
        <f>(Table1[[#This Row],[Aktual]]-Table1[[#This Row],[Target]])</f>
        <v>-64</v>
      </c>
      <c r="J451" s="3">
        <f>(Table1[[#This Row],[Aktual]]-Table1[[#This Row],[Target]])/Table1[[#This Row],[Target]]</f>
        <v>-6.6875653082549641E-2</v>
      </c>
      <c r="K451" t="str">
        <f>IF(Table1[[#This Row],[Performance Gap (%)]]&lt;0,"Tidak mencapai target", IF(Table1[[#This Row],[Performance Gap (%)]]=0,"Mencapai target", "Melebihi Target"))</f>
        <v>Tidak mencapai target</v>
      </c>
      <c r="L451">
        <f>VLOOKUP(Table1[[#This Row],[Propinsi]]&amp;"_"&amp;Table1[[#This Row],[Dati 2]]&amp;"_"&amp;Table1[[#This Row],[Tanggal]],Table2[[#All],[Kompetitor area]:[Jumlah Kompetitor]],7,0)</f>
        <v>945</v>
      </c>
      <c r="M451">
        <f>Table1[[#This Row],[Aktual]]-Table1[[#This Row],[Jumlah Kompetitor]]</f>
        <v>-52</v>
      </c>
      <c r="N451" t="str">
        <f>IF(Table1[[#This Row],[vs Kompetitor]]&gt;0,"Win", "Lose")</f>
        <v>Lose</v>
      </c>
    </row>
    <row r="452" spans="1:14" x14ac:dyDescent="0.25">
      <c r="A452">
        <v>451</v>
      </c>
      <c r="B452" t="s">
        <v>7</v>
      </c>
      <c r="C452" t="s">
        <v>127</v>
      </c>
      <c r="D452">
        <v>4</v>
      </c>
      <c r="E452">
        <v>2021</v>
      </c>
      <c r="F452" s="2">
        <f>DATE(Table1[[#This Row],[Tahun]],Table1[[#This Row],[Bulan]],1)</f>
        <v>44287</v>
      </c>
      <c r="G452">
        <v>743</v>
      </c>
      <c r="H452">
        <v>630</v>
      </c>
      <c r="I452" s="6">
        <f>(Table1[[#This Row],[Aktual]]-Table1[[#This Row],[Target]])</f>
        <v>113</v>
      </c>
      <c r="J452" s="3">
        <f>(Table1[[#This Row],[Aktual]]-Table1[[#This Row],[Target]])/Table1[[#This Row],[Target]]</f>
        <v>0.17936507936507937</v>
      </c>
      <c r="K452" t="str">
        <f>IF(Table1[[#This Row],[Performance Gap (%)]]&lt;0,"Tidak mencapai target", IF(Table1[[#This Row],[Performance Gap (%)]]=0,"Mencapai target", "Melebihi Target"))</f>
        <v>Melebihi Target</v>
      </c>
      <c r="L452">
        <f>VLOOKUP(Table1[[#This Row],[Propinsi]]&amp;"_"&amp;Table1[[#This Row],[Dati 2]]&amp;"_"&amp;Table1[[#This Row],[Tanggal]],Table2[[#All],[Kompetitor area]:[Jumlah Kompetitor]],7,0)</f>
        <v>606</v>
      </c>
      <c r="M452">
        <f>Table1[[#This Row],[Aktual]]-Table1[[#This Row],[Jumlah Kompetitor]]</f>
        <v>137</v>
      </c>
      <c r="N452" t="str">
        <f>IF(Table1[[#This Row],[vs Kompetitor]]&gt;0,"Win", "Lose")</f>
        <v>Win</v>
      </c>
    </row>
    <row r="453" spans="1:14" x14ac:dyDescent="0.25">
      <c r="A453">
        <v>452</v>
      </c>
      <c r="B453" t="s">
        <v>7</v>
      </c>
      <c r="C453" t="s">
        <v>128</v>
      </c>
      <c r="D453">
        <v>4</v>
      </c>
      <c r="E453">
        <v>2021</v>
      </c>
      <c r="F453" s="2">
        <f>DATE(Table1[[#This Row],[Tahun]],Table1[[#This Row],[Bulan]],1)</f>
        <v>44287</v>
      </c>
      <c r="G453">
        <v>461</v>
      </c>
      <c r="H453">
        <v>439</v>
      </c>
      <c r="I453" s="6">
        <f>(Table1[[#This Row],[Aktual]]-Table1[[#This Row],[Target]])</f>
        <v>22</v>
      </c>
      <c r="J453" s="3">
        <f>(Table1[[#This Row],[Aktual]]-Table1[[#This Row],[Target]])/Table1[[#This Row],[Target]]</f>
        <v>5.011389521640091E-2</v>
      </c>
      <c r="K453" t="str">
        <f>IF(Table1[[#This Row],[Performance Gap (%)]]&lt;0,"Tidak mencapai target", IF(Table1[[#This Row],[Performance Gap (%)]]=0,"Mencapai target", "Melebihi Target"))</f>
        <v>Melebihi Target</v>
      </c>
      <c r="L453">
        <f>VLOOKUP(Table1[[#This Row],[Propinsi]]&amp;"_"&amp;Table1[[#This Row],[Dati 2]]&amp;"_"&amp;Table1[[#This Row],[Tanggal]],Table2[[#All],[Kompetitor area]:[Jumlah Kompetitor]],7,0)</f>
        <v>432</v>
      </c>
      <c r="M453">
        <f>Table1[[#This Row],[Aktual]]-Table1[[#This Row],[Jumlah Kompetitor]]</f>
        <v>29</v>
      </c>
      <c r="N453" t="str">
        <f>IF(Table1[[#This Row],[vs Kompetitor]]&gt;0,"Win", "Lose")</f>
        <v>Win</v>
      </c>
    </row>
    <row r="454" spans="1:14" x14ac:dyDescent="0.25">
      <c r="A454">
        <v>453</v>
      </c>
      <c r="B454" t="s">
        <v>7</v>
      </c>
      <c r="C454" t="s">
        <v>129</v>
      </c>
      <c r="D454">
        <v>4</v>
      </c>
      <c r="E454">
        <v>2021</v>
      </c>
      <c r="F454" s="2">
        <f>DATE(Table1[[#This Row],[Tahun]],Table1[[#This Row],[Bulan]],1)</f>
        <v>44287</v>
      </c>
      <c r="G454">
        <v>245</v>
      </c>
      <c r="H454">
        <v>249</v>
      </c>
      <c r="I454" s="6">
        <f>(Table1[[#This Row],[Aktual]]-Table1[[#This Row],[Target]])</f>
        <v>-4</v>
      </c>
      <c r="J454" s="3">
        <f>(Table1[[#This Row],[Aktual]]-Table1[[#This Row],[Target]])/Table1[[#This Row],[Target]]</f>
        <v>-1.6064257028112448E-2</v>
      </c>
      <c r="K454" t="str">
        <f>IF(Table1[[#This Row],[Performance Gap (%)]]&lt;0,"Tidak mencapai target", IF(Table1[[#This Row],[Performance Gap (%)]]=0,"Mencapai target", "Melebihi Target"))</f>
        <v>Tidak mencapai target</v>
      </c>
      <c r="L454">
        <f>VLOOKUP(Table1[[#This Row],[Propinsi]]&amp;"_"&amp;Table1[[#This Row],[Dati 2]]&amp;"_"&amp;Table1[[#This Row],[Tanggal]],Table2[[#All],[Kompetitor area]:[Jumlah Kompetitor]],7,0)</f>
        <v>234</v>
      </c>
      <c r="M454">
        <f>Table1[[#This Row],[Aktual]]-Table1[[#This Row],[Jumlah Kompetitor]]</f>
        <v>11</v>
      </c>
      <c r="N454" t="str">
        <f>IF(Table1[[#This Row],[vs Kompetitor]]&gt;0,"Win", "Lose")</f>
        <v>Win</v>
      </c>
    </row>
    <row r="455" spans="1:14" x14ac:dyDescent="0.25">
      <c r="A455">
        <v>454</v>
      </c>
      <c r="B455" t="s">
        <v>7</v>
      </c>
      <c r="C455" t="s">
        <v>130</v>
      </c>
      <c r="D455">
        <v>4</v>
      </c>
      <c r="E455">
        <v>2021</v>
      </c>
      <c r="F455" s="2">
        <f>DATE(Table1[[#This Row],[Tahun]],Table1[[#This Row],[Bulan]],1)</f>
        <v>44287</v>
      </c>
      <c r="G455">
        <v>167</v>
      </c>
      <c r="H455">
        <v>155</v>
      </c>
      <c r="I455" s="6">
        <f>(Table1[[#This Row],[Aktual]]-Table1[[#This Row],[Target]])</f>
        <v>12</v>
      </c>
      <c r="J455" s="3">
        <f>(Table1[[#This Row],[Aktual]]-Table1[[#This Row],[Target]])/Table1[[#This Row],[Target]]</f>
        <v>7.7419354838709681E-2</v>
      </c>
      <c r="K455" t="str">
        <f>IF(Table1[[#This Row],[Performance Gap (%)]]&lt;0,"Tidak mencapai target", IF(Table1[[#This Row],[Performance Gap (%)]]=0,"Mencapai target", "Melebihi Target"))</f>
        <v>Melebihi Target</v>
      </c>
      <c r="L455">
        <f>VLOOKUP(Table1[[#This Row],[Propinsi]]&amp;"_"&amp;Table1[[#This Row],[Dati 2]]&amp;"_"&amp;Table1[[#This Row],[Tanggal]],Table2[[#All],[Kompetitor area]:[Jumlah Kompetitor]],7,0)</f>
        <v>148</v>
      </c>
      <c r="M455">
        <f>Table1[[#This Row],[Aktual]]-Table1[[#This Row],[Jumlah Kompetitor]]</f>
        <v>19</v>
      </c>
      <c r="N455" t="str">
        <f>IF(Table1[[#This Row],[vs Kompetitor]]&gt;0,"Win", "Lose")</f>
        <v>Win</v>
      </c>
    </row>
    <row r="456" spans="1:14" x14ac:dyDescent="0.25">
      <c r="A456">
        <v>455</v>
      </c>
      <c r="B456" t="s">
        <v>7</v>
      </c>
      <c r="C456" t="s">
        <v>131</v>
      </c>
      <c r="D456">
        <v>4</v>
      </c>
      <c r="E456">
        <v>2021</v>
      </c>
      <c r="F456" s="2">
        <f>DATE(Table1[[#This Row],[Tahun]],Table1[[#This Row],[Bulan]],1)</f>
        <v>44287</v>
      </c>
      <c r="G456">
        <v>158</v>
      </c>
      <c r="H456">
        <v>147</v>
      </c>
      <c r="I456" s="6">
        <f>(Table1[[#This Row],[Aktual]]-Table1[[#This Row],[Target]])</f>
        <v>11</v>
      </c>
      <c r="J456" s="3">
        <f>(Table1[[#This Row],[Aktual]]-Table1[[#This Row],[Target]])/Table1[[#This Row],[Target]]</f>
        <v>7.4829931972789115E-2</v>
      </c>
      <c r="K456" t="str">
        <f>IF(Table1[[#This Row],[Performance Gap (%)]]&lt;0,"Tidak mencapai target", IF(Table1[[#This Row],[Performance Gap (%)]]=0,"Mencapai target", "Melebihi Target"))</f>
        <v>Melebihi Target</v>
      </c>
      <c r="L456">
        <f>VLOOKUP(Table1[[#This Row],[Propinsi]]&amp;"_"&amp;Table1[[#This Row],[Dati 2]]&amp;"_"&amp;Table1[[#This Row],[Tanggal]],Table2[[#All],[Kompetitor area]:[Jumlah Kompetitor]],7,0)</f>
        <v>142</v>
      </c>
      <c r="M456">
        <f>Table1[[#This Row],[Aktual]]-Table1[[#This Row],[Jumlah Kompetitor]]</f>
        <v>16</v>
      </c>
      <c r="N456" t="str">
        <f>IF(Table1[[#This Row],[vs Kompetitor]]&gt;0,"Win", "Lose")</f>
        <v>Win</v>
      </c>
    </row>
    <row r="457" spans="1:14" x14ac:dyDescent="0.25">
      <c r="A457">
        <v>456</v>
      </c>
      <c r="B457" t="s">
        <v>7</v>
      </c>
      <c r="C457" t="s">
        <v>132</v>
      </c>
      <c r="D457">
        <v>4</v>
      </c>
      <c r="E457">
        <v>2021</v>
      </c>
      <c r="F457" s="2">
        <f>DATE(Table1[[#This Row],[Tahun]],Table1[[#This Row],[Bulan]],1)</f>
        <v>44287</v>
      </c>
      <c r="G457">
        <v>198</v>
      </c>
      <c r="H457">
        <v>189</v>
      </c>
      <c r="I457" s="6">
        <f>(Table1[[#This Row],[Aktual]]-Table1[[#This Row],[Target]])</f>
        <v>9</v>
      </c>
      <c r="J457" s="3">
        <f>(Table1[[#This Row],[Aktual]]-Table1[[#This Row],[Target]])/Table1[[#This Row],[Target]]</f>
        <v>4.7619047619047616E-2</v>
      </c>
      <c r="K457" t="str">
        <f>IF(Table1[[#This Row],[Performance Gap (%)]]&lt;0,"Tidak mencapai target", IF(Table1[[#This Row],[Performance Gap (%)]]=0,"Mencapai target", "Melebihi Target"))</f>
        <v>Melebihi Target</v>
      </c>
      <c r="L457">
        <f>VLOOKUP(Table1[[#This Row],[Propinsi]]&amp;"_"&amp;Table1[[#This Row],[Dati 2]]&amp;"_"&amp;Table1[[#This Row],[Tanggal]],Table2[[#All],[Kompetitor area]:[Jumlah Kompetitor]],7,0)</f>
        <v>204</v>
      </c>
      <c r="M457">
        <f>Table1[[#This Row],[Aktual]]-Table1[[#This Row],[Jumlah Kompetitor]]</f>
        <v>-6</v>
      </c>
      <c r="N457" t="str">
        <f>IF(Table1[[#This Row],[vs Kompetitor]]&gt;0,"Win", "Lose")</f>
        <v>Lose</v>
      </c>
    </row>
    <row r="458" spans="1:14" x14ac:dyDescent="0.25">
      <c r="A458">
        <v>457</v>
      </c>
      <c r="B458" t="s">
        <v>7</v>
      </c>
      <c r="C458" t="s">
        <v>133</v>
      </c>
      <c r="D458">
        <v>4</v>
      </c>
      <c r="E458">
        <v>2021</v>
      </c>
      <c r="F458" s="2">
        <f>DATE(Table1[[#This Row],[Tahun]],Table1[[#This Row],[Bulan]],1)</f>
        <v>44287</v>
      </c>
      <c r="G458">
        <v>209</v>
      </c>
      <c r="H458">
        <v>198</v>
      </c>
      <c r="I458" s="6">
        <f>(Table1[[#This Row],[Aktual]]-Table1[[#This Row],[Target]])</f>
        <v>11</v>
      </c>
      <c r="J458" s="3">
        <f>(Table1[[#This Row],[Aktual]]-Table1[[#This Row],[Target]])/Table1[[#This Row],[Target]]</f>
        <v>5.5555555555555552E-2</v>
      </c>
      <c r="K458" t="str">
        <f>IF(Table1[[#This Row],[Performance Gap (%)]]&lt;0,"Tidak mencapai target", IF(Table1[[#This Row],[Performance Gap (%)]]=0,"Mencapai target", "Melebihi Target"))</f>
        <v>Melebihi Target</v>
      </c>
      <c r="L458">
        <f>VLOOKUP(Table1[[#This Row],[Propinsi]]&amp;"_"&amp;Table1[[#This Row],[Dati 2]]&amp;"_"&amp;Table1[[#This Row],[Tanggal]],Table2[[#All],[Kompetitor area]:[Jumlah Kompetitor]],7,0)</f>
        <v>188</v>
      </c>
      <c r="M458">
        <f>Table1[[#This Row],[Aktual]]-Table1[[#This Row],[Jumlah Kompetitor]]</f>
        <v>21</v>
      </c>
      <c r="N458" t="str">
        <f>IF(Table1[[#This Row],[vs Kompetitor]]&gt;0,"Win", "Lose")</f>
        <v>Win</v>
      </c>
    </row>
    <row r="459" spans="1:14" x14ac:dyDescent="0.25">
      <c r="A459">
        <v>458</v>
      </c>
      <c r="B459" t="s">
        <v>7</v>
      </c>
      <c r="C459" t="s">
        <v>134</v>
      </c>
      <c r="D459">
        <v>4</v>
      </c>
      <c r="E459">
        <v>2021</v>
      </c>
      <c r="F459" s="2">
        <f>DATE(Table1[[#This Row],[Tahun]],Table1[[#This Row],[Bulan]],1)</f>
        <v>44287</v>
      </c>
      <c r="G459">
        <v>100</v>
      </c>
      <c r="H459">
        <v>105</v>
      </c>
      <c r="I459" s="6">
        <f>(Table1[[#This Row],[Aktual]]-Table1[[#This Row],[Target]])</f>
        <v>-5</v>
      </c>
      <c r="J459" s="3">
        <f>(Table1[[#This Row],[Aktual]]-Table1[[#This Row],[Target]])/Table1[[#This Row],[Target]]</f>
        <v>-4.7619047619047616E-2</v>
      </c>
      <c r="K459" t="str">
        <f>IF(Table1[[#This Row],[Performance Gap (%)]]&lt;0,"Tidak mencapai target", IF(Table1[[#This Row],[Performance Gap (%)]]=0,"Mencapai target", "Melebihi Target"))</f>
        <v>Tidak mencapai target</v>
      </c>
      <c r="L459">
        <f>VLOOKUP(Table1[[#This Row],[Propinsi]]&amp;"_"&amp;Table1[[#This Row],[Dati 2]]&amp;"_"&amp;Table1[[#This Row],[Tanggal]],Table2[[#All],[Kompetitor area]:[Jumlah Kompetitor]],7,0)</f>
        <v>97</v>
      </c>
      <c r="M459">
        <f>Table1[[#This Row],[Aktual]]-Table1[[#This Row],[Jumlah Kompetitor]]</f>
        <v>3</v>
      </c>
      <c r="N459" t="str">
        <f>IF(Table1[[#This Row],[vs Kompetitor]]&gt;0,"Win", "Lose")</f>
        <v>Win</v>
      </c>
    </row>
    <row r="460" spans="1:14" x14ac:dyDescent="0.25">
      <c r="A460">
        <v>459</v>
      </c>
      <c r="B460" t="s">
        <v>7</v>
      </c>
      <c r="C460" t="s">
        <v>135</v>
      </c>
      <c r="D460">
        <v>4</v>
      </c>
      <c r="E460">
        <v>2021</v>
      </c>
      <c r="F460" s="2">
        <f>DATE(Table1[[#This Row],[Tahun]],Table1[[#This Row],[Bulan]],1)</f>
        <v>44287</v>
      </c>
      <c r="G460">
        <v>305</v>
      </c>
      <c r="H460">
        <v>295</v>
      </c>
      <c r="I460" s="6">
        <f>(Table1[[#This Row],[Aktual]]-Table1[[#This Row],[Target]])</f>
        <v>10</v>
      </c>
      <c r="J460" s="3">
        <f>(Table1[[#This Row],[Aktual]]-Table1[[#This Row],[Target]])/Table1[[#This Row],[Target]]</f>
        <v>3.3898305084745763E-2</v>
      </c>
      <c r="K460" t="str">
        <f>IF(Table1[[#This Row],[Performance Gap (%)]]&lt;0,"Tidak mencapai target", IF(Table1[[#This Row],[Performance Gap (%)]]=0,"Mencapai target", "Melebihi Target"))</f>
        <v>Melebihi Target</v>
      </c>
      <c r="L460">
        <f>VLOOKUP(Table1[[#This Row],[Propinsi]]&amp;"_"&amp;Table1[[#This Row],[Dati 2]]&amp;"_"&amp;Table1[[#This Row],[Tanggal]],Table2[[#All],[Kompetitor area]:[Jumlah Kompetitor]],7,0)</f>
        <v>282</v>
      </c>
      <c r="M460">
        <f>Table1[[#This Row],[Aktual]]-Table1[[#This Row],[Jumlah Kompetitor]]</f>
        <v>23</v>
      </c>
      <c r="N460" t="str">
        <f>IF(Table1[[#This Row],[vs Kompetitor]]&gt;0,"Win", "Lose")</f>
        <v>Win</v>
      </c>
    </row>
    <row r="461" spans="1:14" x14ac:dyDescent="0.25">
      <c r="A461">
        <v>460</v>
      </c>
      <c r="B461" t="s">
        <v>7</v>
      </c>
      <c r="C461" t="s">
        <v>136</v>
      </c>
      <c r="D461">
        <v>4</v>
      </c>
      <c r="E461">
        <v>2021</v>
      </c>
      <c r="F461" s="2">
        <f>DATE(Table1[[#This Row],[Tahun]],Table1[[#This Row],[Bulan]],1)</f>
        <v>44287</v>
      </c>
      <c r="G461">
        <v>147</v>
      </c>
      <c r="H461">
        <v>129</v>
      </c>
      <c r="I461" s="6">
        <f>(Table1[[#This Row],[Aktual]]-Table1[[#This Row],[Target]])</f>
        <v>18</v>
      </c>
      <c r="J461" s="3">
        <f>(Table1[[#This Row],[Aktual]]-Table1[[#This Row],[Target]])/Table1[[#This Row],[Target]]</f>
        <v>0.13953488372093023</v>
      </c>
      <c r="K461" t="str">
        <f>IF(Table1[[#This Row],[Performance Gap (%)]]&lt;0,"Tidak mencapai target", IF(Table1[[#This Row],[Performance Gap (%)]]=0,"Mencapai target", "Melebihi Target"))</f>
        <v>Melebihi Target</v>
      </c>
      <c r="L461">
        <f>VLOOKUP(Table1[[#This Row],[Propinsi]]&amp;"_"&amp;Table1[[#This Row],[Dati 2]]&amp;"_"&amp;Table1[[#This Row],[Tanggal]],Table2[[#All],[Kompetitor area]:[Jumlah Kompetitor]],7,0)</f>
        <v>136</v>
      </c>
      <c r="M461">
        <f>Table1[[#This Row],[Aktual]]-Table1[[#This Row],[Jumlah Kompetitor]]</f>
        <v>11</v>
      </c>
      <c r="N461" t="str">
        <f>IF(Table1[[#This Row],[vs Kompetitor]]&gt;0,"Win", "Lose")</f>
        <v>Win</v>
      </c>
    </row>
    <row r="462" spans="1:14" x14ac:dyDescent="0.25">
      <c r="A462">
        <v>461</v>
      </c>
      <c r="B462" t="s">
        <v>7</v>
      </c>
      <c r="C462" t="s">
        <v>137</v>
      </c>
      <c r="D462">
        <v>4</v>
      </c>
      <c r="E462">
        <v>2021</v>
      </c>
      <c r="F462" s="2">
        <f>DATE(Table1[[#This Row],[Tahun]],Table1[[#This Row],[Bulan]],1)</f>
        <v>44287</v>
      </c>
      <c r="G462">
        <v>95</v>
      </c>
      <c r="H462">
        <v>80</v>
      </c>
      <c r="I462" s="6">
        <f>(Table1[[#This Row],[Aktual]]-Table1[[#This Row],[Target]])</f>
        <v>15</v>
      </c>
      <c r="J462" s="3">
        <f>(Table1[[#This Row],[Aktual]]-Table1[[#This Row],[Target]])/Table1[[#This Row],[Target]]</f>
        <v>0.1875</v>
      </c>
      <c r="K462" t="str">
        <f>IF(Table1[[#This Row],[Performance Gap (%)]]&lt;0,"Tidak mencapai target", IF(Table1[[#This Row],[Performance Gap (%)]]=0,"Mencapai target", "Melebihi Target"))</f>
        <v>Melebihi Target</v>
      </c>
      <c r="L462">
        <f>VLOOKUP(Table1[[#This Row],[Propinsi]]&amp;"_"&amp;Table1[[#This Row],[Dati 2]]&amp;"_"&amp;Table1[[#This Row],[Tanggal]],Table2[[#All],[Kompetitor area]:[Jumlah Kompetitor]],7,0)</f>
        <v>81</v>
      </c>
      <c r="M462">
        <f>Table1[[#This Row],[Aktual]]-Table1[[#This Row],[Jumlah Kompetitor]]</f>
        <v>14</v>
      </c>
      <c r="N462" t="str">
        <f>IF(Table1[[#This Row],[vs Kompetitor]]&gt;0,"Win", "Lose")</f>
        <v>Win</v>
      </c>
    </row>
    <row r="463" spans="1:14" x14ac:dyDescent="0.25">
      <c r="A463">
        <v>462</v>
      </c>
      <c r="B463" t="s">
        <v>7</v>
      </c>
      <c r="C463" t="s">
        <v>138</v>
      </c>
      <c r="D463">
        <v>4</v>
      </c>
      <c r="E463">
        <v>2021</v>
      </c>
      <c r="F463" s="2">
        <f>DATE(Table1[[#This Row],[Tahun]],Table1[[#This Row],[Bulan]],1)</f>
        <v>44287</v>
      </c>
      <c r="G463">
        <v>201</v>
      </c>
      <c r="H463">
        <v>162</v>
      </c>
      <c r="I463" s="6">
        <f>(Table1[[#This Row],[Aktual]]-Table1[[#This Row],[Target]])</f>
        <v>39</v>
      </c>
      <c r="J463" s="3">
        <f>(Table1[[#This Row],[Aktual]]-Table1[[#This Row],[Target]])/Table1[[#This Row],[Target]]</f>
        <v>0.24074074074074073</v>
      </c>
      <c r="K463" t="str">
        <f>IF(Table1[[#This Row],[Performance Gap (%)]]&lt;0,"Tidak mencapai target", IF(Table1[[#This Row],[Performance Gap (%)]]=0,"Mencapai target", "Melebihi Target"))</f>
        <v>Melebihi Target</v>
      </c>
      <c r="L463">
        <f>VLOOKUP(Table1[[#This Row],[Propinsi]]&amp;"_"&amp;Table1[[#This Row],[Dati 2]]&amp;"_"&amp;Table1[[#This Row],[Tanggal]],Table2[[#All],[Kompetitor area]:[Jumlah Kompetitor]],7,0)</f>
        <v>171</v>
      </c>
      <c r="M463">
        <f>Table1[[#This Row],[Aktual]]-Table1[[#This Row],[Jumlah Kompetitor]]</f>
        <v>30</v>
      </c>
      <c r="N463" t="str">
        <f>IF(Table1[[#This Row],[vs Kompetitor]]&gt;0,"Win", "Lose")</f>
        <v>Win</v>
      </c>
    </row>
    <row r="464" spans="1:14" x14ac:dyDescent="0.25">
      <c r="A464">
        <v>463</v>
      </c>
      <c r="B464" t="s">
        <v>7</v>
      </c>
      <c r="C464" t="s">
        <v>139</v>
      </c>
      <c r="D464">
        <v>4</v>
      </c>
      <c r="E464">
        <v>2021</v>
      </c>
      <c r="F464" s="2">
        <f>DATE(Table1[[#This Row],[Tahun]],Table1[[#This Row],[Bulan]],1)</f>
        <v>44287</v>
      </c>
      <c r="G464">
        <v>218</v>
      </c>
      <c r="H464">
        <v>235</v>
      </c>
      <c r="I464" s="6">
        <f>(Table1[[#This Row],[Aktual]]-Table1[[#This Row],[Target]])</f>
        <v>-17</v>
      </c>
      <c r="J464" s="3">
        <f>(Table1[[#This Row],[Aktual]]-Table1[[#This Row],[Target]])/Table1[[#This Row],[Target]]</f>
        <v>-7.2340425531914887E-2</v>
      </c>
      <c r="K464" t="str">
        <f>IF(Table1[[#This Row],[Performance Gap (%)]]&lt;0,"Tidak mencapai target", IF(Table1[[#This Row],[Performance Gap (%)]]=0,"Mencapai target", "Melebihi Target"))</f>
        <v>Tidak mencapai target</v>
      </c>
      <c r="L464">
        <f>VLOOKUP(Table1[[#This Row],[Propinsi]]&amp;"_"&amp;Table1[[#This Row],[Dati 2]]&amp;"_"&amp;Table1[[#This Row],[Tanggal]],Table2[[#All],[Kompetitor area]:[Jumlah Kompetitor]],7,0)</f>
        <v>222</v>
      </c>
      <c r="M464">
        <f>Table1[[#This Row],[Aktual]]-Table1[[#This Row],[Jumlah Kompetitor]]</f>
        <v>-4</v>
      </c>
      <c r="N464" t="str">
        <f>IF(Table1[[#This Row],[vs Kompetitor]]&gt;0,"Win", "Lose")</f>
        <v>Lose</v>
      </c>
    </row>
    <row r="465" spans="1:14" x14ac:dyDescent="0.25">
      <c r="A465">
        <v>464</v>
      </c>
      <c r="B465" t="s">
        <v>7</v>
      </c>
      <c r="C465" t="s">
        <v>140</v>
      </c>
      <c r="D465">
        <v>4</v>
      </c>
      <c r="E465">
        <v>2021</v>
      </c>
      <c r="F465" s="2">
        <f>DATE(Table1[[#This Row],[Tahun]],Table1[[#This Row],[Bulan]],1)</f>
        <v>44287</v>
      </c>
      <c r="G465">
        <v>209</v>
      </c>
      <c r="H465">
        <v>177</v>
      </c>
      <c r="I465" s="6">
        <f>(Table1[[#This Row],[Aktual]]-Table1[[#This Row],[Target]])</f>
        <v>32</v>
      </c>
      <c r="J465" s="3">
        <f>(Table1[[#This Row],[Aktual]]-Table1[[#This Row],[Target]])/Table1[[#This Row],[Target]]</f>
        <v>0.1807909604519774</v>
      </c>
      <c r="K465" t="str">
        <f>IF(Table1[[#This Row],[Performance Gap (%)]]&lt;0,"Tidak mencapai target", IF(Table1[[#This Row],[Performance Gap (%)]]=0,"Mencapai target", "Melebihi Target"))</f>
        <v>Melebihi Target</v>
      </c>
      <c r="L465">
        <f>VLOOKUP(Table1[[#This Row],[Propinsi]]&amp;"_"&amp;Table1[[#This Row],[Dati 2]]&amp;"_"&amp;Table1[[#This Row],[Tanggal]],Table2[[#All],[Kompetitor area]:[Jumlah Kompetitor]],7,0)</f>
        <v>181</v>
      </c>
      <c r="M465">
        <f>Table1[[#This Row],[Aktual]]-Table1[[#This Row],[Jumlah Kompetitor]]</f>
        <v>28</v>
      </c>
      <c r="N465" t="str">
        <f>IF(Table1[[#This Row],[vs Kompetitor]]&gt;0,"Win", "Lose")</f>
        <v>Win</v>
      </c>
    </row>
    <row r="466" spans="1:14" x14ac:dyDescent="0.25">
      <c r="A466">
        <v>465</v>
      </c>
      <c r="B466" t="s">
        <v>7</v>
      </c>
      <c r="C466" t="s">
        <v>141</v>
      </c>
      <c r="D466">
        <v>4</v>
      </c>
      <c r="E466">
        <v>2021</v>
      </c>
      <c r="F466" s="2">
        <f>DATE(Table1[[#This Row],[Tahun]],Table1[[#This Row],[Bulan]],1)</f>
        <v>44287</v>
      </c>
      <c r="G466">
        <v>141</v>
      </c>
      <c r="H466">
        <v>125</v>
      </c>
      <c r="I466" s="6">
        <f>(Table1[[#This Row],[Aktual]]-Table1[[#This Row],[Target]])</f>
        <v>16</v>
      </c>
      <c r="J466" s="3">
        <f>(Table1[[#This Row],[Aktual]]-Table1[[#This Row],[Target]])/Table1[[#This Row],[Target]]</f>
        <v>0.128</v>
      </c>
      <c r="K466" t="str">
        <f>IF(Table1[[#This Row],[Performance Gap (%)]]&lt;0,"Tidak mencapai target", IF(Table1[[#This Row],[Performance Gap (%)]]=0,"Mencapai target", "Melebihi Target"))</f>
        <v>Melebihi Target</v>
      </c>
      <c r="L466">
        <f>VLOOKUP(Table1[[#This Row],[Propinsi]]&amp;"_"&amp;Table1[[#This Row],[Dati 2]]&amp;"_"&amp;Table1[[#This Row],[Tanggal]],Table2[[#All],[Kompetitor area]:[Jumlah Kompetitor]],7,0)</f>
        <v>132</v>
      </c>
      <c r="M466">
        <f>Table1[[#This Row],[Aktual]]-Table1[[#This Row],[Jumlah Kompetitor]]</f>
        <v>9</v>
      </c>
      <c r="N466" t="str">
        <f>IF(Table1[[#This Row],[vs Kompetitor]]&gt;0,"Win", "Lose")</f>
        <v>Win</v>
      </c>
    </row>
    <row r="467" spans="1:14" x14ac:dyDescent="0.25">
      <c r="A467">
        <v>466</v>
      </c>
      <c r="B467" t="s">
        <v>7</v>
      </c>
      <c r="C467" t="s">
        <v>142</v>
      </c>
      <c r="D467">
        <v>4</v>
      </c>
      <c r="E467">
        <v>2021</v>
      </c>
      <c r="F467" s="2">
        <f>DATE(Table1[[#This Row],[Tahun]],Table1[[#This Row],[Bulan]],1)</f>
        <v>44287</v>
      </c>
      <c r="G467">
        <v>156</v>
      </c>
      <c r="H467">
        <v>153</v>
      </c>
      <c r="I467" s="6">
        <f>(Table1[[#This Row],[Aktual]]-Table1[[#This Row],[Target]])</f>
        <v>3</v>
      </c>
      <c r="J467" s="3">
        <f>(Table1[[#This Row],[Aktual]]-Table1[[#This Row],[Target]])/Table1[[#This Row],[Target]]</f>
        <v>1.9607843137254902E-2</v>
      </c>
      <c r="K467" t="str">
        <f>IF(Table1[[#This Row],[Performance Gap (%)]]&lt;0,"Tidak mencapai target", IF(Table1[[#This Row],[Performance Gap (%)]]=0,"Mencapai target", "Melebihi Target"))</f>
        <v>Melebihi Target</v>
      </c>
      <c r="L467">
        <f>VLOOKUP(Table1[[#This Row],[Propinsi]]&amp;"_"&amp;Table1[[#This Row],[Dati 2]]&amp;"_"&amp;Table1[[#This Row],[Tanggal]],Table2[[#All],[Kompetitor area]:[Jumlah Kompetitor]],7,0)</f>
        <v>140</v>
      </c>
      <c r="M467">
        <f>Table1[[#This Row],[Aktual]]-Table1[[#This Row],[Jumlah Kompetitor]]</f>
        <v>16</v>
      </c>
      <c r="N467" t="str">
        <f>IF(Table1[[#This Row],[vs Kompetitor]]&gt;0,"Win", "Lose")</f>
        <v>Win</v>
      </c>
    </row>
    <row r="468" spans="1:14" x14ac:dyDescent="0.25">
      <c r="A468">
        <v>467</v>
      </c>
      <c r="B468" t="s">
        <v>7</v>
      </c>
      <c r="C468" t="s">
        <v>143</v>
      </c>
      <c r="D468">
        <v>4</v>
      </c>
      <c r="E468">
        <v>2021</v>
      </c>
      <c r="F468" s="2">
        <f>DATE(Table1[[#This Row],[Tahun]],Table1[[#This Row],[Bulan]],1)</f>
        <v>44287</v>
      </c>
      <c r="G468">
        <v>177</v>
      </c>
      <c r="H468">
        <v>180</v>
      </c>
      <c r="I468" s="6">
        <f>(Table1[[#This Row],[Aktual]]-Table1[[#This Row],[Target]])</f>
        <v>-3</v>
      </c>
      <c r="J468" s="3">
        <f>(Table1[[#This Row],[Aktual]]-Table1[[#This Row],[Target]])/Table1[[#This Row],[Target]]</f>
        <v>-1.6666666666666666E-2</v>
      </c>
      <c r="K468" t="str">
        <f>IF(Table1[[#This Row],[Performance Gap (%)]]&lt;0,"Tidak mencapai target", IF(Table1[[#This Row],[Performance Gap (%)]]=0,"Mencapai target", "Melebihi Target"))</f>
        <v>Tidak mencapai target</v>
      </c>
      <c r="L468">
        <f>VLOOKUP(Table1[[#This Row],[Propinsi]]&amp;"_"&amp;Table1[[#This Row],[Dati 2]]&amp;"_"&amp;Table1[[#This Row],[Tanggal]],Table2[[#All],[Kompetitor area]:[Jumlah Kompetitor]],7,0)</f>
        <v>177</v>
      </c>
      <c r="M468">
        <f>Table1[[#This Row],[Aktual]]-Table1[[#This Row],[Jumlah Kompetitor]]</f>
        <v>0</v>
      </c>
      <c r="N468" t="str">
        <f>IF(Table1[[#This Row],[vs Kompetitor]]&gt;0,"Win", "Lose")</f>
        <v>Lose</v>
      </c>
    </row>
    <row r="469" spans="1:14" x14ac:dyDescent="0.25">
      <c r="A469">
        <v>468</v>
      </c>
      <c r="B469" t="s">
        <v>7</v>
      </c>
      <c r="C469" t="s">
        <v>144</v>
      </c>
      <c r="D469">
        <v>4</v>
      </c>
      <c r="E469">
        <v>2021</v>
      </c>
      <c r="F469" s="2">
        <f>DATE(Table1[[#This Row],[Tahun]],Table1[[#This Row],[Bulan]],1)</f>
        <v>44287</v>
      </c>
      <c r="G469">
        <v>112</v>
      </c>
      <c r="H469">
        <v>103</v>
      </c>
      <c r="I469" s="6">
        <f>(Table1[[#This Row],[Aktual]]-Table1[[#This Row],[Target]])</f>
        <v>9</v>
      </c>
      <c r="J469" s="3">
        <f>(Table1[[#This Row],[Aktual]]-Table1[[#This Row],[Target]])/Table1[[#This Row],[Target]]</f>
        <v>8.7378640776699032E-2</v>
      </c>
      <c r="K469" t="str">
        <f>IF(Table1[[#This Row],[Performance Gap (%)]]&lt;0,"Tidak mencapai target", IF(Table1[[#This Row],[Performance Gap (%)]]=0,"Mencapai target", "Melebihi Target"))</f>
        <v>Melebihi Target</v>
      </c>
      <c r="L469">
        <f>VLOOKUP(Table1[[#This Row],[Propinsi]]&amp;"_"&amp;Table1[[#This Row],[Dati 2]]&amp;"_"&amp;Table1[[#This Row],[Tanggal]],Table2[[#All],[Kompetitor area]:[Jumlah Kompetitor]],7,0)</f>
        <v>99</v>
      </c>
      <c r="M469">
        <f>Table1[[#This Row],[Aktual]]-Table1[[#This Row],[Jumlah Kompetitor]]</f>
        <v>13</v>
      </c>
      <c r="N469" t="str">
        <f>IF(Table1[[#This Row],[vs Kompetitor]]&gt;0,"Win", "Lose")</f>
        <v>Win</v>
      </c>
    </row>
    <row r="470" spans="1:14" x14ac:dyDescent="0.25">
      <c r="A470">
        <v>469</v>
      </c>
      <c r="B470" t="s">
        <v>7</v>
      </c>
      <c r="C470" t="s">
        <v>145</v>
      </c>
      <c r="D470">
        <v>4</v>
      </c>
      <c r="E470">
        <v>2021</v>
      </c>
      <c r="F470" s="2">
        <f>DATE(Table1[[#This Row],[Tahun]],Table1[[#This Row],[Bulan]],1)</f>
        <v>44287</v>
      </c>
      <c r="G470">
        <v>100</v>
      </c>
      <c r="H470">
        <v>114</v>
      </c>
      <c r="I470" s="6">
        <f>(Table1[[#This Row],[Aktual]]-Table1[[#This Row],[Target]])</f>
        <v>-14</v>
      </c>
      <c r="J470" s="3">
        <f>(Table1[[#This Row],[Aktual]]-Table1[[#This Row],[Target]])/Table1[[#This Row],[Target]]</f>
        <v>-0.12280701754385964</v>
      </c>
      <c r="K470" t="str">
        <f>IF(Table1[[#This Row],[Performance Gap (%)]]&lt;0,"Tidak mencapai target", IF(Table1[[#This Row],[Performance Gap (%)]]=0,"Mencapai target", "Melebihi Target"))</f>
        <v>Tidak mencapai target</v>
      </c>
      <c r="L470">
        <f>VLOOKUP(Table1[[#This Row],[Propinsi]]&amp;"_"&amp;Table1[[#This Row],[Dati 2]]&amp;"_"&amp;Table1[[#This Row],[Tanggal]],Table2[[#All],[Kompetitor area]:[Jumlah Kompetitor]],7,0)</f>
        <v>117</v>
      </c>
      <c r="M470">
        <f>Table1[[#This Row],[Aktual]]-Table1[[#This Row],[Jumlah Kompetitor]]</f>
        <v>-17</v>
      </c>
      <c r="N470" t="str">
        <f>IF(Table1[[#This Row],[vs Kompetitor]]&gt;0,"Win", "Lose")</f>
        <v>Lose</v>
      </c>
    </row>
    <row r="471" spans="1:14" x14ac:dyDescent="0.25">
      <c r="A471">
        <v>470</v>
      </c>
      <c r="B471" t="s">
        <v>7</v>
      </c>
      <c r="C471" t="s">
        <v>146</v>
      </c>
      <c r="D471">
        <v>4</v>
      </c>
      <c r="E471">
        <v>2021</v>
      </c>
      <c r="F471" s="2">
        <f>DATE(Table1[[#This Row],[Tahun]],Table1[[#This Row],[Bulan]],1)</f>
        <v>44287</v>
      </c>
      <c r="G471">
        <v>213</v>
      </c>
      <c r="H471">
        <v>199</v>
      </c>
      <c r="I471" s="6">
        <f>(Table1[[#This Row],[Aktual]]-Table1[[#This Row],[Target]])</f>
        <v>14</v>
      </c>
      <c r="J471" s="3">
        <f>(Table1[[#This Row],[Aktual]]-Table1[[#This Row],[Target]])/Table1[[#This Row],[Target]]</f>
        <v>7.0351758793969849E-2</v>
      </c>
      <c r="K471" t="str">
        <f>IF(Table1[[#This Row],[Performance Gap (%)]]&lt;0,"Tidak mencapai target", IF(Table1[[#This Row],[Performance Gap (%)]]=0,"Mencapai target", "Melebihi Target"))</f>
        <v>Melebihi Target</v>
      </c>
      <c r="L471">
        <f>VLOOKUP(Table1[[#This Row],[Propinsi]]&amp;"_"&amp;Table1[[#This Row],[Dati 2]]&amp;"_"&amp;Table1[[#This Row],[Tanggal]],Table2[[#All],[Kompetitor area]:[Jumlah Kompetitor]],7,0)</f>
        <v>206</v>
      </c>
      <c r="M471">
        <f>Table1[[#This Row],[Aktual]]-Table1[[#This Row],[Jumlah Kompetitor]]</f>
        <v>7</v>
      </c>
      <c r="N471" t="str">
        <f>IF(Table1[[#This Row],[vs Kompetitor]]&gt;0,"Win", "Lose")</f>
        <v>Win</v>
      </c>
    </row>
    <row r="472" spans="1:14" x14ac:dyDescent="0.25">
      <c r="A472">
        <v>471</v>
      </c>
      <c r="B472" t="s">
        <v>7</v>
      </c>
      <c r="C472" t="s">
        <v>147</v>
      </c>
      <c r="D472">
        <v>4</v>
      </c>
      <c r="E472">
        <v>2021</v>
      </c>
      <c r="F472" s="2">
        <f>DATE(Table1[[#This Row],[Tahun]],Table1[[#This Row],[Bulan]],1)</f>
        <v>44287</v>
      </c>
      <c r="G472">
        <v>104</v>
      </c>
      <c r="H472">
        <v>112</v>
      </c>
      <c r="I472" s="6">
        <f>(Table1[[#This Row],[Aktual]]-Table1[[#This Row],[Target]])</f>
        <v>-8</v>
      </c>
      <c r="J472" s="3">
        <f>(Table1[[#This Row],[Aktual]]-Table1[[#This Row],[Target]])/Table1[[#This Row],[Target]]</f>
        <v>-7.1428571428571425E-2</v>
      </c>
      <c r="K472" t="str">
        <f>IF(Table1[[#This Row],[Performance Gap (%)]]&lt;0,"Tidak mencapai target", IF(Table1[[#This Row],[Performance Gap (%)]]=0,"Mencapai target", "Melebihi Target"))</f>
        <v>Tidak mencapai target</v>
      </c>
      <c r="L472">
        <f>VLOOKUP(Table1[[#This Row],[Propinsi]]&amp;"_"&amp;Table1[[#This Row],[Dati 2]]&amp;"_"&amp;Table1[[#This Row],[Tanggal]],Table2[[#All],[Kompetitor area]:[Jumlah Kompetitor]],7,0)</f>
        <v>117</v>
      </c>
      <c r="M472">
        <f>Table1[[#This Row],[Aktual]]-Table1[[#This Row],[Jumlah Kompetitor]]</f>
        <v>-13</v>
      </c>
      <c r="N472" t="str">
        <f>IF(Table1[[#This Row],[vs Kompetitor]]&gt;0,"Win", "Lose")</f>
        <v>Lose</v>
      </c>
    </row>
    <row r="473" spans="1:14" x14ac:dyDescent="0.25">
      <c r="A473">
        <v>472</v>
      </c>
      <c r="B473" t="s">
        <v>7</v>
      </c>
      <c r="C473" t="s">
        <v>148</v>
      </c>
      <c r="D473">
        <v>4</v>
      </c>
      <c r="E473">
        <v>2021</v>
      </c>
      <c r="F473" s="2">
        <f>DATE(Table1[[#This Row],[Tahun]],Table1[[#This Row],[Bulan]],1)</f>
        <v>44287</v>
      </c>
      <c r="G473">
        <v>171</v>
      </c>
      <c r="H473">
        <v>174</v>
      </c>
      <c r="I473" s="6">
        <f>(Table1[[#This Row],[Aktual]]-Table1[[#This Row],[Target]])</f>
        <v>-3</v>
      </c>
      <c r="J473" s="3">
        <f>(Table1[[#This Row],[Aktual]]-Table1[[#This Row],[Target]])/Table1[[#This Row],[Target]]</f>
        <v>-1.7241379310344827E-2</v>
      </c>
      <c r="K473" t="str">
        <f>IF(Table1[[#This Row],[Performance Gap (%)]]&lt;0,"Tidak mencapai target", IF(Table1[[#This Row],[Performance Gap (%)]]=0,"Mencapai target", "Melebihi Target"))</f>
        <v>Tidak mencapai target</v>
      </c>
      <c r="L473">
        <f>VLOOKUP(Table1[[#This Row],[Propinsi]]&amp;"_"&amp;Table1[[#This Row],[Dati 2]]&amp;"_"&amp;Table1[[#This Row],[Tanggal]],Table2[[#All],[Kompetitor area]:[Jumlah Kompetitor]],7,0)</f>
        <v>158</v>
      </c>
      <c r="M473">
        <f>Table1[[#This Row],[Aktual]]-Table1[[#This Row],[Jumlah Kompetitor]]</f>
        <v>13</v>
      </c>
      <c r="N473" t="str">
        <f>IF(Table1[[#This Row],[vs Kompetitor]]&gt;0,"Win", "Lose")</f>
        <v>Win</v>
      </c>
    </row>
    <row r="474" spans="1:14" x14ac:dyDescent="0.25">
      <c r="A474">
        <v>473</v>
      </c>
      <c r="B474" t="s">
        <v>7</v>
      </c>
      <c r="C474" t="s">
        <v>149</v>
      </c>
      <c r="D474">
        <v>4</v>
      </c>
      <c r="E474">
        <v>2021</v>
      </c>
      <c r="F474" s="2">
        <f>DATE(Table1[[#This Row],[Tahun]],Table1[[#This Row],[Bulan]],1)</f>
        <v>44287</v>
      </c>
      <c r="G474">
        <v>55</v>
      </c>
      <c r="H474">
        <v>53</v>
      </c>
      <c r="I474" s="6">
        <f>(Table1[[#This Row],[Aktual]]-Table1[[#This Row],[Target]])</f>
        <v>2</v>
      </c>
      <c r="J474" s="3">
        <f>(Table1[[#This Row],[Aktual]]-Table1[[#This Row],[Target]])/Table1[[#This Row],[Target]]</f>
        <v>3.7735849056603772E-2</v>
      </c>
      <c r="K474" t="str">
        <f>IF(Table1[[#This Row],[Performance Gap (%)]]&lt;0,"Tidak mencapai target", IF(Table1[[#This Row],[Performance Gap (%)]]=0,"Mencapai target", "Melebihi Target"))</f>
        <v>Melebihi Target</v>
      </c>
      <c r="L474">
        <f>VLOOKUP(Table1[[#This Row],[Propinsi]]&amp;"_"&amp;Table1[[#This Row],[Dati 2]]&amp;"_"&amp;Table1[[#This Row],[Tanggal]],Table2[[#All],[Kompetitor area]:[Jumlah Kompetitor]],7,0)</f>
        <v>59</v>
      </c>
      <c r="M474">
        <f>Table1[[#This Row],[Aktual]]-Table1[[#This Row],[Jumlah Kompetitor]]</f>
        <v>-4</v>
      </c>
      <c r="N474" t="str">
        <f>IF(Table1[[#This Row],[vs Kompetitor]]&gt;0,"Win", "Lose")</f>
        <v>Lose</v>
      </c>
    </row>
    <row r="475" spans="1:14" x14ac:dyDescent="0.25">
      <c r="A475">
        <v>474</v>
      </c>
      <c r="B475" t="s">
        <v>8</v>
      </c>
      <c r="C475" t="s">
        <v>150</v>
      </c>
      <c r="D475">
        <v>4</v>
      </c>
      <c r="E475">
        <v>2021</v>
      </c>
      <c r="F475" s="2">
        <f>DATE(Table1[[#This Row],[Tahun]],Table1[[#This Row],[Bulan]],1)</f>
        <v>44287</v>
      </c>
      <c r="G475">
        <v>610</v>
      </c>
      <c r="H475">
        <v>684</v>
      </c>
      <c r="I475" s="6">
        <f>(Table1[[#This Row],[Aktual]]-Table1[[#This Row],[Target]])</f>
        <v>-74</v>
      </c>
      <c r="J475" s="3">
        <f>(Table1[[#This Row],[Aktual]]-Table1[[#This Row],[Target]])/Table1[[#This Row],[Target]]</f>
        <v>-0.10818713450292397</v>
      </c>
      <c r="K475" t="str">
        <f>IF(Table1[[#This Row],[Performance Gap (%)]]&lt;0,"Tidak mencapai target", IF(Table1[[#This Row],[Performance Gap (%)]]=0,"Mencapai target", "Melebihi Target"))</f>
        <v>Tidak mencapai target</v>
      </c>
      <c r="L475">
        <f>VLOOKUP(Table1[[#This Row],[Propinsi]]&amp;"_"&amp;Table1[[#This Row],[Dati 2]]&amp;"_"&amp;Table1[[#This Row],[Tanggal]],Table2[[#All],[Kompetitor area]:[Jumlah Kompetitor]],7,0)</f>
        <v>667</v>
      </c>
      <c r="M475">
        <f>Table1[[#This Row],[Aktual]]-Table1[[#This Row],[Jumlah Kompetitor]]</f>
        <v>-57</v>
      </c>
      <c r="N475" t="str">
        <f>IF(Table1[[#This Row],[vs Kompetitor]]&gt;0,"Win", "Lose")</f>
        <v>Lose</v>
      </c>
    </row>
    <row r="476" spans="1:14" x14ac:dyDescent="0.25">
      <c r="A476">
        <v>475</v>
      </c>
      <c r="B476" t="s">
        <v>8</v>
      </c>
      <c r="C476" t="s">
        <v>151</v>
      </c>
      <c r="D476">
        <v>4</v>
      </c>
      <c r="E476">
        <v>2021</v>
      </c>
      <c r="F476" s="2">
        <f>DATE(Table1[[#This Row],[Tahun]],Table1[[#This Row],[Bulan]],1)</f>
        <v>44287</v>
      </c>
      <c r="G476">
        <v>528</v>
      </c>
      <c r="H476">
        <v>514</v>
      </c>
      <c r="I476" s="6">
        <f>(Table1[[#This Row],[Aktual]]-Table1[[#This Row],[Target]])</f>
        <v>14</v>
      </c>
      <c r="J476" s="3">
        <f>(Table1[[#This Row],[Aktual]]-Table1[[#This Row],[Target]])/Table1[[#This Row],[Target]]</f>
        <v>2.7237354085603113E-2</v>
      </c>
      <c r="K476" t="str">
        <f>IF(Table1[[#This Row],[Performance Gap (%)]]&lt;0,"Tidak mencapai target", IF(Table1[[#This Row],[Performance Gap (%)]]=0,"Mencapai target", "Melebihi Target"))</f>
        <v>Melebihi Target</v>
      </c>
      <c r="L476">
        <f>VLOOKUP(Table1[[#This Row],[Propinsi]]&amp;"_"&amp;Table1[[#This Row],[Dati 2]]&amp;"_"&amp;Table1[[#This Row],[Tanggal]],Table2[[#All],[Kompetitor area]:[Jumlah Kompetitor]],7,0)</f>
        <v>523</v>
      </c>
      <c r="M476">
        <f>Table1[[#This Row],[Aktual]]-Table1[[#This Row],[Jumlah Kompetitor]]</f>
        <v>5</v>
      </c>
      <c r="N476" t="str">
        <f>IF(Table1[[#This Row],[vs Kompetitor]]&gt;0,"Win", "Lose")</f>
        <v>Win</v>
      </c>
    </row>
    <row r="477" spans="1:14" x14ac:dyDescent="0.25">
      <c r="A477">
        <v>476</v>
      </c>
      <c r="B477" t="s">
        <v>8</v>
      </c>
      <c r="C477" t="s">
        <v>152</v>
      </c>
      <c r="D477">
        <v>4</v>
      </c>
      <c r="E477">
        <v>2021</v>
      </c>
      <c r="F477" s="2">
        <f>DATE(Table1[[#This Row],[Tahun]],Table1[[#This Row],[Bulan]],1)</f>
        <v>44287</v>
      </c>
      <c r="G477">
        <v>198</v>
      </c>
      <c r="H477">
        <v>171</v>
      </c>
      <c r="I477" s="6">
        <f>(Table1[[#This Row],[Aktual]]-Table1[[#This Row],[Target]])</f>
        <v>27</v>
      </c>
      <c r="J477" s="3">
        <f>(Table1[[#This Row],[Aktual]]-Table1[[#This Row],[Target]])/Table1[[#This Row],[Target]]</f>
        <v>0.15789473684210525</v>
      </c>
      <c r="K477" t="str">
        <f>IF(Table1[[#This Row],[Performance Gap (%)]]&lt;0,"Tidak mencapai target", IF(Table1[[#This Row],[Performance Gap (%)]]=0,"Mencapai target", "Melebihi Target"))</f>
        <v>Melebihi Target</v>
      </c>
      <c r="L477">
        <f>VLOOKUP(Table1[[#This Row],[Propinsi]]&amp;"_"&amp;Table1[[#This Row],[Dati 2]]&amp;"_"&amp;Table1[[#This Row],[Tanggal]],Table2[[#All],[Kompetitor area]:[Jumlah Kompetitor]],7,0)</f>
        <v>175</v>
      </c>
      <c r="M477">
        <f>Table1[[#This Row],[Aktual]]-Table1[[#This Row],[Jumlah Kompetitor]]</f>
        <v>23</v>
      </c>
      <c r="N477" t="str">
        <f>IF(Table1[[#This Row],[vs Kompetitor]]&gt;0,"Win", "Lose")</f>
        <v>Win</v>
      </c>
    </row>
    <row r="478" spans="1:14" x14ac:dyDescent="0.25">
      <c r="A478">
        <v>477</v>
      </c>
      <c r="B478" t="s">
        <v>8</v>
      </c>
      <c r="C478" t="s">
        <v>153</v>
      </c>
      <c r="D478">
        <v>4</v>
      </c>
      <c r="E478">
        <v>2021</v>
      </c>
      <c r="F478" s="2">
        <f>DATE(Table1[[#This Row],[Tahun]],Table1[[#This Row],[Bulan]],1)</f>
        <v>44287</v>
      </c>
      <c r="G478">
        <v>470</v>
      </c>
      <c r="H478">
        <v>436</v>
      </c>
      <c r="I478" s="6">
        <f>(Table1[[#This Row],[Aktual]]-Table1[[#This Row],[Target]])</f>
        <v>34</v>
      </c>
      <c r="J478" s="3">
        <f>(Table1[[#This Row],[Aktual]]-Table1[[#This Row],[Target]])/Table1[[#This Row],[Target]]</f>
        <v>7.7981651376146793E-2</v>
      </c>
      <c r="K478" t="str">
        <f>IF(Table1[[#This Row],[Performance Gap (%)]]&lt;0,"Tidak mencapai target", IF(Table1[[#This Row],[Performance Gap (%)]]=0,"Mencapai target", "Melebihi Target"))</f>
        <v>Melebihi Target</v>
      </c>
      <c r="L478">
        <f>VLOOKUP(Table1[[#This Row],[Propinsi]]&amp;"_"&amp;Table1[[#This Row],[Dati 2]]&amp;"_"&amp;Table1[[#This Row],[Tanggal]],Table2[[#All],[Kompetitor area]:[Jumlah Kompetitor]],7,0)</f>
        <v>429</v>
      </c>
      <c r="M478">
        <f>Table1[[#This Row],[Aktual]]-Table1[[#This Row],[Jumlah Kompetitor]]</f>
        <v>41</v>
      </c>
      <c r="N478" t="str">
        <f>IF(Table1[[#This Row],[vs Kompetitor]]&gt;0,"Win", "Lose")</f>
        <v>Win</v>
      </c>
    </row>
    <row r="479" spans="1:14" x14ac:dyDescent="0.25">
      <c r="A479">
        <v>478</v>
      </c>
      <c r="B479" t="s">
        <v>8</v>
      </c>
      <c r="C479" t="s">
        <v>154</v>
      </c>
      <c r="D479">
        <v>4</v>
      </c>
      <c r="E479">
        <v>2021</v>
      </c>
      <c r="F479" s="2">
        <f>DATE(Table1[[#This Row],[Tahun]],Table1[[#This Row],[Bulan]],1)</f>
        <v>44287</v>
      </c>
      <c r="G479">
        <v>273</v>
      </c>
      <c r="H479">
        <v>254</v>
      </c>
      <c r="I479" s="6">
        <f>(Table1[[#This Row],[Aktual]]-Table1[[#This Row],[Target]])</f>
        <v>19</v>
      </c>
      <c r="J479" s="3">
        <f>(Table1[[#This Row],[Aktual]]-Table1[[#This Row],[Target]])/Table1[[#This Row],[Target]]</f>
        <v>7.4803149606299218E-2</v>
      </c>
      <c r="K479" t="str">
        <f>IF(Table1[[#This Row],[Performance Gap (%)]]&lt;0,"Tidak mencapai target", IF(Table1[[#This Row],[Performance Gap (%)]]=0,"Mencapai target", "Melebihi Target"))</f>
        <v>Melebihi Target</v>
      </c>
      <c r="L479">
        <f>VLOOKUP(Table1[[#This Row],[Propinsi]]&amp;"_"&amp;Table1[[#This Row],[Dati 2]]&amp;"_"&amp;Table1[[#This Row],[Tanggal]],Table2[[#All],[Kompetitor area]:[Jumlah Kompetitor]],7,0)</f>
        <v>252</v>
      </c>
      <c r="M479">
        <f>Table1[[#This Row],[Aktual]]-Table1[[#This Row],[Jumlah Kompetitor]]</f>
        <v>21</v>
      </c>
      <c r="N479" t="str">
        <f>IF(Table1[[#This Row],[vs Kompetitor]]&gt;0,"Win", "Lose")</f>
        <v>Win</v>
      </c>
    </row>
    <row r="480" spans="1:14" x14ac:dyDescent="0.25">
      <c r="A480">
        <v>479</v>
      </c>
      <c r="B480" t="s">
        <v>8</v>
      </c>
      <c r="C480" t="s">
        <v>155</v>
      </c>
      <c r="D480">
        <v>4</v>
      </c>
      <c r="E480">
        <v>2021</v>
      </c>
      <c r="F480" s="2">
        <f>DATE(Table1[[#This Row],[Tahun]],Table1[[#This Row],[Bulan]],1)</f>
        <v>44287</v>
      </c>
      <c r="G480">
        <v>394</v>
      </c>
      <c r="H480">
        <v>344</v>
      </c>
      <c r="I480" s="6">
        <f>(Table1[[#This Row],[Aktual]]-Table1[[#This Row],[Target]])</f>
        <v>50</v>
      </c>
      <c r="J480" s="3">
        <f>(Table1[[#This Row],[Aktual]]-Table1[[#This Row],[Target]])/Table1[[#This Row],[Target]]</f>
        <v>0.14534883720930233</v>
      </c>
      <c r="K480" t="str">
        <f>IF(Table1[[#This Row],[Performance Gap (%)]]&lt;0,"Tidak mencapai target", IF(Table1[[#This Row],[Performance Gap (%)]]=0,"Mencapai target", "Melebihi Target"))</f>
        <v>Melebihi Target</v>
      </c>
      <c r="L480">
        <f>VLOOKUP(Table1[[#This Row],[Propinsi]]&amp;"_"&amp;Table1[[#This Row],[Dati 2]]&amp;"_"&amp;Table1[[#This Row],[Tanggal]],Table2[[#All],[Kompetitor area]:[Jumlah Kompetitor]],7,0)</f>
        <v>331</v>
      </c>
      <c r="M480">
        <f>Table1[[#This Row],[Aktual]]-Table1[[#This Row],[Jumlah Kompetitor]]</f>
        <v>63</v>
      </c>
      <c r="N480" t="str">
        <f>IF(Table1[[#This Row],[vs Kompetitor]]&gt;0,"Win", "Lose")</f>
        <v>Win</v>
      </c>
    </row>
    <row r="481" spans="1:14" x14ac:dyDescent="0.25">
      <c r="A481">
        <v>480</v>
      </c>
      <c r="B481" t="s">
        <v>8</v>
      </c>
      <c r="C481" t="s">
        <v>156</v>
      </c>
      <c r="D481">
        <v>4</v>
      </c>
      <c r="E481">
        <v>2021</v>
      </c>
      <c r="F481" s="2">
        <f>DATE(Table1[[#This Row],[Tahun]],Table1[[#This Row],[Bulan]],1)</f>
        <v>44287</v>
      </c>
      <c r="G481">
        <v>164</v>
      </c>
      <c r="H481">
        <v>143</v>
      </c>
      <c r="I481" s="6">
        <f>(Table1[[#This Row],[Aktual]]-Table1[[#This Row],[Target]])</f>
        <v>21</v>
      </c>
      <c r="J481" s="3">
        <f>(Table1[[#This Row],[Aktual]]-Table1[[#This Row],[Target]])/Table1[[#This Row],[Target]]</f>
        <v>0.14685314685314685</v>
      </c>
      <c r="K481" t="str">
        <f>IF(Table1[[#This Row],[Performance Gap (%)]]&lt;0,"Tidak mencapai target", IF(Table1[[#This Row],[Performance Gap (%)]]=0,"Mencapai target", "Melebihi Target"))</f>
        <v>Melebihi Target</v>
      </c>
      <c r="L481">
        <f>VLOOKUP(Table1[[#This Row],[Propinsi]]&amp;"_"&amp;Table1[[#This Row],[Dati 2]]&amp;"_"&amp;Table1[[#This Row],[Tanggal]],Table2[[#All],[Kompetitor area]:[Jumlah Kompetitor]],7,0)</f>
        <v>142</v>
      </c>
      <c r="M481">
        <f>Table1[[#This Row],[Aktual]]-Table1[[#This Row],[Jumlah Kompetitor]]</f>
        <v>22</v>
      </c>
      <c r="N481" t="str">
        <f>IF(Table1[[#This Row],[vs Kompetitor]]&gt;0,"Win", "Lose")</f>
        <v>Win</v>
      </c>
    </row>
    <row r="482" spans="1:14" x14ac:dyDescent="0.25">
      <c r="A482">
        <v>481</v>
      </c>
      <c r="B482" t="s">
        <v>8</v>
      </c>
      <c r="C482" t="s">
        <v>157</v>
      </c>
      <c r="D482">
        <v>4</v>
      </c>
      <c r="E482">
        <v>2021</v>
      </c>
      <c r="F482" s="2">
        <f>DATE(Table1[[#This Row],[Tahun]],Table1[[#This Row],[Bulan]],1)</f>
        <v>44287</v>
      </c>
      <c r="G482">
        <v>247</v>
      </c>
      <c r="H482">
        <v>239</v>
      </c>
      <c r="I482" s="6">
        <f>(Table1[[#This Row],[Aktual]]-Table1[[#This Row],[Target]])</f>
        <v>8</v>
      </c>
      <c r="J482" s="3">
        <f>(Table1[[#This Row],[Aktual]]-Table1[[#This Row],[Target]])/Table1[[#This Row],[Target]]</f>
        <v>3.3472803347280332E-2</v>
      </c>
      <c r="K482" t="str">
        <f>IF(Table1[[#This Row],[Performance Gap (%)]]&lt;0,"Tidak mencapai target", IF(Table1[[#This Row],[Performance Gap (%)]]=0,"Mencapai target", "Melebihi Target"))</f>
        <v>Melebihi Target</v>
      </c>
      <c r="L482">
        <f>VLOOKUP(Table1[[#This Row],[Propinsi]]&amp;"_"&amp;Table1[[#This Row],[Dati 2]]&amp;"_"&amp;Table1[[#This Row],[Tanggal]],Table2[[#All],[Kompetitor area]:[Jumlah Kompetitor]],7,0)</f>
        <v>217</v>
      </c>
      <c r="M482">
        <f>Table1[[#This Row],[Aktual]]-Table1[[#This Row],[Jumlah Kompetitor]]</f>
        <v>30</v>
      </c>
      <c r="N482" t="str">
        <f>IF(Table1[[#This Row],[vs Kompetitor]]&gt;0,"Win", "Lose")</f>
        <v>Win</v>
      </c>
    </row>
    <row r="483" spans="1:14" x14ac:dyDescent="0.25">
      <c r="A483">
        <v>482</v>
      </c>
      <c r="B483" t="s">
        <v>8</v>
      </c>
      <c r="C483" t="s">
        <v>158</v>
      </c>
      <c r="D483">
        <v>4</v>
      </c>
      <c r="E483">
        <v>2021</v>
      </c>
      <c r="F483" s="2">
        <f>DATE(Table1[[#This Row],[Tahun]],Table1[[#This Row],[Bulan]],1)</f>
        <v>44287</v>
      </c>
      <c r="G483">
        <v>181</v>
      </c>
      <c r="H483">
        <v>183</v>
      </c>
      <c r="I483" s="6">
        <f>(Table1[[#This Row],[Aktual]]-Table1[[#This Row],[Target]])</f>
        <v>-2</v>
      </c>
      <c r="J483" s="3">
        <f>(Table1[[#This Row],[Aktual]]-Table1[[#This Row],[Target]])/Table1[[#This Row],[Target]]</f>
        <v>-1.092896174863388E-2</v>
      </c>
      <c r="K483" t="str">
        <f>IF(Table1[[#This Row],[Performance Gap (%)]]&lt;0,"Tidak mencapai target", IF(Table1[[#This Row],[Performance Gap (%)]]=0,"Mencapai target", "Melebihi Target"))</f>
        <v>Tidak mencapai target</v>
      </c>
      <c r="L483">
        <f>VLOOKUP(Table1[[#This Row],[Propinsi]]&amp;"_"&amp;Table1[[#This Row],[Dati 2]]&amp;"_"&amp;Table1[[#This Row],[Tanggal]],Table2[[#All],[Kompetitor area]:[Jumlah Kompetitor]],7,0)</f>
        <v>197</v>
      </c>
      <c r="M483">
        <f>Table1[[#This Row],[Aktual]]-Table1[[#This Row],[Jumlah Kompetitor]]</f>
        <v>-16</v>
      </c>
      <c r="N483" t="str">
        <f>IF(Table1[[#This Row],[vs Kompetitor]]&gt;0,"Win", "Lose")</f>
        <v>Lose</v>
      </c>
    </row>
    <row r="484" spans="1:14" x14ac:dyDescent="0.25">
      <c r="A484">
        <v>483</v>
      </c>
      <c r="B484" t="s">
        <v>8</v>
      </c>
      <c r="C484" t="s">
        <v>159</v>
      </c>
      <c r="D484">
        <v>4</v>
      </c>
      <c r="E484">
        <v>2021</v>
      </c>
      <c r="F484" s="2">
        <f>DATE(Table1[[#This Row],[Tahun]],Table1[[#This Row],[Bulan]],1)</f>
        <v>44287</v>
      </c>
      <c r="G484">
        <v>188</v>
      </c>
      <c r="H484">
        <v>167</v>
      </c>
      <c r="I484" s="6">
        <f>(Table1[[#This Row],[Aktual]]-Table1[[#This Row],[Target]])</f>
        <v>21</v>
      </c>
      <c r="J484" s="3">
        <f>(Table1[[#This Row],[Aktual]]-Table1[[#This Row],[Target]])/Table1[[#This Row],[Target]]</f>
        <v>0.12574850299401197</v>
      </c>
      <c r="K484" t="str">
        <f>IF(Table1[[#This Row],[Performance Gap (%)]]&lt;0,"Tidak mencapai target", IF(Table1[[#This Row],[Performance Gap (%)]]=0,"Mencapai target", "Melebihi Target"))</f>
        <v>Melebihi Target</v>
      </c>
      <c r="L484">
        <f>VLOOKUP(Table1[[#This Row],[Propinsi]]&amp;"_"&amp;Table1[[#This Row],[Dati 2]]&amp;"_"&amp;Table1[[#This Row],[Tanggal]],Table2[[#All],[Kompetitor area]:[Jumlah Kompetitor]],7,0)</f>
        <v>166</v>
      </c>
      <c r="M484">
        <f>Table1[[#This Row],[Aktual]]-Table1[[#This Row],[Jumlah Kompetitor]]</f>
        <v>22</v>
      </c>
      <c r="N484" t="str">
        <f>IF(Table1[[#This Row],[vs Kompetitor]]&gt;0,"Win", "Lose")</f>
        <v>Win</v>
      </c>
    </row>
    <row r="485" spans="1:14" x14ac:dyDescent="0.25">
      <c r="A485">
        <v>484</v>
      </c>
      <c r="B485" t="s">
        <v>8</v>
      </c>
      <c r="C485" t="s">
        <v>160</v>
      </c>
      <c r="D485">
        <v>4</v>
      </c>
      <c r="E485">
        <v>2021</v>
      </c>
      <c r="F485" s="2">
        <f>DATE(Table1[[#This Row],[Tahun]],Table1[[#This Row],[Bulan]],1)</f>
        <v>44287</v>
      </c>
      <c r="G485">
        <v>112</v>
      </c>
      <c r="H485">
        <v>104</v>
      </c>
      <c r="I485" s="6">
        <f>(Table1[[#This Row],[Aktual]]-Table1[[#This Row],[Target]])</f>
        <v>8</v>
      </c>
      <c r="J485" s="3">
        <f>(Table1[[#This Row],[Aktual]]-Table1[[#This Row],[Target]])/Table1[[#This Row],[Target]]</f>
        <v>7.6923076923076927E-2</v>
      </c>
      <c r="K485" t="str">
        <f>IF(Table1[[#This Row],[Performance Gap (%)]]&lt;0,"Tidak mencapai target", IF(Table1[[#This Row],[Performance Gap (%)]]=0,"Mencapai target", "Melebihi Target"))</f>
        <v>Melebihi Target</v>
      </c>
      <c r="L485">
        <f>VLOOKUP(Table1[[#This Row],[Propinsi]]&amp;"_"&amp;Table1[[#This Row],[Dati 2]]&amp;"_"&amp;Table1[[#This Row],[Tanggal]],Table2[[#All],[Kompetitor area]:[Jumlah Kompetitor]],7,0)</f>
        <v>97</v>
      </c>
      <c r="M485">
        <f>Table1[[#This Row],[Aktual]]-Table1[[#This Row],[Jumlah Kompetitor]]</f>
        <v>15</v>
      </c>
      <c r="N485" t="str">
        <f>IF(Table1[[#This Row],[vs Kompetitor]]&gt;0,"Win", "Lose")</f>
        <v>Win</v>
      </c>
    </row>
    <row r="486" spans="1:14" x14ac:dyDescent="0.25">
      <c r="A486">
        <v>485</v>
      </c>
      <c r="B486" t="s">
        <v>8</v>
      </c>
      <c r="C486" t="s">
        <v>161</v>
      </c>
      <c r="D486">
        <v>4</v>
      </c>
      <c r="E486">
        <v>2021</v>
      </c>
      <c r="F486" s="2">
        <f>DATE(Table1[[#This Row],[Tahun]],Table1[[#This Row],[Bulan]],1)</f>
        <v>44287</v>
      </c>
      <c r="G486">
        <v>192</v>
      </c>
      <c r="H486">
        <v>175</v>
      </c>
      <c r="I486" s="6">
        <f>(Table1[[#This Row],[Aktual]]-Table1[[#This Row],[Target]])</f>
        <v>17</v>
      </c>
      <c r="J486" s="3">
        <f>(Table1[[#This Row],[Aktual]]-Table1[[#This Row],[Target]])/Table1[[#This Row],[Target]]</f>
        <v>9.7142857142857142E-2</v>
      </c>
      <c r="K486" t="str">
        <f>IF(Table1[[#This Row],[Performance Gap (%)]]&lt;0,"Tidak mencapai target", IF(Table1[[#This Row],[Performance Gap (%)]]=0,"Mencapai target", "Melebihi Target"))</f>
        <v>Melebihi Target</v>
      </c>
      <c r="L486">
        <f>VLOOKUP(Table1[[#This Row],[Propinsi]]&amp;"_"&amp;Table1[[#This Row],[Dati 2]]&amp;"_"&amp;Table1[[#This Row],[Tanggal]],Table2[[#All],[Kompetitor area]:[Jumlah Kompetitor]],7,0)</f>
        <v>175</v>
      </c>
      <c r="M486">
        <f>Table1[[#This Row],[Aktual]]-Table1[[#This Row],[Jumlah Kompetitor]]</f>
        <v>17</v>
      </c>
      <c r="N486" t="str">
        <f>IF(Table1[[#This Row],[vs Kompetitor]]&gt;0,"Win", "Lose")</f>
        <v>Win</v>
      </c>
    </row>
    <row r="487" spans="1:14" x14ac:dyDescent="0.25">
      <c r="A487">
        <v>486</v>
      </c>
      <c r="B487" t="s">
        <v>8</v>
      </c>
      <c r="C487" t="s">
        <v>162</v>
      </c>
      <c r="D487">
        <v>4</v>
      </c>
      <c r="E487">
        <v>2021</v>
      </c>
      <c r="F487" s="2">
        <f>DATE(Table1[[#This Row],[Tahun]],Table1[[#This Row],[Bulan]],1)</f>
        <v>44287</v>
      </c>
      <c r="G487">
        <v>111</v>
      </c>
      <c r="H487">
        <v>122</v>
      </c>
      <c r="I487" s="6">
        <f>(Table1[[#This Row],[Aktual]]-Table1[[#This Row],[Target]])</f>
        <v>-11</v>
      </c>
      <c r="J487" s="3">
        <f>(Table1[[#This Row],[Aktual]]-Table1[[#This Row],[Target]])/Table1[[#This Row],[Target]]</f>
        <v>-9.0163934426229511E-2</v>
      </c>
      <c r="K487" t="str">
        <f>IF(Table1[[#This Row],[Performance Gap (%)]]&lt;0,"Tidak mencapai target", IF(Table1[[#This Row],[Performance Gap (%)]]=0,"Mencapai target", "Melebihi Target"))</f>
        <v>Tidak mencapai target</v>
      </c>
      <c r="L487">
        <f>VLOOKUP(Table1[[#This Row],[Propinsi]]&amp;"_"&amp;Table1[[#This Row],[Dati 2]]&amp;"_"&amp;Table1[[#This Row],[Tanggal]],Table2[[#All],[Kompetitor area]:[Jumlah Kompetitor]],7,0)</f>
        <v>114</v>
      </c>
      <c r="M487">
        <f>Table1[[#This Row],[Aktual]]-Table1[[#This Row],[Jumlah Kompetitor]]</f>
        <v>-3</v>
      </c>
      <c r="N487" t="str">
        <f>IF(Table1[[#This Row],[vs Kompetitor]]&gt;0,"Win", "Lose")</f>
        <v>Lose</v>
      </c>
    </row>
    <row r="488" spans="1:14" x14ac:dyDescent="0.25">
      <c r="A488">
        <v>487</v>
      </c>
      <c r="B488" t="s">
        <v>8</v>
      </c>
      <c r="C488" t="s">
        <v>163</v>
      </c>
      <c r="D488">
        <v>4</v>
      </c>
      <c r="E488">
        <v>2021</v>
      </c>
      <c r="F488" s="2">
        <f>DATE(Table1[[#This Row],[Tahun]],Table1[[#This Row],[Bulan]],1)</f>
        <v>44287</v>
      </c>
      <c r="G488">
        <v>282</v>
      </c>
      <c r="H488">
        <v>262</v>
      </c>
      <c r="I488" s="6">
        <f>(Table1[[#This Row],[Aktual]]-Table1[[#This Row],[Target]])</f>
        <v>20</v>
      </c>
      <c r="J488" s="3">
        <f>(Table1[[#This Row],[Aktual]]-Table1[[#This Row],[Target]])/Table1[[#This Row],[Target]]</f>
        <v>7.6335877862595422E-2</v>
      </c>
      <c r="K488" t="str">
        <f>IF(Table1[[#This Row],[Performance Gap (%)]]&lt;0,"Tidak mencapai target", IF(Table1[[#This Row],[Performance Gap (%)]]=0,"Mencapai target", "Melebihi Target"))</f>
        <v>Melebihi Target</v>
      </c>
      <c r="L488">
        <f>VLOOKUP(Table1[[#This Row],[Propinsi]]&amp;"_"&amp;Table1[[#This Row],[Dati 2]]&amp;"_"&amp;Table1[[#This Row],[Tanggal]],Table2[[#All],[Kompetitor area]:[Jumlah Kompetitor]],7,0)</f>
        <v>265</v>
      </c>
      <c r="M488">
        <f>Table1[[#This Row],[Aktual]]-Table1[[#This Row],[Jumlah Kompetitor]]</f>
        <v>17</v>
      </c>
      <c r="N488" t="str">
        <f>IF(Table1[[#This Row],[vs Kompetitor]]&gt;0,"Win", "Lose")</f>
        <v>Win</v>
      </c>
    </row>
    <row r="489" spans="1:14" x14ac:dyDescent="0.25">
      <c r="A489">
        <v>488</v>
      </c>
      <c r="B489" t="s">
        <v>8</v>
      </c>
      <c r="C489" t="s">
        <v>164</v>
      </c>
      <c r="D489">
        <v>4</v>
      </c>
      <c r="E489">
        <v>2021</v>
      </c>
      <c r="F489" s="2">
        <f>DATE(Table1[[#This Row],[Tahun]],Table1[[#This Row],[Bulan]],1)</f>
        <v>44287</v>
      </c>
      <c r="G489">
        <v>333</v>
      </c>
      <c r="H489">
        <v>284</v>
      </c>
      <c r="I489" s="6">
        <f>(Table1[[#This Row],[Aktual]]-Table1[[#This Row],[Target]])</f>
        <v>49</v>
      </c>
      <c r="J489" s="3">
        <f>(Table1[[#This Row],[Aktual]]-Table1[[#This Row],[Target]])/Table1[[#This Row],[Target]]</f>
        <v>0.17253521126760563</v>
      </c>
      <c r="K489" t="str">
        <f>IF(Table1[[#This Row],[Performance Gap (%)]]&lt;0,"Tidak mencapai target", IF(Table1[[#This Row],[Performance Gap (%)]]=0,"Mencapai target", "Melebihi Target"))</f>
        <v>Melebihi Target</v>
      </c>
      <c r="L489">
        <f>VLOOKUP(Table1[[#This Row],[Propinsi]]&amp;"_"&amp;Table1[[#This Row],[Dati 2]]&amp;"_"&amp;Table1[[#This Row],[Tanggal]],Table2[[#All],[Kompetitor area]:[Jumlah Kompetitor]],7,0)</f>
        <v>255</v>
      </c>
      <c r="M489">
        <f>Table1[[#This Row],[Aktual]]-Table1[[#This Row],[Jumlah Kompetitor]]</f>
        <v>78</v>
      </c>
      <c r="N489" t="str">
        <f>IF(Table1[[#This Row],[vs Kompetitor]]&gt;0,"Win", "Lose")</f>
        <v>Win</v>
      </c>
    </row>
    <row r="490" spans="1:14" x14ac:dyDescent="0.25">
      <c r="A490">
        <v>489</v>
      </c>
      <c r="B490" t="s">
        <v>6</v>
      </c>
      <c r="C490" t="s">
        <v>43</v>
      </c>
      <c r="D490">
        <v>5</v>
      </c>
      <c r="E490">
        <v>2021</v>
      </c>
      <c r="F490" s="2">
        <f>DATE(Table1[[#This Row],[Tahun]],Table1[[#This Row],[Bulan]],1)</f>
        <v>44317</v>
      </c>
      <c r="G490">
        <v>1361</v>
      </c>
      <c r="H490">
        <v>1229</v>
      </c>
      <c r="I490" s="6">
        <f>(Table1[[#This Row],[Aktual]]-Table1[[#This Row],[Target]])</f>
        <v>132</v>
      </c>
      <c r="J490" s="3">
        <f>(Table1[[#This Row],[Aktual]]-Table1[[#This Row],[Target]])/Table1[[#This Row],[Target]]</f>
        <v>0.10740439381611067</v>
      </c>
      <c r="K490" t="str">
        <f>IF(Table1[[#This Row],[Performance Gap (%)]]&lt;0,"Tidak mencapai target", IF(Table1[[#This Row],[Performance Gap (%)]]=0,"Mencapai target", "Melebihi Target"))</f>
        <v>Melebihi Target</v>
      </c>
      <c r="L490">
        <f>VLOOKUP(Table1[[#This Row],[Propinsi]]&amp;"_"&amp;Table1[[#This Row],[Dati 2]]&amp;"_"&amp;Table1[[#This Row],[Tanggal]],Table2[[#All],[Kompetitor area]:[Jumlah Kompetitor]],7,0)</f>
        <v>350</v>
      </c>
      <c r="M490">
        <f>Table1[[#This Row],[Aktual]]-Table1[[#This Row],[Jumlah Kompetitor]]</f>
        <v>1011</v>
      </c>
      <c r="N490" t="str">
        <f>IF(Table1[[#This Row],[vs Kompetitor]]&gt;0,"Win", "Lose")</f>
        <v>Win</v>
      </c>
    </row>
    <row r="491" spans="1:14" x14ac:dyDescent="0.25">
      <c r="A491">
        <v>490</v>
      </c>
      <c r="B491" t="s">
        <v>6</v>
      </c>
      <c r="C491" t="s">
        <v>44</v>
      </c>
      <c r="D491">
        <v>5</v>
      </c>
      <c r="E491">
        <v>2021</v>
      </c>
      <c r="F491" s="2">
        <f>DATE(Table1[[#This Row],[Tahun]],Table1[[#This Row],[Bulan]],1)</f>
        <v>44317</v>
      </c>
      <c r="G491">
        <v>777</v>
      </c>
      <c r="H491">
        <v>654</v>
      </c>
      <c r="I491" s="6">
        <f>(Table1[[#This Row],[Aktual]]-Table1[[#This Row],[Target]])</f>
        <v>123</v>
      </c>
      <c r="J491" s="3">
        <f>(Table1[[#This Row],[Aktual]]-Table1[[#This Row],[Target]])/Table1[[#This Row],[Target]]</f>
        <v>0.18807339449541285</v>
      </c>
      <c r="K491" t="str">
        <f>IF(Table1[[#This Row],[Performance Gap (%)]]&lt;0,"Tidak mencapai target", IF(Table1[[#This Row],[Performance Gap (%)]]=0,"Mencapai target", "Melebihi Target"))</f>
        <v>Melebihi Target</v>
      </c>
      <c r="L491">
        <f>VLOOKUP(Table1[[#This Row],[Propinsi]]&amp;"_"&amp;Table1[[#This Row],[Dati 2]]&amp;"_"&amp;Table1[[#This Row],[Tanggal]],Table2[[#All],[Kompetitor area]:[Jumlah Kompetitor]],7,0)</f>
        <v>148</v>
      </c>
      <c r="M491">
        <f>Table1[[#This Row],[Aktual]]-Table1[[#This Row],[Jumlah Kompetitor]]</f>
        <v>629</v>
      </c>
      <c r="N491" t="str">
        <f>IF(Table1[[#This Row],[vs Kompetitor]]&gt;0,"Win", "Lose")</f>
        <v>Win</v>
      </c>
    </row>
    <row r="492" spans="1:14" x14ac:dyDescent="0.25">
      <c r="A492">
        <v>491</v>
      </c>
      <c r="B492" t="s">
        <v>6</v>
      </c>
      <c r="C492" t="s">
        <v>45</v>
      </c>
      <c r="D492">
        <v>5</v>
      </c>
      <c r="E492">
        <v>2021</v>
      </c>
      <c r="F492" s="2">
        <f>DATE(Table1[[#This Row],[Tahun]],Table1[[#This Row],[Bulan]],1)</f>
        <v>44317</v>
      </c>
      <c r="G492">
        <v>992</v>
      </c>
      <c r="H492">
        <v>773</v>
      </c>
      <c r="I492" s="6">
        <f>(Table1[[#This Row],[Aktual]]-Table1[[#This Row],[Target]])</f>
        <v>219</v>
      </c>
      <c r="J492" s="3">
        <f>(Table1[[#This Row],[Aktual]]-Table1[[#This Row],[Target]])/Table1[[#This Row],[Target]]</f>
        <v>0.2833117723156533</v>
      </c>
      <c r="K492" t="str">
        <f>IF(Table1[[#This Row],[Performance Gap (%)]]&lt;0,"Tidak mencapai target", IF(Table1[[#This Row],[Performance Gap (%)]]=0,"Mencapai target", "Melebihi Target"))</f>
        <v>Melebihi Target</v>
      </c>
      <c r="L492">
        <f>VLOOKUP(Table1[[#This Row],[Propinsi]]&amp;"_"&amp;Table1[[#This Row],[Dati 2]]&amp;"_"&amp;Table1[[#This Row],[Tanggal]],Table2[[#All],[Kompetitor area]:[Jumlah Kompetitor]],7,0)</f>
        <v>235</v>
      </c>
      <c r="M492">
        <f>Table1[[#This Row],[Aktual]]-Table1[[#This Row],[Jumlah Kompetitor]]</f>
        <v>757</v>
      </c>
      <c r="N492" t="str">
        <f>IF(Table1[[#This Row],[vs Kompetitor]]&gt;0,"Win", "Lose")</f>
        <v>Win</v>
      </c>
    </row>
    <row r="493" spans="1:14" x14ac:dyDescent="0.25">
      <c r="A493">
        <v>492</v>
      </c>
      <c r="B493" t="s">
        <v>6</v>
      </c>
      <c r="C493" t="s">
        <v>46</v>
      </c>
      <c r="D493">
        <v>5</v>
      </c>
      <c r="E493">
        <v>2021</v>
      </c>
      <c r="F493" s="2">
        <f>DATE(Table1[[#This Row],[Tahun]],Table1[[#This Row],[Bulan]],1)</f>
        <v>44317</v>
      </c>
      <c r="G493">
        <v>121</v>
      </c>
      <c r="H493">
        <v>101</v>
      </c>
      <c r="I493" s="6">
        <f>(Table1[[#This Row],[Aktual]]-Table1[[#This Row],[Target]])</f>
        <v>20</v>
      </c>
      <c r="J493" s="3">
        <f>(Table1[[#This Row],[Aktual]]-Table1[[#This Row],[Target]])/Table1[[#This Row],[Target]]</f>
        <v>0.19801980198019803</v>
      </c>
      <c r="K493" t="str">
        <f>IF(Table1[[#This Row],[Performance Gap (%)]]&lt;0,"Tidak mencapai target", IF(Table1[[#This Row],[Performance Gap (%)]]=0,"Mencapai target", "Melebihi Target"))</f>
        <v>Melebihi Target</v>
      </c>
      <c r="L493">
        <f>VLOOKUP(Table1[[#This Row],[Propinsi]]&amp;"_"&amp;Table1[[#This Row],[Dati 2]]&amp;"_"&amp;Table1[[#This Row],[Tanggal]],Table2[[#All],[Kompetitor area]:[Jumlah Kompetitor]],7,0)</f>
        <v>143</v>
      </c>
      <c r="M493">
        <f>Table1[[#This Row],[Aktual]]-Table1[[#This Row],[Jumlah Kompetitor]]</f>
        <v>-22</v>
      </c>
      <c r="N493" t="str">
        <f>IF(Table1[[#This Row],[vs Kompetitor]]&gt;0,"Win", "Lose")</f>
        <v>Lose</v>
      </c>
    </row>
    <row r="494" spans="1:14" x14ac:dyDescent="0.25">
      <c r="A494">
        <v>493</v>
      </c>
      <c r="B494" t="s">
        <v>6</v>
      </c>
      <c r="C494" t="s">
        <v>47</v>
      </c>
      <c r="D494">
        <v>5</v>
      </c>
      <c r="E494">
        <v>2021</v>
      </c>
      <c r="F494" s="2">
        <f>DATE(Table1[[#This Row],[Tahun]],Table1[[#This Row],[Bulan]],1)</f>
        <v>44317</v>
      </c>
      <c r="G494">
        <v>1318</v>
      </c>
      <c r="H494">
        <v>1193</v>
      </c>
      <c r="I494" s="6">
        <f>(Table1[[#This Row],[Aktual]]-Table1[[#This Row],[Target]])</f>
        <v>125</v>
      </c>
      <c r="J494" s="3">
        <f>(Table1[[#This Row],[Aktual]]-Table1[[#This Row],[Target]])/Table1[[#This Row],[Target]]</f>
        <v>0.10477787091366303</v>
      </c>
      <c r="K494" t="str">
        <f>IF(Table1[[#This Row],[Performance Gap (%)]]&lt;0,"Tidak mencapai target", IF(Table1[[#This Row],[Performance Gap (%)]]=0,"Mencapai target", "Melebihi Target"))</f>
        <v>Melebihi Target</v>
      </c>
      <c r="L494">
        <f>VLOOKUP(Table1[[#This Row],[Propinsi]]&amp;"_"&amp;Table1[[#This Row],[Dati 2]]&amp;"_"&amp;Table1[[#This Row],[Tanggal]],Table2[[#All],[Kompetitor area]:[Jumlah Kompetitor]],7,0)</f>
        <v>27</v>
      </c>
      <c r="M494">
        <f>Table1[[#This Row],[Aktual]]-Table1[[#This Row],[Jumlah Kompetitor]]</f>
        <v>1291</v>
      </c>
      <c r="N494" t="str">
        <f>IF(Table1[[#This Row],[vs Kompetitor]]&gt;0,"Win", "Lose")</f>
        <v>Win</v>
      </c>
    </row>
    <row r="495" spans="1:14" x14ac:dyDescent="0.25">
      <c r="A495">
        <v>494</v>
      </c>
      <c r="B495" t="s">
        <v>6</v>
      </c>
      <c r="C495" t="s">
        <v>48</v>
      </c>
      <c r="D495">
        <v>5</v>
      </c>
      <c r="E495">
        <v>2021</v>
      </c>
      <c r="F495" s="2">
        <f>DATE(Table1[[#This Row],[Tahun]],Table1[[#This Row],[Bulan]],1)</f>
        <v>44317</v>
      </c>
      <c r="G495">
        <v>579</v>
      </c>
      <c r="H495">
        <v>551</v>
      </c>
      <c r="I495" s="6">
        <f>(Table1[[#This Row],[Aktual]]-Table1[[#This Row],[Target]])</f>
        <v>28</v>
      </c>
      <c r="J495" s="3">
        <f>(Table1[[#This Row],[Aktual]]-Table1[[#This Row],[Target]])/Table1[[#This Row],[Target]]</f>
        <v>5.0816696914700546E-2</v>
      </c>
      <c r="K495" t="str">
        <f>IF(Table1[[#This Row],[Performance Gap (%)]]&lt;0,"Tidak mencapai target", IF(Table1[[#This Row],[Performance Gap (%)]]=0,"Mencapai target", "Melebihi Target"))</f>
        <v>Melebihi Target</v>
      </c>
      <c r="L495">
        <f>VLOOKUP(Table1[[#This Row],[Propinsi]]&amp;"_"&amp;Table1[[#This Row],[Dati 2]]&amp;"_"&amp;Table1[[#This Row],[Tanggal]],Table2[[#All],[Kompetitor area]:[Jumlah Kompetitor]],7,0)</f>
        <v>34</v>
      </c>
      <c r="M495">
        <f>Table1[[#This Row],[Aktual]]-Table1[[#This Row],[Jumlah Kompetitor]]</f>
        <v>545</v>
      </c>
      <c r="N495" t="str">
        <f>IF(Table1[[#This Row],[vs Kompetitor]]&gt;0,"Win", "Lose")</f>
        <v>Win</v>
      </c>
    </row>
    <row r="496" spans="1:14" x14ac:dyDescent="0.25">
      <c r="A496">
        <v>495</v>
      </c>
      <c r="B496" t="s">
        <v>6</v>
      </c>
      <c r="C496" t="s">
        <v>49</v>
      </c>
      <c r="D496">
        <v>5</v>
      </c>
      <c r="E496">
        <v>2021</v>
      </c>
      <c r="F496" s="2">
        <f>DATE(Table1[[#This Row],[Tahun]],Table1[[#This Row],[Bulan]],1)</f>
        <v>44317</v>
      </c>
      <c r="G496">
        <v>1174</v>
      </c>
      <c r="H496">
        <v>1064</v>
      </c>
      <c r="I496" s="6">
        <f>(Table1[[#This Row],[Aktual]]-Table1[[#This Row],[Target]])</f>
        <v>110</v>
      </c>
      <c r="J496" s="3">
        <f>(Table1[[#This Row],[Aktual]]-Table1[[#This Row],[Target]])/Table1[[#This Row],[Target]]</f>
        <v>0.10338345864661654</v>
      </c>
      <c r="K496" t="str">
        <f>IF(Table1[[#This Row],[Performance Gap (%)]]&lt;0,"Tidak mencapai target", IF(Table1[[#This Row],[Performance Gap (%)]]=0,"Mencapai target", "Melebihi Target"))</f>
        <v>Melebihi Target</v>
      </c>
      <c r="L496">
        <f>VLOOKUP(Table1[[#This Row],[Propinsi]]&amp;"_"&amp;Table1[[#This Row],[Dati 2]]&amp;"_"&amp;Table1[[#This Row],[Tanggal]],Table2[[#All],[Kompetitor area]:[Jumlah Kompetitor]],7,0)</f>
        <v>134</v>
      </c>
      <c r="M496">
        <f>Table1[[#This Row],[Aktual]]-Table1[[#This Row],[Jumlah Kompetitor]]</f>
        <v>1040</v>
      </c>
      <c r="N496" t="str">
        <f>IF(Table1[[#This Row],[vs Kompetitor]]&gt;0,"Win", "Lose")</f>
        <v>Win</v>
      </c>
    </row>
    <row r="497" spans="1:14" x14ac:dyDescent="0.25">
      <c r="A497">
        <v>496</v>
      </c>
      <c r="B497" t="s">
        <v>6</v>
      </c>
      <c r="C497" t="s">
        <v>50</v>
      </c>
      <c r="D497">
        <v>5</v>
      </c>
      <c r="E497">
        <v>2021</v>
      </c>
      <c r="F497" s="2">
        <f>DATE(Table1[[#This Row],[Tahun]],Table1[[#This Row],[Bulan]],1)</f>
        <v>44317</v>
      </c>
      <c r="G497">
        <v>863</v>
      </c>
      <c r="H497">
        <v>877</v>
      </c>
      <c r="I497" s="6">
        <f>(Table1[[#This Row],[Aktual]]-Table1[[#This Row],[Target]])</f>
        <v>-14</v>
      </c>
      <c r="J497" s="3">
        <f>(Table1[[#This Row],[Aktual]]-Table1[[#This Row],[Target]])/Table1[[#This Row],[Target]]</f>
        <v>-1.596351197263398E-2</v>
      </c>
      <c r="K497" t="str">
        <f>IF(Table1[[#This Row],[Performance Gap (%)]]&lt;0,"Tidak mencapai target", IF(Table1[[#This Row],[Performance Gap (%)]]=0,"Mencapai target", "Melebihi Target"))</f>
        <v>Tidak mencapai target</v>
      </c>
      <c r="L497">
        <f>VLOOKUP(Table1[[#This Row],[Propinsi]]&amp;"_"&amp;Table1[[#This Row],[Dati 2]]&amp;"_"&amp;Table1[[#This Row],[Tanggal]],Table2[[#All],[Kompetitor area]:[Jumlah Kompetitor]],7,0)</f>
        <v>108</v>
      </c>
      <c r="M497">
        <f>Table1[[#This Row],[Aktual]]-Table1[[#This Row],[Jumlah Kompetitor]]</f>
        <v>755</v>
      </c>
      <c r="N497" t="str">
        <f>IF(Table1[[#This Row],[vs Kompetitor]]&gt;0,"Win", "Lose")</f>
        <v>Win</v>
      </c>
    </row>
    <row r="498" spans="1:14" x14ac:dyDescent="0.25">
      <c r="A498">
        <v>497</v>
      </c>
      <c r="B498" t="s">
        <v>6</v>
      </c>
      <c r="C498" t="s">
        <v>51</v>
      </c>
      <c r="D498">
        <v>5</v>
      </c>
      <c r="E498">
        <v>2021</v>
      </c>
      <c r="F498" s="2">
        <f>DATE(Table1[[#This Row],[Tahun]],Table1[[#This Row],[Bulan]],1)</f>
        <v>44317</v>
      </c>
      <c r="G498">
        <v>156</v>
      </c>
      <c r="H498">
        <v>158</v>
      </c>
      <c r="I498" s="6">
        <f>(Table1[[#This Row],[Aktual]]-Table1[[#This Row],[Target]])</f>
        <v>-2</v>
      </c>
      <c r="J498" s="3">
        <f>(Table1[[#This Row],[Aktual]]-Table1[[#This Row],[Target]])/Table1[[#This Row],[Target]]</f>
        <v>-1.2658227848101266E-2</v>
      </c>
      <c r="K498" t="str">
        <f>IF(Table1[[#This Row],[Performance Gap (%)]]&lt;0,"Tidak mencapai target", IF(Table1[[#This Row],[Performance Gap (%)]]=0,"Mencapai target", "Melebihi Target"))</f>
        <v>Tidak mencapai target</v>
      </c>
      <c r="L498">
        <f>VLOOKUP(Table1[[#This Row],[Propinsi]]&amp;"_"&amp;Table1[[#This Row],[Dati 2]]&amp;"_"&amp;Table1[[#This Row],[Tanggal]],Table2[[#All],[Kompetitor area]:[Jumlah Kompetitor]],7,0)</f>
        <v>102</v>
      </c>
      <c r="M498">
        <f>Table1[[#This Row],[Aktual]]-Table1[[#This Row],[Jumlah Kompetitor]]</f>
        <v>54</v>
      </c>
      <c r="N498" t="str">
        <f>IF(Table1[[#This Row],[vs Kompetitor]]&gt;0,"Win", "Lose")</f>
        <v>Win</v>
      </c>
    </row>
    <row r="499" spans="1:14" x14ac:dyDescent="0.25">
      <c r="A499">
        <v>498</v>
      </c>
      <c r="B499" t="s">
        <v>6</v>
      </c>
      <c r="C499" t="s">
        <v>52</v>
      </c>
      <c r="D499">
        <v>5</v>
      </c>
      <c r="E499">
        <v>2021</v>
      </c>
      <c r="F499" s="2">
        <f>DATE(Table1[[#This Row],[Tahun]],Table1[[#This Row],[Bulan]],1)</f>
        <v>44317</v>
      </c>
      <c r="G499">
        <v>526</v>
      </c>
      <c r="H499">
        <v>552</v>
      </c>
      <c r="I499" s="6">
        <f>(Table1[[#This Row],[Aktual]]-Table1[[#This Row],[Target]])</f>
        <v>-26</v>
      </c>
      <c r="J499" s="3">
        <f>(Table1[[#This Row],[Aktual]]-Table1[[#This Row],[Target]])/Table1[[#This Row],[Target]]</f>
        <v>-4.710144927536232E-2</v>
      </c>
      <c r="K499" t="str">
        <f>IF(Table1[[#This Row],[Performance Gap (%)]]&lt;0,"Tidak mencapai target", IF(Table1[[#This Row],[Performance Gap (%)]]=0,"Mencapai target", "Melebihi Target"))</f>
        <v>Tidak mencapai target</v>
      </c>
      <c r="L499">
        <f>VLOOKUP(Table1[[#This Row],[Propinsi]]&amp;"_"&amp;Table1[[#This Row],[Dati 2]]&amp;"_"&amp;Table1[[#This Row],[Tanggal]],Table2[[#All],[Kompetitor area]:[Jumlah Kompetitor]],7,0)</f>
        <v>119</v>
      </c>
      <c r="M499">
        <f>Table1[[#This Row],[Aktual]]-Table1[[#This Row],[Jumlah Kompetitor]]</f>
        <v>407</v>
      </c>
      <c r="N499" t="str">
        <f>IF(Table1[[#This Row],[vs Kompetitor]]&gt;0,"Win", "Lose")</f>
        <v>Win</v>
      </c>
    </row>
    <row r="500" spans="1:14" x14ac:dyDescent="0.25">
      <c r="A500">
        <v>499</v>
      </c>
      <c r="B500" t="s">
        <v>6</v>
      </c>
      <c r="C500" t="s">
        <v>53</v>
      </c>
      <c r="D500">
        <v>5</v>
      </c>
      <c r="E500">
        <v>2021</v>
      </c>
      <c r="F500" s="2">
        <f>DATE(Table1[[#This Row],[Tahun]],Table1[[#This Row],[Bulan]],1)</f>
        <v>44317</v>
      </c>
      <c r="G500">
        <v>475</v>
      </c>
      <c r="H500">
        <v>462</v>
      </c>
      <c r="I500" s="6">
        <f>(Table1[[#This Row],[Aktual]]-Table1[[#This Row],[Target]])</f>
        <v>13</v>
      </c>
      <c r="J500" s="3">
        <f>(Table1[[#This Row],[Aktual]]-Table1[[#This Row],[Target]])/Table1[[#This Row],[Target]]</f>
        <v>2.813852813852814E-2</v>
      </c>
      <c r="K500" t="str">
        <f>IF(Table1[[#This Row],[Performance Gap (%)]]&lt;0,"Tidak mencapai target", IF(Table1[[#This Row],[Performance Gap (%)]]=0,"Mencapai target", "Melebihi Target"))</f>
        <v>Melebihi Target</v>
      </c>
      <c r="L500">
        <f>VLOOKUP(Table1[[#This Row],[Propinsi]]&amp;"_"&amp;Table1[[#This Row],[Dati 2]]&amp;"_"&amp;Table1[[#This Row],[Tanggal]],Table2[[#All],[Kompetitor area]:[Jumlah Kompetitor]],7,0)</f>
        <v>228</v>
      </c>
      <c r="M500">
        <f>Table1[[#This Row],[Aktual]]-Table1[[#This Row],[Jumlah Kompetitor]]</f>
        <v>247</v>
      </c>
      <c r="N500" t="str">
        <f>IF(Table1[[#This Row],[vs Kompetitor]]&gt;0,"Win", "Lose")</f>
        <v>Win</v>
      </c>
    </row>
    <row r="501" spans="1:14" x14ac:dyDescent="0.25">
      <c r="A501">
        <v>500</v>
      </c>
      <c r="B501" t="s">
        <v>6</v>
      </c>
      <c r="C501" t="s">
        <v>54</v>
      </c>
      <c r="D501">
        <v>5</v>
      </c>
      <c r="E501">
        <v>2021</v>
      </c>
      <c r="F501" s="2">
        <f>DATE(Table1[[#This Row],[Tahun]],Table1[[#This Row],[Bulan]],1)</f>
        <v>44317</v>
      </c>
      <c r="G501">
        <v>539</v>
      </c>
      <c r="H501">
        <v>508</v>
      </c>
      <c r="I501" s="6">
        <f>(Table1[[#This Row],[Aktual]]-Table1[[#This Row],[Target]])</f>
        <v>31</v>
      </c>
      <c r="J501" s="3">
        <f>(Table1[[#This Row],[Aktual]]-Table1[[#This Row],[Target]])/Table1[[#This Row],[Target]]</f>
        <v>6.1023622047244097E-2</v>
      </c>
      <c r="K501" t="str">
        <f>IF(Table1[[#This Row],[Performance Gap (%)]]&lt;0,"Tidak mencapai target", IF(Table1[[#This Row],[Performance Gap (%)]]=0,"Mencapai target", "Melebihi Target"))</f>
        <v>Melebihi Target</v>
      </c>
      <c r="L501">
        <f>VLOOKUP(Table1[[#This Row],[Propinsi]]&amp;"_"&amp;Table1[[#This Row],[Dati 2]]&amp;"_"&amp;Table1[[#This Row],[Tanggal]],Table2[[#All],[Kompetitor area]:[Jumlah Kompetitor]],7,0)</f>
        <v>267</v>
      </c>
      <c r="M501">
        <f>Table1[[#This Row],[Aktual]]-Table1[[#This Row],[Jumlah Kompetitor]]</f>
        <v>272</v>
      </c>
      <c r="N501" t="str">
        <f>IF(Table1[[#This Row],[vs Kompetitor]]&gt;0,"Win", "Lose")</f>
        <v>Win</v>
      </c>
    </row>
    <row r="502" spans="1:14" x14ac:dyDescent="0.25">
      <c r="A502">
        <v>501</v>
      </c>
      <c r="B502" t="s">
        <v>6</v>
      </c>
      <c r="C502" t="s">
        <v>55</v>
      </c>
      <c r="D502">
        <v>5</v>
      </c>
      <c r="E502">
        <v>2021</v>
      </c>
      <c r="F502" s="2">
        <f>DATE(Table1[[#This Row],[Tahun]],Table1[[#This Row],[Bulan]],1)</f>
        <v>44317</v>
      </c>
      <c r="G502">
        <v>320</v>
      </c>
      <c r="H502">
        <v>294</v>
      </c>
      <c r="I502" s="6">
        <f>(Table1[[#This Row],[Aktual]]-Table1[[#This Row],[Target]])</f>
        <v>26</v>
      </c>
      <c r="J502" s="3">
        <f>(Table1[[#This Row],[Aktual]]-Table1[[#This Row],[Target]])/Table1[[#This Row],[Target]]</f>
        <v>8.8435374149659865E-2</v>
      </c>
      <c r="K502" t="str">
        <f>IF(Table1[[#This Row],[Performance Gap (%)]]&lt;0,"Tidak mencapai target", IF(Table1[[#This Row],[Performance Gap (%)]]=0,"Mencapai target", "Melebihi Target"))</f>
        <v>Melebihi Target</v>
      </c>
      <c r="L502">
        <f>VLOOKUP(Table1[[#This Row],[Propinsi]]&amp;"_"&amp;Table1[[#This Row],[Dati 2]]&amp;"_"&amp;Table1[[#This Row],[Tanggal]],Table2[[#All],[Kompetitor area]:[Jumlah Kompetitor]],7,0)</f>
        <v>218</v>
      </c>
      <c r="M502">
        <f>Table1[[#This Row],[Aktual]]-Table1[[#This Row],[Jumlah Kompetitor]]</f>
        <v>102</v>
      </c>
      <c r="N502" t="str">
        <f>IF(Table1[[#This Row],[vs Kompetitor]]&gt;0,"Win", "Lose")</f>
        <v>Win</v>
      </c>
    </row>
    <row r="503" spans="1:14" x14ac:dyDescent="0.25">
      <c r="A503">
        <v>502</v>
      </c>
      <c r="B503" t="s">
        <v>6</v>
      </c>
      <c r="C503" t="s">
        <v>56</v>
      </c>
      <c r="D503">
        <v>5</v>
      </c>
      <c r="E503">
        <v>2021</v>
      </c>
      <c r="F503" s="2">
        <f>DATE(Table1[[#This Row],[Tahun]],Table1[[#This Row],[Bulan]],1)</f>
        <v>44317</v>
      </c>
      <c r="G503">
        <v>148</v>
      </c>
      <c r="H503">
        <v>140</v>
      </c>
      <c r="I503" s="6">
        <f>(Table1[[#This Row],[Aktual]]-Table1[[#This Row],[Target]])</f>
        <v>8</v>
      </c>
      <c r="J503" s="3">
        <f>(Table1[[#This Row],[Aktual]]-Table1[[#This Row],[Target]])/Table1[[#This Row],[Target]]</f>
        <v>5.7142857142857141E-2</v>
      </c>
      <c r="K503" t="str">
        <f>IF(Table1[[#This Row],[Performance Gap (%)]]&lt;0,"Tidak mencapai target", IF(Table1[[#This Row],[Performance Gap (%)]]=0,"Mencapai target", "Melebihi Target"))</f>
        <v>Melebihi Target</v>
      </c>
      <c r="L503">
        <f>VLOOKUP(Table1[[#This Row],[Propinsi]]&amp;"_"&amp;Table1[[#This Row],[Dati 2]]&amp;"_"&amp;Table1[[#This Row],[Tanggal]],Table2[[#All],[Kompetitor area]:[Jumlah Kompetitor]],7,0)</f>
        <v>149</v>
      </c>
      <c r="M503">
        <f>Table1[[#This Row],[Aktual]]-Table1[[#This Row],[Jumlah Kompetitor]]</f>
        <v>-1</v>
      </c>
      <c r="N503" t="str">
        <f>IF(Table1[[#This Row],[vs Kompetitor]]&gt;0,"Win", "Lose")</f>
        <v>Lose</v>
      </c>
    </row>
    <row r="504" spans="1:14" x14ac:dyDescent="0.25">
      <c r="A504">
        <v>503</v>
      </c>
      <c r="B504" t="s">
        <v>6</v>
      </c>
      <c r="C504" t="s">
        <v>57</v>
      </c>
      <c r="D504">
        <v>5</v>
      </c>
      <c r="E504">
        <v>2021</v>
      </c>
      <c r="F504" s="2">
        <f>DATE(Table1[[#This Row],[Tahun]],Table1[[#This Row],[Bulan]],1)</f>
        <v>44317</v>
      </c>
      <c r="G504">
        <v>603</v>
      </c>
      <c r="H504">
        <v>487</v>
      </c>
      <c r="I504" s="6">
        <f>(Table1[[#This Row],[Aktual]]-Table1[[#This Row],[Target]])</f>
        <v>116</v>
      </c>
      <c r="J504" s="3">
        <f>(Table1[[#This Row],[Aktual]]-Table1[[#This Row],[Target]])/Table1[[#This Row],[Target]]</f>
        <v>0.23819301848049282</v>
      </c>
      <c r="K504" t="str">
        <f>IF(Table1[[#This Row],[Performance Gap (%)]]&lt;0,"Tidak mencapai target", IF(Table1[[#This Row],[Performance Gap (%)]]=0,"Mencapai target", "Melebihi Target"))</f>
        <v>Melebihi Target</v>
      </c>
      <c r="L504">
        <f>VLOOKUP(Table1[[#This Row],[Propinsi]]&amp;"_"&amp;Table1[[#This Row],[Dati 2]]&amp;"_"&amp;Table1[[#This Row],[Tanggal]],Table2[[#All],[Kompetitor area]:[Jumlah Kompetitor]],7,0)</f>
        <v>20</v>
      </c>
      <c r="M504">
        <f>Table1[[#This Row],[Aktual]]-Table1[[#This Row],[Jumlah Kompetitor]]</f>
        <v>583</v>
      </c>
      <c r="N504" t="str">
        <f>IF(Table1[[#This Row],[vs Kompetitor]]&gt;0,"Win", "Lose")</f>
        <v>Win</v>
      </c>
    </row>
    <row r="505" spans="1:14" x14ac:dyDescent="0.25">
      <c r="A505">
        <v>504</v>
      </c>
      <c r="B505" t="s">
        <v>6</v>
      </c>
      <c r="C505" t="s">
        <v>58</v>
      </c>
      <c r="D505">
        <v>5</v>
      </c>
      <c r="E505">
        <v>2021</v>
      </c>
      <c r="F505" s="2">
        <f>DATE(Table1[[#This Row],[Tahun]],Table1[[#This Row],[Bulan]],1)</f>
        <v>44317</v>
      </c>
      <c r="G505">
        <v>589</v>
      </c>
      <c r="H505">
        <v>497</v>
      </c>
      <c r="I505" s="6">
        <f>(Table1[[#This Row],[Aktual]]-Table1[[#This Row],[Target]])</f>
        <v>92</v>
      </c>
      <c r="J505" s="3">
        <f>(Table1[[#This Row],[Aktual]]-Table1[[#This Row],[Target]])/Table1[[#This Row],[Target]]</f>
        <v>0.18511066398390341</v>
      </c>
      <c r="K505" t="str">
        <f>IF(Table1[[#This Row],[Performance Gap (%)]]&lt;0,"Tidak mencapai target", IF(Table1[[#This Row],[Performance Gap (%)]]=0,"Mencapai target", "Melebihi Target"))</f>
        <v>Melebihi Target</v>
      </c>
      <c r="L505">
        <f>VLOOKUP(Table1[[#This Row],[Propinsi]]&amp;"_"&amp;Table1[[#This Row],[Dati 2]]&amp;"_"&amp;Table1[[#This Row],[Tanggal]],Table2[[#All],[Kompetitor area]:[Jumlah Kompetitor]],7,0)</f>
        <v>112</v>
      </c>
      <c r="M505">
        <f>Table1[[#This Row],[Aktual]]-Table1[[#This Row],[Jumlah Kompetitor]]</f>
        <v>477</v>
      </c>
      <c r="N505" t="str">
        <f>IF(Table1[[#This Row],[vs Kompetitor]]&gt;0,"Win", "Lose")</f>
        <v>Win</v>
      </c>
    </row>
    <row r="506" spans="1:14" x14ac:dyDescent="0.25">
      <c r="A506">
        <v>505</v>
      </c>
      <c r="B506" t="s">
        <v>6</v>
      </c>
      <c r="C506" t="s">
        <v>59</v>
      </c>
      <c r="D506">
        <v>5</v>
      </c>
      <c r="E506">
        <v>2021</v>
      </c>
      <c r="F506" s="2">
        <f>DATE(Table1[[#This Row],[Tahun]],Table1[[#This Row],[Bulan]],1)</f>
        <v>44317</v>
      </c>
      <c r="G506">
        <v>172</v>
      </c>
      <c r="H506">
        <v>149</v>
      </c>
      <c r="I506" s="6">
        <f>(Table1[[#This Row],[Aktual]]-Table1[[#This Row],[Target]])</f>
        <v>23</v>
      </c>
      <c r="J506" s="3">
        <f>(Table1[[#This Row],[Aktual]]-Table1[[#This Row],[Target]])/Table1[[#This Row],[Target]]</f>
        <v>0.15436241610738255</v>
      </c>
      <c r="K506" t="str">
        <f>IF(Table1[[#This Row],[Performance Gap (%)]]&lt;0,"Tidak mencapai target", IF(Table1[[#This Row],[Performance Gap (%)]]=0,"Mencapai target", "Melebihi Target"))</f>
        <v>Melebihi Target</v>
      </c>
      <c r="L506">
        <f>VLOOKUP(Table1[[#This Row],[Propinsi]]&amp;"_"&amp;Table1[[#This Row],[Dati 2]]&amp;"_"&amp;Table1[[#This Row],[Tanggal]],Table2[[#All],[Kompetitor area]:[Jumlah Kompetitor]],7,0)</f>
        <v>131</v>
      </c>
      <c r="M506">
        <f>Table1[[#This Row],[Aktual]]-Table1[[#This Row],[Jumlah Kompetitor]]</f>
        <v>41</v>
      </c>
      <c r="N506" t="str">
        <f>IF(Table1[[#This Row],[vs Kompetitor]]&gt;0,"Win", "Lose")</f>
        <v>Win</v>
      </c>
    </row>
    <row r="507" spans="1:14" x14ac:dyDescent="0.25">
      <c r="A507">
        <v>506</v>
      </c>
      <c r="B507" t="s">
        <v>6</v>
      </c>
      <c r="C507" t="s">
        <v>60</v>
      </c>
      <c r="D507">
        <v>5</v>
      </c>
      <c r="E507">
        <v>2021</v>
      </c>
      <c r="F507" s="2">
        <f>DATE(Table1[[#This Row],[Tahun]],Table1[[#This Row],[Bulan]],1)</f>
        <v>44317</v>
      </c>
      <c r="G507">
        <v>75</v>
      </c>
      <c r="H507">
        <v>73</v>
      </c>
      <c r="I507" s="6">
        <f>(Table1[[#This Row],[Aktual]]-Table1[[#This Row],[Target]])</f>
        <v>2</v>
      </c>
      <c r="J507" s="3">
        <f>(Table1[[#This Row],[Aktual]]-Table1[[#This Row],[Target]])/Table1[[#This Row],[Target]]</f>
        <v>2.7397260273972601E-2</v>
      </c>
      <c r="K507" t="str">
        <f>IF(Table1[[#This Row],[Performance Gap (%)]]&lt;0,"Tidak mencapai target", IF(Table1[[#This Row],[Performance Gap (%)]]=0,"Mencapai target", "Melebihi Target"))</f>
        <v>Melebihi Target</v>
      </c>
      <c r="L507">
        <f>VLOOKUP(Table1[[#This Row],[Propinsi]]&amp;"_"&amp;Table1[[#This Row],[Dati 2]]&amp;"_"&amp;Table1[[#This Row],[Tanggal]],Table2[[#All],[Kompetitor area]:[Jumlah Kompetitor]],7,0)</f>
        <v>99</v>
      </c>
      <c r="M507">
        <f>Table1[[#This Row],[Aktual]]-Table1[[#This Row],[Jumlah Kompetitor]]</f>
        <v>-24</v>
      </c>
      <c r="N507" t="str">
        <f>IF(Table1[[#This Row],[vs Kompetitor]]&gt;0,"Win", "Lose")</f>
        <v>Lose</v>
      </c>
    </row>
    <row r="508" spans="1:14" x14ac:dyDescent="0.25">
      <c r="A508">
        <v>507</v>
      </c>
      <c r="B508" t="s">
        <v>6</v>
      </c>
      <c r="C508" t="s">
        <v>61</v>
      </c>
      <c r="D508">
        <v>5</v>
      </c>
      <c r="E508">
        <v>2021</v>
      </c>
      <c r="F508" s="2">
        <f>DATE(Table1[[#This Row],[Tahun]],Table1[[#This Row],[Bulan]],1)</f>
        <v>44317</v>
      </c>
      <c r="G508">
        <v>537</v>
      </c>
      <c r="H508">
        <v>523</v>
      </c>
      <c r="I508" s="6">
        <f>(Table1[[#This Row],[Aktual]]-Table1[[#This Row],[Target]])</f>
        <v>14</v>
      </c>
      <c r="J508" s="3">
        <f>(Table1[[#This Row],[Aktual]]-Table1[[#This Row],[Target]])/Table1[[#This Row],[Target]]</f>
        <v>2.676864244741874E-2</v>
      </c>
      <c r="K508" t="str">
        <f>IF(Table1[[#This Row],[Performance Gap (%)]]&lt;0,"Tidak mencapai target", IF(Table1[[#This Row],[Performance Gap (%)]]=0,"Mencapai target", "Melebihi Target"))</f>
        <v>Melebihi Target</v>
      </c>
      <c r="L508">
        <f>VLOOKUP(Table1[[#This Row],[Propinsi]]&amp;"_"&amp;Table1[[#This Row],[Dati 2]]&amp;"_"&amp;Table1[[#This Row],[Tanggal]],Table2[[#All],[Kompetitor area]:[Jumlah Kompetitor]],7,0)</f>
        <v>164</v>
      </c>
      <c r="M508">
        <f>Table1[[#This Row],[Aktual]]-Table1[[#This Row],[Jumlah Kompetitor]]</f>
        <v>373</v>
      </c>
      <c r="N508" t="str">
        <f>IF(Table1[[#This Row],[vs Kompetitor]]&gt;0,"Win", "Lose")</f>
        <v>Win</v>
      </c>
    </row>
    <row r="509" spans="1:14" x14ac:dyDescent="0.25">
      <c r="A509">
        <v>508</v>
      </c>
      <c r="B509" t="s">
        <v>3</v>
      </c>
      <c r="C509" t="s">
        <v>62</v>
      </c>
      <c r="D509">
        <v>5</v>
      </c>
      <c r="E509">
        <v>2021</v>
      </c>
      <c r="F509" s="2">
        <f>DATE(Table1[[#This Row],[Tahun]],Table1[[#This Row],[Bulan]],1)</f>
        <v>44317</v>
      </c>
      <c r="G509">
        <v>718</v>
      </c>
      <c r="H509">
        <v>618</v>
      </c>
      <c r="I509" s="6">
        <f>(Table1[[#This Row],[Aktual]]-Table1[[#This Row],[Target]])</f>
        <v>100</v>
      </c>
      <c r="J509" s="3">
        <f>(Table1[[#This Row],[Aktual]]-Table1[[#This Row],[Target]])/Table1[[#This Row],[Target]]</f>
        <v>0.16181229773462782</v>
      </c>
      <c r="K509" t="str">
        <f>IF(Table1[[#This Row],[Performance Gap (%)]]&lt;0,"Tidak mencapai target", IF(Table1[[#This Row],[Performance Gap (%)]]=0,"Mencapai target", "Melebihi Target"))</f>
        <v>Melebihi Target</v>
      </c>
      <c r="L509">
        <f>VLOOKUP(Table1[[#This Row],[Propinsi]]&amp;"_"&amp;Table1[[#This Row],[Dati 2]]&amp;"_"&amp;Table1[[#This Row],[Tanggal]],Table2[[#All],[Kompetitor area]:[Jumlah Kompetitor]],7,0)</f>
        <v>279</v>
      </c>
      <c r="M509">
        <f>Table1[[#This Row],[Aktual]]-Table1[[#This Row],[Jumlah Kompetitor]]</f>
        <v>439</v>
      </c>
      <c r="N509" t="str">
        <f>IF(Table1[[#This Row],[vs Kompetitor]]&gt;0,"Win", "Lose")</f>
        <v>Win</v>
      </c>
    </row>
    <row r="510" spans="1:14" x14ac:dyDescent="0.25">
      <c r="A510">
        <v>509</v>
      </c>
      <c r="B510" t="s">
        <v>3</v>
      </c>
      <c r="C510" t="s">
        <v>63</v>
      </c>
      <c r="D510">
        <v>5</v>
      </c>
      <c r="E510">
        <v>2021</v>
      </c>
      <c r="F510" s="2">
        <f>DATE(Table1[[#This Row],[Tahun]],Table1[[#This Row],[Bulan]],1)</f>
        <v>44317</v>
      </c>
      <c r="G510">
        <v>981</v>
      </c>
      <c r="H510">
        <v>975</v>
      </c>
      <c r="I510" s="6">
        <f>(Table1[[#This Row],[Aktual]]-Table1[[#This Row],[Target]])</f>
        <v>6</v>
      </c>
      <c r="J510" s="3">
        <f>(Table1[[#This Row],[Aktual]]-Table1[[#This Row],[Target]])/Table1[[#This Row],[Target]]</f>
        <v>6.1538461538461538E-3</v>
      </c>
      <c r="K510" t="str">
        <f>IF(Table1[[#This Row],[Performance Gap (%)]]&lt;0,"Tidak mencapai target", IF(Table1[[#This Row],[Performance Gap (%)]]=0,"Mencapai target", "Melebihi Target"))</f>
        <v>Melebihi Target</v>
      </c>
      <c r="L510">
        <f>VLOOKUP(Table1[[#This Row],[Propinsi]]&amp;"_"&amp;Table1[[#This Row],[Dati 2]]&amp;"_"&amp;Table1[[#This Row],[Tanggal]],Table2[[#All],[Kompetitor area]:[Jumlah Kompetitor]],7,0)</f>
        <v>300</v>
      </c>
      <c r="M510">
        <f>Table1[[#This Row],[Aktual]]-Table1[[#This Row],[Jumlah Kompetitor]]</f>
        <v>681</v>
      </c>
      <c r="N510" t="str">
        <f>IF(Table1[[#This Row],[vs Kompetitor]]&gt;0,"Win", "Lose")</f>
        <v>Win</v>
      </c>
    </row>
    <row r="511" spans="1:14" x14ac:dyDescent="0.25">
      <c r="A511">
        <v>510</v>
      </c>
      <c r="B511" t="s">
        <v>3</v>
      </c>
      <c r="C511" t="s">
        <v>64</v>
      </c>
      <c r="D511">
        <v>5</v>
      </c>
      <c r="E511">
        <v>2021</v>
      </c>
      <c r="F511" s="2">
        <f>DATE(Table1[[#This Row],[Tahun]],Table1[[#This Row],[Bulan]],1)</f>
        <v>44317</v>
      </c>
      <c r="G511">
        <v>748</v>
      </c>
      <c r="H511">
        <v>702</v>
      </c>
      <c r="I511" s="6">
        <f>(Table1[[#This Row],[Aktual]]-Table1[[#This Row],[Target]])</f>
        <v>46</v>
      </c>
      <c r="J511" s="3">
        <f>(Table1[[#This Row],[Aktual]]-Table1[[#This Row],[Target]])/Table1[[#This Row],[Target]]</f>
        <v>6.5527065527065526E-2</v>
      </c>
      <c r="K511" t="str">
        <f>IF(Table1[[#This Row],[Performance Gap (%)]]&lt;0,"Tidak mencapai target", IF(Table1[[#This Row],[Performance Gap (%)]]=0,"Mencapai target", "Melebihi Target"))</f>
        <v>Melebihi Target</v>
      </c>
      <c r="L511">
        <f>VLOOKUP(Table1[[#This Row],[Propinsi]]&amp;"_"&amp;Table1[[#This Row],[Dati 2]]&amp;"_"&amp;Table1[[#This Row],[Tanggal]],Table2[[#All],[Kompetitor area]:[Jumlah Kompetitor]],7,0)</f>
        <v>141</v>
      </c>
      <c r="M511">
        <f>Table1[[#This Row],[Aktual]]-Table1[[#This Row],[Jumlah Kompetitor]]</f>
        <v>607</v>
      </c>
      <c r="N511" t="str">
        <f>IF(Table1[[#This Row],[vs Kompetitor]]&gt;0,"Win", "Lose")</f>
        <v>Win</v>
      </c>
    </row>
    <row r="512" spans="1:14" x14ac:dyDescent="0.25">
      <c r="A512">
        <v>511</v>
      </c>
      <c r="B512" t="s">
        <v>3</v>
      </c>
      <c r="C512" t="s">
        <v>65</v>
      </c>
      <c r="D512">
        <v>5</v>
      </c>
      <c r="E512">
        <v>2021</v>
      </c>
      <c r="F512" s="2">
        <f>DATE(Table1[[#This Row],[Tahun]],Table1[[#This Row],[Bulan]],1)</f>
        <v>44317</v>
      </c>
      <c r="G512">
        <v>1287</v>
      </c>
      <c r="H512">
        <v>1120</v>
      </c>
      <c r="I512" s="6">
        <f>(Table1[[#This Row],[Aktual]]-Table1[[#This Row],[Target]])</f>
        <v>167</v>
      </c>
      <c r="J512" s="3">
        <f>(Table1[[#This Row],[Aktual]]-Table1[[#This Row],[Target]])/Table1[[#This Row],[Target]]</f>
        <v>0.14910714285714285</v>
      </c>
      <c r="K512" t="str">
        <f>IF(Table1[[#This Row],[Performance Gap (%)]]&lt;0,"Tidak mencapai target", IF(Table1[[#This Row],[Performance Gap (%)]]=0,"Mencapai target", "Melebihi Target"))</f>
        <v>Melebihi Target</v>
      </c>
      <c r="L512">
        <f>VLOOKUP(Table1[[#This Row],[Propinsi]]&amp;"_"&amp;Table1[[#This Row],[Dati 2]]&amp;"_"&amp;Table1[[#This Row],[Tanggal]],Table2[[#All],[Kompetitor area]:[Jumlah Kompetitor]],7,0)</f>
        <v>182</v>
      </c>
      <c r="M512">
        <f>Table1[[#This Row],[Aktual]]-Table1[[#This Row],[Jumlah Kompetitor]]</f>
        <v>1105</v>
      </c>
      <c r="N512" t="str">
        <f>IF(Table1[[#This Row],[vs Kompetitor]]&gt;0,"Win", "Lose")</f>
        <v>Win</v>
      </c>
    </row>
    <row r="513" spans="1:14" x14ac:dyDescent="0.25">
      <c r="A513">
        <v>512</v>
      </c>
      <c r="B513" t="s">
        <v>3</v>
      </c>
      <c r="C513" t="s">
        <v>66</v>
      </c>
      <c r="D513">
        <v>5</v>
      </c>
      <c r="E513">
        <v>2021</v>
      </c>
      <c r="F513" s="2">
        <f>DATE(Table1[[#This Row],[Tahun]],Table1[[#This Row],[Bulan]],1)</f>
        <v>44317</v>
      </c>
      <c r="G513">
        <v>1121</v>
      </c>
      <c r="H513">
        <v>918</v>
      </c>
      <c r="I513" s="6">
        <f>(Table1[[#This Row],[Aktual]]-Table1[[#This Row],[Target]])</f>
        <v>203</v>
      </c>
      <c r="J513" s="3">
        <f>(Table1[[#This Row],[Aktual]]-Table1[[#This Row],[Target]])/Table1[[#This Row],[Target]]</f>
        <v>0.22113289760348584</v>
      </c>
      <c r="K513" t="str">
        <f>IF(Table1[[#This Row],[Performance Gap (%)]]&lt;0,"Tidak mencapai target", IF(Table1[[#This Row],[Performance Gap (%)]]=0,"Mencapai target", "Melebihi Target"))</f>
        <v>Melebihi Target</v>
      </c>
      <c r="L513">
        <f>VLOOKUP(Table1[[#This Row],[Propinsi]]&amp;"_"&amp;Table1[[#This Row],[Dati 2]]&amp;"_"&amp;Table1[[#This Row],[Tanggal]],Table2[[#All],[Kompetitor area]:[Jumlah Kompetitor]],7,0)</f>
        <v>92</v>
      </c>
      <c r="M513">
        <f>Table1[[#This Row],[Aktual]]-Table1[[#This Row],[Jumlah Kompetitor]]</f>
        <v>1029</v>
      </c>
      <c r="N513" t="str">
        <f>IF(Table1[[#This Row],[vs Kompetitor]]&gt;0,"Win", "Lose")</f>
        <v>Win</v>
      </c>
    </row>
    <row r="514" spans="1:14" x14ac:dyDescent="0.25">
      <c r="A514">
        <v>513</v>
      </c>
      <c r="B514" t="s">
        <v>3</v>
      </c>
      <c r="C514" t="s">
        <v>67</v>
      </c>
      <c r="D514">
        <v>5</v>
      </c>
      <c r="E514">
        <v>2021</v>
      </c>
      <c r="F514" s="2">
        <f>DATE(Table1[[#This Row],[Tahun]],Table1[[#This Row],[Bulan]],1)</f>
        <v>44317</v>
      </c>
      <c r="G514">
        <v>24</v>
      </c>
      <c r="H514">
        <v>20</v>
      </c>
      <c r="I514" s="6">
        <f>(Table1[[#This Row],[Aktual]]-Table1[[#This Row],[Target]])</f>
        <v>4</v>
      </c>
      <c r="J514" s="3">
        <f>(Table1[[#This Row],[Aktual]]-Table1[[#This Row],[Target]])/Table1[[#This Row],[Target]]</f>
        <v>0.2</v>
      </c>
      <c r="K514" t="str">
        <f>IF(Table1[[#This Row],[Performance Gap (%)]]&lt;0,"Tidak mencapai target", IF(Table1[[#This Row],[Performance Gap (%)]]=0,"Mencapai target", "Melebihi Target"))</f>
        <v>Melebihi Target</v>
      </c>
      <c r="L514">
        <f>VLOOKUP(Table1[[#This Row],[Propinsi]]&amp;"_"&amp;Table1[[#This Row],[Dati 2]]&amp;"_"&amp;Table1[[#This Row],[Tanggal]],Table2[[#All],[Kompetitor area]:[Jumlah Kompetitor]],7,0)</f>
        <v>125</v>
      </c>
      <c r="M514">
        <f>Table1[[#This Row],[Aktual]]-Table1[[#This Row],[Jumlah Kompetitor]]</f>
        <v>-101</v>
      </c>
      <c r="N514" t="str">
        <f>IF(Table1[[#This Row],[vs Kompetitor]]&gt;0,"Win", "Lose")</f>
        <v>Lose</v>
      </c>
    </row>
    <row r="515" spans="1:14" x14ac:dyDescent="0.25">
      <c r="A515">
        <v>514</v>
      </c>
      <c r="B515" t="s">
        <v>2</v>
      </c>
      <c r="C515" t="s">
        <v>68</v>
      </c>
      <c r="D515">
        <v>5</v>
      </c>
      <c r="E515">
        <v>2021</v>
      </c>
      <c r="F515" s="2">
        <f>DATE(Table1[[#This Row],[Tahun]],Table1[[#This Row],[Bulan]],1)</f>
        <v>44317</v>
      </c>
      <c r="G515">
        <v>1283</v>
      </c>
      <c r="H515">
        <v>1221</v>
      </c>
      <c r="I515" s="6">
        <f>(Table1[[#This Row],[Aktual]]-Table1[[#This Row],[Target]])</f>
        <v>62</v>
      </c>
      <c r="J515" s="3">
        <f>(Table1[[#This Row],[Aktual]]-Table1[[#This Row],[Target]])/Table1[[#This Row],[Target]]</f>
        <v>5.0778050778050775E-2</v>
      </c>
      <c r="K515" t="str">
        <f>IF(Table1[[#This Row],[Performance Gap (%)]]&lt;0,"Tidak mencapai target", IF(Table1[[#This Row],[Performance Gap (%)]]=0,"Mencapai target", "Melebihi Target"))</f>
        <v>Melebihi Target</v>
      </c>
      <c r="L515">
        <f>VLOOKUP(Table1[[#This Row],[Propinsi]]&amp;"_"&amp;Table1[[#This Row],[Dati 2]]&amp;"_"&amp;Table1[[#This Row],[Tanggal]],Table2[[#All],[Kompetitor area]:[Jumlah Kompetitor]],7,0)</f>
        <v>169</v>
      </c>
      <c r="M515">
        <f>Table1[[#This Row],[Aktual]]-Table1[[#This Row],[Jumlah Kompetitor]]</f>
        <v>1114</v>
      </c>
      <c r="N515" t="str">
        <f>IF(Table1[[#This Row],[vs Kompetitor]]&gt;0,"Win", "Lose")</f>
        <v>Win</v>
      </c>
    </row>
    <row r="516" spans="1:14" x14ac:dyDescent="0.25">
      <c r="A516">
        <v>515</v>
      </c>
      <c r="B516" t="s">
        <v>2</v>
      </c>
      <c r="C516" t="s">
        <v>69</v>
      </c>
      <c r="D516">
        <v>5</v>
      </c>
      <c r="E516">
        <v>2021</v>
      </c>
      <c r="F516" s="2">
        <f>DATE(Table1[[#This Row],[Tahun]],Table1[[#This Row],[Bulan]],1)</f>
        <v>44317</v>
      </c>
      <c r="G516">
        <v>701</v>
      </c>
      <c r="H516">
        <v>558</v>
      </c>
      <c r="I516" s="6">
        <f>(Table1[[#This Row],[Aktual]]-Table1[[#This Row],[Target]])</f>
        <v>143</v>
      </c>
      <c r="J516" s="3">
        <f>(Table1[[#This Row],[Aktual]]-Table1[[#This Row],[Target]])/Table1[[#This Row],[Target]]</f>
        <v>0.25627240143369173</v>
      </c>
      <c r="K516" t="str">
        <f>IF(Table1[[#This Row],[Performance Gap (%)]]&lt;0,"Tidak mencapai target", IF(Table1[[#This Row],[Performance Gap (%)]]=0,"Mencapai target", "Melebihi Target"))</f>
        <v>Melebihi Target</v>
      </c>
      <c r="L516">
        <f>VLOOKUP(Table1[[#This Row],[Propinsi]]&amp;"_"&amp;Table1[[#This Row],[Dati 2]]&amp;"_"&amp;Table1[[#This Row],[Tanggal]],Table2[[#All],[Kompetitor area]:[Jumlah Kompetitor]],7,0)</f>
        <v>68</v>
      </c>
      <c r="M516">
        <f>Table1[[#This Row],[Aktual]]-Table1[[#This Row],[Jumlah Kompetitor]]</f>
        <v>633</v>
      </c>
      <c r="N516" t="str">
        <f>IF(Table1[[#This Row],[vs Kompetitor]]&gt;0,"Win", "Lose")</f>
        <v>Win</v>
      </c>
    </row>
    <row r="517" spans="1:14" x14ac:dyDescent="0.25">
      <c r="A517">
        <v>516</v>
      </c>
      <c r="B517" t="s">
        <v>4</v>
      </c>
      <c r="C517" t="s">
        <v>70</v>
      </c>
      <c r="D517">
        <v>5</v>
      </c>
      <c r="E517">
        <v>2021</v>
      </c>
      <c r="F517" s="2">
        <f>DATE(Table1[[#This Row],[Tahun]],Table1[[#This Row],[Bulan]],1)</f>
        <v>44317</v>
      </c>
      <c r="G517">
        <v>960</v>
      </c>
      <c r="H517">
        <v>901</v>
      </c>
      <c r="I517" s="6">
        <f>(Table1[[#This Row],[Aktual]]-Table1[[#This Row],[Target]])</f>
        <v>59</v>
      </c>
      <c r="J517" s="3">
        <f>(Table1[[#This Row],[Aktual]]-Table1[[#This Row],[Target]])/Table1[[#This Row],[Target]]</f>
        <v>6.5482796892341849E-2</v>
      </c>
      <c r="K517" t="str">
        <f>IF(Table1[[#This Row],[Performance Gap (%)]]&lt;0,"Tidak mencapai target", IF(Table1[[#This Row],[Performance Gap (%)]]=0,"Mencapai target", "Melebihi Target"))</f>
        <v>Melebihi Target</v>
      </c>
      <c r="L517">
        <f>VLOOKUP(Table1[[#This Row],[Propinsi]]&amp;"_"&amp;Table1[[#This Row],[Dati 2]]&amp;"_"&amp;Table1[[#This Row],[Tanggal]],Table2[[#All],[Kompetitor area]:[Jumlah Kompetitor]],7,0)</f>
        <v>40</v>
      </c>
      <c r="M517">
        <f>Table1[[#This Row],[Aktual]]-Table1[[#This Row],[Jumlah Kompetitor]]</f>
        <v>920</v>
      </c>
      <c r="N517" t="str">
        <f>IF(Table1[[#This Row],[vs Kompetitor]]&gt;0,"Win", "Lose")</f>
        <v>Win</v>
      </c>
    </row>
    <row r="518" spans="1:14" x14ac:dyDescent="0.25">
      <c r="A518">
        <v>517</v>
      </c>
      <c r="B518" t="s">
        <v>4</v>
      </c>
      <c r="C518" t="s">
        <v>71</v>
      </c>
      <c r="D518">
        <v>5</v>
      </c>
      <c r="E518">
        <v>2021</v>
      </c>
      <c r="F518" s="2">
        <f>DATE(Table1[[#This Row],[Tahun]],Table1[[#This Row],[Bulan]],1)</f>
        <v>44317</v>
      </c>
      <c r="G518">
        <v>1537</v>
      </c>
      <c r="H518">
        <v>1487</v>
      </c>
      <c r="I518" s="6">
        <f>(Table1[[#This Row],[Aktual]]-Table1[[#This Row],[Target]])</f>
        <v>50</v>
      </c>
      <c r="J518" s="3">
        <f>(Table1[[#This Row],[Aktual]]-Table1[[#This Row],[Target]])/Table1[[#This Row],[Target]]</f>
        <v>3.3624747814391391E-2</v>
      </c>
      <c r="K518" t="str">
        <f>IF(Table1[[#This Row],[Performance Gap (%)]]&lt;0,"Tidak mencapai target", IF(Table1[[#This Row],[Performance Gap (%)]]=0,"Mencapai target", "Melebihi Target"))</f>
        <v>Melebihi Target</v>
      </c>
      <c r="L518">
        <f>VLOOKUP(Table1[[#This Row],[Propinsi]]&amp;"_"&amp;Table1[[#This Row],[Dati 2]]&amp;"_"&amp;Table1[[#This Row],[Tanggal]],Table2[[#All],[Kompetitor area]:[Jumlah Kompetitor]],7,0)</f>
        <v>194</v>
      </c>
      <c r="M518">
        <f>Table1[[#This Row],[Aktual]]-Table1[[#This Row],[Jumlah Kompetitor]]</f>
        <v>1343</v>
      </c>
      <c r="N518" t="str">
        <f>IF(Table1[[#This Row],[vs Kompetitor]]&gt;0,"Win", "Lose")</f>
        <v>Win</v>
      </c>
    </row>
    <row r="519" spans="1:14" x14ac:dyDescent="0.25">
      <c r="A519">
        <v>518</v>
      </c>
      <c r="B519" t="s">
        <v>4</v>
      </c>
      <c r="C519" t="s">
        <v>72</v>
      </c>
      <c r="D519">
        <v>5</v>
      </c>
      <c r="E519">
        <v>2021</v>
      </c>
      <c r="F519" s="2">
        <f>DATE(Table1[[#This Row],[Tahun]],Table1[[#This Row],[Bulan]],1)</f>
        <v>44317</v>
      </c>
      <c r="G519">
        <v>1208</v>
      </c>
      <c r="H519">
        <v>1246</v>
      </c>
      <c r="I519" s="6">
        <f>(Table1[[#This Row],[Aktual]]-Table1[[#This Row],[Target]])</f>
        <v>-38</v>
      </c>
      <c r="J519" s="3">
        <f>(Table1[[#This Row],[Aktual]]-Table1[[#This Row],[Target]])/Table1[[#This Row],[Target]]</f>
        <v>-3.0497592295345103E-2</v>
      </c>
      <c r="K519" t="str">
        <f>IF(Table1[[#This Row],[Performance Gap (%)]]&lt;0,"Tidak mencapai target", IF(Table1[[#This Row],[Performance Gap (%)]]=0,"Mencapai target", "Melebihi Target"))</f>
        <v>Tidak mencapai target</v>
      </c>
      <c r="L519">
        <f>VLOOKUP(Table1[[#This Row],[Propinsi]]&amp;"_"&amp;Table1[[#This Row],[Dati 2]]&amp;"_"&amp;Table1[[#This Row],[Tanggal]],Table2[[#All],[Kompetitor area]:[Jumlah Kompetitor]],7,0)</f>
        <v>318</v>
      </c>
      <c r="M519">
        <f>Table1[[#This Row],[Aktual]]-Table1[[#This Row],[Jumlah Kompetitor]]</f>
        <v>890</v>
      </c>
      <c r="N519" t="str">
        <f>IF(Table1[[#This Row],[vs Kompetitor]]&gt;0,"Win", "Lose")</f>
        <v>Win</v>
      </c>
    </row>
    <row r="520" spans="1:14" x14ac:dyDescent="0.25">
      <c r="A520">
        <v>519</v>
      </c>
      <c r="B520" t="s">
        <v>4</v>
      </c>
      <c r="C520" t="s">
        <v>73</v>
      </c>
      <c r="D520">
        <v>5</v>
      </c>
      <c r="E520">
        <v>2021</v>
      </c>
      <c r="F520" s="2">
        <f>DATE(Table1[[#This Row],[Tahun]],Table1[[#This Row],[Bulan]],1)</f>
        <v>44317</v>
      </c>
      <c r="G520">
        <v>1603</v>
      </c>
      <c r="H520">
        <v>1460</v>
      </c>
      <c r="I520" s="6">
        <f>(Table1[[#This Row],[Aktual]]-Table1[[#This Row],[Target]])</f>
        <v>143</v>
      </c>
      <c r="J520" s="3">
        <f>(Table1[[#This Row],[Aktual]]-Table1[[#This Row],[Target]])/Table1[[#This Row],[Target]]</f>
        <v>9.7945205479452055E-2</v>
      </c>
      <c r="K520" t="str">
        <f>IF(Table1[[#This Row],[Performance Gap (%)]]&lt;0,"Tidak mencapai target", IF(Table1[[#This Row],[Performance Gap (%)]]=0,"Mencapai target", "Melebihi Target"))</f>
        <v>Melebihi Target</v>
      </c>
      <c r="L520">
        <f>VLOOKUP(Table1[[#This Row],[Propinsi]]&amp;"_"&amp;Table1[[#This Row],[Dati 2]]&amp;"_"&amp;Table1[[#This Row],[Tanggal]],Table2[[#All],[Kompetitor area]:[Jumlah Kompetitor]],7,0)</f>
        <v>37</v>
      </c>
      <c r="M520">
        <f>Table1[[#This Row],[Aktual]]-Table1[[#This Row],[Jumlah Kompetitor]]</f>
        <v>1566</v>
      </c>
      <c r="N520" t="str">
        <f>IF(Table1[[#This Row],[vs Kompetitor]]&gt;0,"Win", "Lose")</f>
        <v>Win</v>
      </c>
    </row>
    <row r="521" spans="1:14" x14ac:dyDescent="0.25">
      <c r="A521">
        <v>520</v>
      </c>
      <c r="B521" t="s">
        <v>4</v>
      </c>
      <c r="C521" t="s">
        <v>74</v>
      </c>
      <c r="D521">
        <v>5</v>
      </c>
      <c r="E521">
        <v>2021</v>
      </c>
      <c r="F521" s="2">
        <f>DATE(Table1[[#This Row],[Tahun]],Table1[[#This Row],[Bulan]],1)</f>
        <v>44317</v>
      </c>
      <c r="G521">
        <v>1762</v>
      </c>
      <c r="H521">
        <v>1407</v>
      </c>
      <c r="I521" s="6">
        <f>(Table1[[#This Row],[Aktual]]-Table1[[#This Row],[Target]])</f>
        <v>355</v>
      </c>
      <c r="J521" s="3">
        <f>(Table1[[#This Row],[Aktual]]-Table1[[#This Row],[Target]])/Table1[[#This Row],[Target]]</f>
        <v>0.25230987917555081</v>
      </c>
      <c r="K521" t="str">
        <f>IF(Table1[[#This Row],[Performance Gap (%)]]&lt;0,"Tidak mencapai target", IF(Table1[[#This Row],[Performance Gap (%)]]=0,"Mencapai target", "Melebihi Target"))</f>
        <v>Melebihi Target</v>
      </c>
      <c r="L521">
        <f>VLOOKUP(Table1[[#This Row],[Propinsi]]&amp;"_"&amp;Table1[[#This Row],[Dati 2]]&amp;"_"&amp;Table1[[#This Row],[Tanggal]],Table2[[#All],[Kompetitor area]:[Jumlah Kompetitor]],7,0)</f>
        <v>183</v>
      </c>
      <c r="M521">
        <f>Table1[[#This Row],[Aktual]]-Table1[[#This Row],[Jumlah Kompetitor]]</f>
        <v>1579</v>
      </c>
      <c r="N521" t="str">
        <f>IF(Table1[[#This Row],[vs Kompetitor]]&gt;0,"Win", "Lose")</f>
        <v>Win</v>
      </c>
    </row>
    <row r="522" spans="1:14" x14ac:dyDescent="0.25">
      <c r="A522">
        <v>521</v>
      </c>
      <c r="B522" t="s">
        <v>4</v>
      </c>
      <c r="C522" t="s">
        <v>75</v>
      </c>
      <c r="D522">
        <v>5</v>
      </c>
      <c r="E522">
        <v>2021</v>
      </c>
      <c r="F522" s="2">
        <f>DATE(Table1[[#This Row],[Tahun]],Table1[[#This Row],[Bulan]],1)</f>
        <v>44317</v>
      </c>
      <c r="G522">
        <v>484</v>
      </c>
      <c r="H522">
        <v>451</v>
      </c>
      <c r="I522" s="6">
        <f>(Table1[[#This Row],[Aktual]]-Table1[[#This Row],[Target]])</f>
        <v>33</v>
      </c>
      <c r="J522" s="3">
        <f>(Table1[[#This Row],[Aktual]]-Table1[[#This Row],[Target]])/Table1[[#This Row],[Target]]</f>
        <v>7.3170731707317069E-2</v>
      </c>
      <c r="K522" t="str">
        <f>IF(Table1[[#This Row],[Performance Gap (%)]]&lt;0,"Tidak mencapai target", IF(Table1[[#This Row],[Performance Gap (%)]]=0,"Mencapai target", "Melebihi Target"))</f>
        <v>Melebihi Target</v>
      </c>
      <c r="L522">
        <f>VLOOKUP(Table1[[#This Row],[Propinsi]]&amp;"_"&amp;Table1[[#This Row],[Dati 2]]&amp;"_"&amp;Table1[[#This Row],[Tanggal]],Table2[[#All],[Kompetitor area]:[Jumlah Kompetitor]],7,0)</f>
        <v>132</v>
      </c>
      <c r="M522">
        <f>Table1[[#This Row],[Aktual]]-Table1[[#This Row],[Jumlah Kompetitor]]</f>
        <v>352</v>
      </c>
      <c r="N522" t="str">
        <f>IF(Table1[[#This Row],[vs Kompetitor]]&gt;0,"Win", "Lose")</f>
        <v>Win</v>
      </c>
    </row>
    <row r="523" spans="1:14" x14ac:dyDescent="0.25">
      <c r="A523">
        <v>522</v>
      </c>
      <c r="B523" t="s">
        <v>4</v>
      </c>
      <c r="C523" t="s">
        <v>76</v>
      </c>
      <c r="D523">
        <v>5</v>
      </c>
      <c r="E523">
        <v>2021</v>
      </c>
      <c r="F523" s="2">
        <f>DATE(Table1[[#This Row],[Tahun]],Table1[[#This Row],[Bulan]],1)</f>
        <v>44317</v>
      </c>
      <c r="G523">
        <v>565</v>
      </c>
      <c r="H523">
        <v>493</v>
      </c>
      <c r="I523" s="6">
        <f>(Table1[[#This Row],[Aktual]]-Table1[[#This Row],[Target]])</f>
        <v>72</v>
      </c>
      <c r="J523" s="3">
        <f>(Table1[[#This Row],[Aktual]]-Table1[[#This Row],[Target]])/Table1[[#This Row],[Target]]</f>
        <v>0.1460446247464503</v>
      </c>
      <c r="K523" t="str">
        <f>IF(Table1[[#This Row],[Performance Gap (%)]]&lt;0,"Tidak mencapai target", IF(Table1[[#This Row],[Performance Gap (%)]]=0,"Mencapai target", "Melebihi Target"))</f>
        <v>Melebihi Target</v>
      </c>
      <c r="L523">
        <f>VLOOKUP(Table1[[#This Row],[Propinsi]]&amp;"_"&amp;Table1[[#This Row],[Dati 2]]&amp;"_"&amp;Table1[[#This Row],[Tanggal]],Table2[[#All],[Kompetitor area]:[Jumlah Kompetitor]],7,0)</f>
        <v>81</v>
      </c>
      <c r="M523">
        <f>Table1[[#This Row],[Aktual]]-Table1[[#This Row],[Jumlah Kompetitor]]</f>
        <v>484</v>
      </c>
      <c r="N523" t="str">
        <f>IF(Table1[[#This Row],[vs Kompetitor]]&gt;0,"Win", "Lose")</f>
        <v>Win</v>
      </c>
    </row>
    <row r="524" spans="1:14" x14ac:dyDescent="0.25">
      <c r="A524">
        <v>523</v>
      </c>
      <c r="B524" t="s">
        <v>4</v>
      </c>
      <c r="C524" t="s">
        <v>77</v>
      </c>
      <c r="D524">
        <v>5</v>
      </c>
      <c r="E524">
        <v>2021</v>
      </c>
      <c r="F524" s="2">
        <f>DATE(Table1[[#This Row],[Tahun]],Table1[[#This Row],[Bulan]],1)</f>
        <v>44317</v>
      </c>
      <c r="G524">
        <v>716</v>
      </c>
      <c r="H524">
        <v>612</v>
      </c>
      <c r="I524" s="6">
        <f>(Table1[[#This Row],[Aktual]]-Table1[[#This Row],[Target]])</f>
        <v>104</v>
      </c>
      <c r="J524" s="3">
        <f>(Table1[[#This Row],[Aktual]]-Table1[[#This Row],[Target]])/Table1[[#This Row],[Target]]</f>
        <v>0.16993464052287582</v>
      </c>
      <c r="K524" t="str">
        <f>IF(Table1[[#This Row],[Performance Gap (%)]]&lt;0,"Tidak mencapai target", IF(Table1[[#This Row],[Performance Gap (%)]]=0,"Mencapai target", "Melebihi Target"))</f>
        <v>Melebihi Target</v>
      </c>
      <c r="L524">
        <f>VLOOKUP(Table1[[#This Row],[Propinsi]]&amp;"_"&amp;Table1[[#This Row],[Dati 2]]&amp;"_"&amp;Table1[[#This Row],[Tanggal]],Table2[[#All],[Kompetitor area]:[Jumlah Kompetitor]],7,0)</f>
        <v>149</v>
      </c>
      <c r="M524">
        <f>Table1[[#This Row],[Aktual]]-Table1[[#This Row],[Jumlah Kompetitor]]</f>
        <v>567</v>
      </c>
      <c r="N524" t="str">
        <f>IF(Table1[[#This Row],[vs Kompetitor]]&gt;0,"Win", "Lose")</f>
        <v>Win</v>
      </c>
    </row>
    <row r="525" spans="1:14" x14ac:dyDescent="0.25">
      <c r="A525">
        <v>524</v>
      </c>
      <c r="B525" t="s">
        <v>4</v>
      </c>
      <c r="C525" t="s">
        <v>78</v>
      </c>
      <c r="D525">
        <v>5</v>
      </c>
      <c r="E525">
        <v>2021</v>
      </c>
      <c r="F525" s="2">
        <f>DATE(Table1[[#This Row],[Tahun]],Table1[[#This Row],[Bulan]],1)</f>
        <v>44317</v>
      </c>
      <c r="G525">
        <v>929</v>
      </c>
      <c r="H525">
        <v>845</v>
      </c>
      <c r="I525" s="6">
        <f>(Table1[[#This Row],[Aktual]]-Table1[[#This Row],[Target]])</f>
        <v>84</v>
      </c>
      <c r="J525" s="3">
        <f>(Table1[[#This Row],[Aktual]]-Table1[[#This Row],[Target]])/Table1[[#This Row],[Target]]</f>
        <v>9.9408284023668636E-2</v>
      </c>
      <c r="K525" t="str">
        <f>IF(Table1[[#This Row],[Performance Gap (%)]]&lt;0,"Tidak mencapai target", IF(Table1[[#This Row],[Performance Gap (%)]]=0,"Mencapai target", "Melebihi Target"))</f>
        <v>Melebihi Target</v>
      </c>
      <c r="L525">
        <f>VLOOKUP(Table1[[#This Row],[Propinsi]]&amp;"_"&amp;Table1[[#This Row],[Dati 2]]&amp;"_"&amp;Table1[[#This Row],[Tanggal]],Table2[[#All],[Kompetitor area]:[Jumlah Kompetitor]],7,0)</f>
        <v>44</v>
      </c>
      <c r="M525">
        <f>Table1[[#This Row],[Aktual]]-Table1[[#This Row],[Jumlah Kompetitor]]</f>
        <v>885</v>
      </c>
      <c r="N525" t="str">
        <f>IF(Table1[[#This Row],[vs Kompetitor]]&gt;0,"Win", "Lose")</f>
        <v>Win</v>
      </c>
    </row>
    <row r="526" spans="1:14" x14ac:dyDescent="0.25">
      <c r="A526">
        <v>525</v>
      </c>
      <c r="B526" t="s">
        <v>2</v>
      </c>
      <c r="C526" t="s">
        <v>79</v>
      </c>
      <c r="D526">
        <v>5</v>
      </c>
      <c r="E526">
        <v>2021</v>
      </c>
      <c r="F526" s="2">
        <f>DATE(Table1[[#This Row],[Tahun]],Table1[[#This Row],[Bulan]],1)</f>
        <v>44317</v>
      </c>
      <c r="G526">
        <v>480</v>
      </c>
      <c r="H526">
        <v>367</v>
      </c>
      <c r="I526" s="6">
        <f>(Table1[[#This Row],[Aktual]]-Table1[[#This Row],[Target]])</f>
        <v>113</v>
      </c>
      <c r="J526" s="3">
        <f>(Table1[[#This Row],[Aktual]]-Table1[[#This Row],[Target]])/Table1[[#This Row],[Target]]</f>
        <v>0.30790190735694822</v>
      </c>
      <c r="K526" t="str">
        <f>IF(Table1[[#This Row],[Performance Gap (%)]]&lt;0,"Tidak mencapai target", IF(Table1[[#This Row],[Performance Gap (%)]]=0,"Mencapai target", "Melebihi Target"))</f>
        <v>Melebihi Target</v>
      </c>
      <c r="L526">
        <f>VLOOKUP(Table1[[#This Row],[Propinsi]]&amp;"_"&amp;Table1[[#This Row],[Dati 2]]&amp;"_"&amp;Table1[[#This Row],[Tanggal]],Table2[[#All],[Kompetitor area]:[Jumlah Kompetitor]],7,0)</f>
        <v>30</v>
      </c>
      <c r="M526">
        <f>Table1[[#This Row],[Aktual]]-Table1[[#This Row],[Jumlah Kompetitor]]</f>
        <v>450</v>
      </c>
      <c r="N526" t="str">
        <f>IF(Table1[[#This Row],[vs Kompetitor]]&gt;0,"Win", "Lose")</f>
        <v>Win</v>
      </c>
    </row>
    <row r="527" spans="1:14" x14ac:dyDescent="0.25">
      <c r="A527">
        <v>526</v>
      </c>
      <c r="B527" t="s">
        <v>2</v>
      </c>
      <c r="C527" t="s">
        <v>80</v>
      </c>
      <c r="D527">
        <v>5</v>
      </c>
      <c r="E527">
        <v>2021</v>
      </c>
      <c r="F527" s="2">
        <f>DATE(Table1[[#This Row],[Tahun]],Table1[[#This Row],[Bulan]],1)</f>
        <v>44317</v>
      </c>
      <c r="G527">
        <v>639</v>
      </c>
      <c r="H527">
        <v>578</v>
      </c>
      <c r="I527" s="6">
        <f>(Table1[[#This Row],[Aktual]]-Table1[[#This Row],[Target]])</f>
        <v>61</v>
      </c>
      <c r="J527" s="3">
        <f>(Table1[[#This Row],[Aktual]]-Table1[[#This Row],[Target]])/Table1[[#This Row],[Target]]</f>
        <v>0.10553633217993079</v>
      </c>
      <c r="K527" t="str">
        <f>IF(Table1[[#This Row],[Performance Gap (%)]]&lt;0,"Tidak mencapai target", IF(Table1[[#This Row],[Performance Gap (%)]]=0,"Mencapai target", "Melebihi Target"))</f>
        <v>Melebihi Target</v>
      </c>
      <c r="L527">
        <f>VLOOKUP(Table1[[#This Row],[Propinsi]]&amp;"_"&amp;Table1[[#This Row],[Dati 2]]&amp;"_"&amp;Table1[[#This Row],[Tanggal]],Table2[[#All],[Kompetitor area]:[Jumlah Kompetitor]],7,0)</f>
        <v>75</v>
      </c>
      <c r="M527">
        <f>Table1[[#This Row],[Aktual]]-Table1[[#This Row],[Jumlah Kompetitor]]</f>
        <v>564</v>
      </c>
      <c r="N527" t="str">
        <f>IF(Table1[[#This Row],[vs Kompetitor]]&gt;0,"Win", "Lose")</f>
        <v>Win</v>
      </c>
    </row>
    <row r="528" spans="1:14" x14ac:dyDescent="0.25">
      <c r="A528">
        <v>527</v>
      </c>
      <c r="B528" t="s">
        <v>2</v>
      </c>
      <c r="C528" t="s">
        <v>81</v>
      </c>
      <c r="D528">
        <v>5</v>
      </c>
      <c r="E528">
        <v>2021</v>
      </c>
      <c r="F528" s="2">
        <f>DATE(Table1[[#This Row],[Tahun]],Table1[[#This Row],[Bulan]],1)</f>
        <v>44317</v>
      </c>
      <c r="G528">
        <v>956</v>
      </c>
      <c r="H528">
        <v>1048</v>
      </c>
      <c r="I528" s="6">
        <f>(Table1[[#This Row],[Aktual]]-Table1[[#This Row],[Target]])</f>
        <v>-92</v>
      </c>
      <c r="J528" s="3">
        <f>(Table1[[#This Row],[Aktual]]-Table1[[#This Row],[Target]])/Table1[[#This Row],[Target]]</f>
        <v>-8.7786259541984726E-2</v>
      </c>
      <c r="K528" t="str">
        <f>IF(Table1[[#This Row],[Performance Gap (%)]]&lt;0,"Tidak mencapai target", IF(Table1[[#This Row],[Performance Gap (%)]]=0,"Mencapai target", "Melebihi Target"))</f>
        <v>Tidak mencapai target</v>
      </c>
      <c r="L528">
        <f>VLOOKUP(Table1[[#This Row],[Propinsi]]&amp;"_"&amp;Table1[[#This Row],[Dati 2]]&amp;"_"&amp;Table1[[#This Row],[Tanggal]],Table2[[#All],[Kompetitor area]:[Jumlah Kompetitor]],7,0)</f>
        <v>28</v>
      </c>
      <c r="M528">
        <f>Table1[[#This Row],[Aktual]]-Table1[[#This Row],[Jumlah Kompetitor]]</f>
        <v>928</v>
      </c>
      <c r="N528" t="str">
        <f>IF(Table1[[#This Row],[vs Kompetitor]]&gt;0,"Win", "Lose")</f>
        <v>Win</v>
      </c>
    </row>
    <row r="529" spans="1:14" x14ac:dyDescent="0.25">
      <c r="A529">
        <v>528</v>
      </c>
      <c r="B529" t="s">
        <v>2</v>
      </c>
      <c r="C529" t="s">
        <v>82</v>
      </c>
      <c r="D529">
        <v>5</v>
      </c>
      <c r="E529">
        <v>2021</v>
      </c>
      <c r="F529" s="2">
        <f>DATE(Table1[[#This Row],[Tahun]],Table1[[#This Row],[Bulan]],1)</f>
        <v>44317</v>
      </c>
      <c r="G529">
        <v>278</v>
      </c>
      <c r="H529">
        <v>247</v>
      </c>
      <c r="I529" s="6">
        <f>(Table1[[#This Row],[Aktual]]-Table1[[#This Row],[Target]])</f>
        <v>31</v>
      </c>
      <c r="J529" s="3">
        <f>(Table1[[#This Row],[Aktual]]-Table1[[#This Row],[Target]])/Table1[[#This Row],[Target]]</f>
        <v>0.12550607287449392</v>
      </c>
      <c r="K529" t="str">
        <f>IF(Table1[[#This Row],[Performance Gap (%)]]&lt;0,"Tidak mencapai target", IF(Table1[[#This Row],[Performance Gap (%)]]=0,"Mencapai target", "Melebihi Target"))</f>
        <v>Melebihi Target</v>
      </c>
      <c r="L529">
        <f>VLOOKUP(Table1[[#This Row],[Propinsi]]&amp;"_"&amp;Table1[[#This Row],[Dati 2]]&amp;"_"&amp;Table1[[#This Row],[Tanggal]],Table2[[#All],[Kompetitor area]:[Jumlah Kompetitor]],7,0)</f>
        <v>32</v>
      </c>
      <c r="M529">
        <f>Table1[[#This Row],[Aktual]]-Table1[[#This Row],[Jumlah Kompetitor]]</f>
        <v>246</v>
      </c>
      <c r="N529" t="str">
        <f>IF(Table1[[#This Row],[vs Kompetitor]]&gt;0,"Win", "Lose")</f>
        <v>Win</v>
      </c>
    </row>
    <row r="530" spans="1:14" x14ac:dyDescent="0.25">
      <c r="A530">
        <v>529</v>
      </c>
      <c r="B530" t="s">
        <v>4</v>
      </c>
      <c r="C530" t="s">
        <v>83</v>
      </c>
      <c r="D530">
        <v>5</v>
      </c>
      <c r="E530">
        <v>2021</v>
      </c>
      <c r="F530" s="2">
        <f>DATE(Table1[[#This Row],[Tahun]],Table1[[#This Row],[Bulan]],1)</f>
        <v>44317</v>
      </c>
      <c r="G530">
        <v>126</v>
      </c>
      <c r="H530">
        <v>130</v>
      </c>
      <c r="I530" s="6">
        <f>(Table1[[#This Row],[Aktual]]-Table1[[#This Row],[Target]])</f>
        <v>-4</v>
      </c>
      <c r="J530" s="3">
        <f>(Table1[[#This Row],[Aktual]]-Table1[[#This Row],[Target]])/Table1[[#This Row],[Target]]</f>
        <v>-3.0769230769230771E-2</v>
      </c>
      <c r="K530" t="str">
        <f>IF(Table1[[#This Row],[Performance Gap (%)]]&lt;0,"Tidak mencapai target", IF(Table1[[#This Row],[Performance Gap (%)]]=0,"Mencapai target", "Melebihi Target"))</f>
        <v>Tidak mencapai target</v>
      </c>
      <c r="L530">
        <f>VLOOKUP(Table1[[#This Row],[Propinsi]]&amp;"_"&amp;Table1[[#This Row],[Dati 2]]&amp;"_"&amp;Table1[[#This Row],[Tanggal]],Table2[[#All],[Kompetitor area]:[Jumlah Kompetitor]],7,0)</f>
        <v>35</v>
      </c>
      <c r="M530">
        <f>Table1[[#This Row],[Aktual]]-Table1[[#This Row],[Jumlah Kompetitor]]</f>
        <v>91</v>
      </c>
      <c r="N530" t="str">
        <f>IF(Table1[[#This Row],[vs Kompetitor]]&gt;0,"Win", "Lose")</f>
        <v>Win</v>
      </c>
    </row>
    <row r="531" spans="1:14" x14ac:dyDescent="0.25">
      <c r="A531">
        <v>530</v>
      </c>
      <c r="B531" t="s">
        <v>4</v>
      </c>
      <c r="C531" t="s">
        <v>84</v>
      </c>
      <c r="D531">
        <v>5</v>
      </c>
      <c r="E531">
        <v>2021</v>
      </c>
      <c r="F531" s="2">
        <f>DATE(Table1[[#This Row],[Tahun]],Table1[[#This Row],[Bulan]],1)</f>
        <v>44317</v>
      </c>
      <c r="G531">
        <v>2170</v>
      </c>
      <c r="H531">
        <v>1655</v>
      </c>
      <c r="I531" s="6">
        <f>(Table1[[#This Row],[Aktual]]-Table1[[#This Row],[Target]])</f>
        <v>515</v>
      </c>
      <c r="J531" s="3">
        <f>(Table1[[#This Row],[Aktual]]-Table1[[#This Row],[Target]])/Table1[[#This Row],[Target]]</f>
        <v>0.31117824773413899</v>
      </c>
      <c r="K531" t="str">
        <f>IF(Table1[[#This Row],[Performance Gap (%)]]&lt;0,"Tidak mencapai target", IF(Table1[[#This Row],[Performance Gap (%)]]=0,"Mencapai target", "Melebihi Target"))</f>
        <v>Melebihi Target</v>
      </c>
      <c r="L531">
        <f>VLOOKUP(Table1[[#This Row],[Propinsi]]&amp;"_"&amp;Table1[[#This Row],[Dati 2]]&amp;"_"&amp;Table1[[#This Row],[Tanggal]],Table2[[#All],[Kompetitor area]:[Jumlah Kompetitor]],7,0)</f>
        <v>185</v>
      </c>
      <c r="M531">
        <f>Table1[[#This Row],[Aktual]]-Table1[[#This Row],[Jumlah Kompetitor]]</f>
        <v>1985</v>
      </c>
      <c r="N531" t="str">
        <f>IF(Table1[[#This Row],[vs Kompetitor]]&gt;0,"Win", "Lose")</f>
        <v>Win</v>
      </c>
    </row>
    <row r="532" spans="1:14" x14ac:dyDescent="0.25">
      <c r="A532">
        <v>531</v>
      </c>
      <c r="B532" t="s">
        <v>4</v>
      </c>
      <c r="C532" t="s">
        <v>85</v>
      </c>
      <c r="D532">
        <v>5</v>
      </c>
      <c r="E532">
        <v>2021</v>
      </c>
      <c r="F532" s="2">
        <f>DATE(Table1[[#This Row],[Tahun]],Table1[[#This Row],[Bulan]],1)</f>
        <v>44317</v>
      </c>
      <c r="G532">
        <v>1067</v>
      </c>
      <c r="H532">
        <v>864</v>
      </c>
      <c r="I532" s="6">
        <f>(Table1[[#This Row],[Aktual]]-Table1[[#This Row],[Target]])</f>
        <v>203</v>
      </c>
      <c r="J532" s="3">
        <f>(Table1[[#This Row],[Aktual]]-Table1[[#This Row],[Target]])/Table1[[#This Row],[Target]]</f>
        <v>0.23495370370370369</v>
      </c>
      <c r="K532" t="str">
        <f>IF(Table1[[#This Row],[Performance Gap (%)]]&lt;0,"Tidak mencapai target", IF(Table1[[#This Row],[Performance Gap (%)]]=0,"Mencapai target", "Melebihi Target"))</f>
        <v>Melebihi Target</v>
      </c>
      <c r="L532">
        <f>VLOOKUP(Table1[[#This Row],[Propinsi]]&amp;"_"&amp;Table1[[#This Row],[Dati 2]]&amp;"_"&amp;Table1[[#This Row],[Tanggal]],Table2[[#All],[Kompetitor area]:[Jumlah Kompetitor]],7,0)</f>
        <v>112</v>
      </c>
      <c r="M532">
        <f>Table1[[#This Row],[Aktual]]-Table1[[#This Row],[Jumlah Kompetitor]]</f>
        <v>955</v>
      </c>
      <c r="N532" t="str">
        <f>IF(Table1[[#This Row],[vs Kompetitor]]&gt;0,"Win", "Lose")</f>
        <v>Win</v>
      </c>
    </row>
    <row r="533" spans="1:14" x14ac:dyDescent="0.25">
      <c r="A533">
        <v>532</v>
      </c>
      <c r="B533" t="s">
        <v>4</v>
      </c>
      <c r="C533" t="s">
        <v>86</v>
      </c>
      <c r="D533">
        <v>5</v>
      </c>
      <c r="E533">
        <v>2021</v>
      </c>
      <c r="F533" s="2">
        <f>DATE(Table1[[#This Row],[Tahun]],Table1[[#This Row],[Bulan]],1)</f>
        <v>44317</v>
      </c>
      <c r="G533">
        <v>198</v>
      </c>
      <c r="H533">
        <v>188</v>
      </c>
      <c r="I533" s="6">
        <f>(Table1[[#This Row],[Aktual]]-Table1[[#This Row],[Target]])</f>
        <v>10</v>
      </c>
      <c r="J533" s="3">
        <f>(Table1[[#This Row],[Aktual]]-Table1[[#This Row],[Target]])/Table1[[#This Row],[Target]]</f>
        <v>5.3191489361702128E-2</v>
      </c>
      <c r="K533" t="str">
        <f>IF(Table1[[#This Row],[Performance Gap (%)]]&lt;0,"Tidak mencapai target", IF(Table1[[#This Row],[Performance Gap (%)]]=0,"Mencapai target", "Melebihi Target"))</f>
        <v>Melebihi Target</v>
      </c>
      <c r="L533">
        <f>VLOOKUP(Table1[[#This Row],[Propinsi]]&amp;"_"&amp;Table1[[#This Row],[Dati 2]]&amp;"_"&amp;Table1[[#This Row],[Tanggal]],Table2[[#All],[Kompetitor area]:[Jumlah Kompetitor]],7,0)</f>
        <v>148</v>
      </c>
      <c r="M533">
        <f>Table1[[#This Row],[Aktual]]-Table1[[#This Row],[Jumlah Kompetitor]]</f>
        <v>50</v>
      </c>
      <c r="N533" t="str">
        <f>IF(Table1[[#This Row],[vs Kompetitor]]&gt;0,"Win", "Lose")</f>
        <v>Win</v>
      </c>
    </row>
    <row r="534" spans="1:14" x14ac:dyDescent="0.25">
      <c r="A534">
        <v>533</v>
      </c>
      <c r="B534" t="s">
        <v>4</v>
      </c>
      <c r="C534" t="s">
        <v>87</v>
      </c>
      <c r="D534">
        <v>5</v>
      </c>
      <c r="E534">
        <v>2021</v>
      </c>
      <c r="F534" s="2">
        <f>DATE(Table1[[#This Row],[Tahun]],Table1[[#This Row],[Bulan]],1)</f>
        <v>44317</v>
      </c>
      <c r="G534">
        <v>1193</v>
      </c>
      <c r="H534">
        <v>1278</v>
      </c>
      <c r="I534" s="6">
        <f>(Table1[[#This Row],[Aktual]]-Table1[[#This Row],[Target]])</f>
        <v>-85</v>
      </c>
      <c r="J534" s="3">
        <f>(Table1[[#This Row],[Aktual]]-Table1[[#This Row],[Target]])/Table1[[#This Row],[Target]]</f>
        <v>-6.6510172143974963E-2</v>
      </c>
      <c r="K534" t="str">
        <f>IF(Table1[[#This Row],[Performance Gap (%)]]&lt;0,"Tidak mencapai target", IF(Table1[[#This Row],[Performance Gap (%)]]=0,"Mencapai target", "Melebihi Target"))</f>
        <v>Tidak mencapai target</v>
      </c>
      <c r="L534">
        <f>VLOOKUP(Table1[[#This Row],[Propinsi]]&amp;"_"&amp;Table1[[#This Row],[Dati 2]]&amp;"_"&amp;Table1[[#This Row],[Tanggal]],Table2[[#All],[Kompetitor area]:[Jumlah Kompetitor]],7,0)</f>
        <v>131</v>
      </c>
      <c r="M534">
        <f>Table1[[#This Row],[Aktual]]-Table1[[#This Row],[Jumlah Kompetitor]]</f>
        <v>1062</v>
      </c>
      <c r="N534" t="str">
        <f>IF(Table1[[#This Row],[vs Kompetitor]]&gt;0,"Win", "Lose")</f>
        <v>Win</v>
      </c>
    </row>
    <row r="535" spans="1:14" x14ac:dyDescent="0.25">
      <c r="A535">
        <v>534</v>
      </c>
      <c r="B535" t="s">
        <v>4</v>
      </c>
      <c r="C535" t="s">
        <v>88</v>
      </c>
      <c r="D535">
        <v>5</v>
      </c>
      <c r="E535">
        <v>2021</v>
      </c>
      <c r="F535" s="2">
        <f>DATE(Table1[[#This Row],[Tahun]],Table1[[#This Row],[Bulan]],1)</f>
        <v>44317</v>
      </c>
      <c r="G535">
        <v>832</v>
      </c>
      <c r="H535">
        <v>834</v>
      </c>
      <c r="I535" s="6">
        <f>(Table1[[#This Row],[Aktual]]-Table1[[#This Row],[Target]])</f>
        <v>-2</v>
      </c>
      <c r="J535" s="3">
        <f>(Table1[[#This Row],[Aktual]]-Table1[[#This Row],[Target]])/Table1[[#This Row],[Target]]</f>
        <v>-2.3980815347721821E-3</v>
      </c>
      <c r="K535" t="str">
        <f>IF(Table1[[#This Row],[Performance Gap (%)]]&lt;0,"Tidak mencapai target", IF(Table1[[#This Row],[Performance Gap (%)]]=0,"Mencapai target", "Melebihi Target"))</f>
        <v>Tidak mencapai target</v>
      </c>
      <c r="L535">
        <f>VLOOKUP(Table1[[#This Row],[Propinsi]]&amp;"_"&amp;Table1[[#This Row],[Dati 2]]&amp;"_"&amp;Table1[[#This Row],[Tanggal]],Table2[[#All],[Kompetitor area]:[Jumlah Kompetitor]],7,0)</f>
        <v>88</v>
      </c>
      <c r="M535">
        <f>Table1[[#This Row],[Aktual]]-Table1[[#This Row],[Jumlah Kompetitor]]</f>
        <v>744</v>
      </c>
      <c r="N535" t="str">
        <f>IF(Table1[[#This Row],[vs Kompetitor]]&gt;0,"Win", "Lose")</f>
        <v>Win</v>
      </c>
    </row>
    <row r="536" spans="1:14" x14ac:dyDescent="0.25">
      <c r="A536">
        <v>535</v>
      </c>
      <c r="B536" t="s">
        <v>4</v>
      </c>
      <c r="C536" t="s">
        <v>89</v>
      </c>
      <c r="D536">
        <v>5</v>
      </c>
      <c r="E536">
        <v>2021</v>
      </c>
      <c r="F536" s="2">
        <f>DATE(Table1[[#This Row],[Tahun]],Table1[[#This Row],[Bulan]],1)</f>
        <v>44317</v>
      </c>
      <c r="G536">
        <v>628</v>
      </c>
      <c r="H536">
        <v>537</v>
      </c>
      <c r="I536" s="6">
        <f>(Table1[[#This Row],[Aktual]]-Table1[[#This Row],[Target]])</f>
        <v>91</v>
      </c>
      <c r="J536" s="3">
        <f>(Table1[[#This Row],[Aktual]]-Table1[[#This Row],[Target]])/Table1[[#This Row],[Target]]</f>
        <v>0.16945996275605213</v>
      </c>
      <c r="K536" t="str">
        <f>IF(Table1[[#This Row],[Performance Gap (%)]]&lt;0,"Tidak mencapai target", IF(Table1[[#This Row],[Performance Gap (%)]]=0,"Mencapai target", "Melebihi Target"))</f>
        <v>Melebihi Target</v>
      </c>
      <c r="L536">
        <f>VLOOKUP(Table1[[#This Row],[Propinsi]]&amp;"_"&amp;Table1[[#This Row],[Dati 2]]&amp;"_"&amp;Table1[[#This Row],[Tanggal]],Table2[[#All],[Kompetitor area]:[Jumlah Kompetitor]],7,0)</f>
        <v>122</v>
      </c>
      <c r="M536">
        <f>Table1[[#This Row],[Aktual]]-Table1[[#This Row],[Jumlah Kompetitor]]</f>
        <v>506</v>
      </c>
      <c r="N536" t="str">
        <f>IF(Table1[[#This Row],[vs Kompetitor]]&gt;0,"Win", "Lose")</f>
        <v>Win</v>
      </c>
    </row>
    <row r="537" spans="1:14" x14ac:dyDescent="0.25">
      <c r="A537">
        <v>536</v>
      </c>
      <c r="B537" t="s">
        <v>4</v>
      </c>
      <c r="C537" t="s">
        <v>90</v>
      </c>
      <c r="D537">
        <v>5</v>
      </c>
      <c r="E537">
        <v>2021</v>
      </c>
      <c r="F537" s="2">
        <f>DATE(Table1[[#This Row],[Tahun]],Table1[[#This Row],[Bulan]],1)</f>
        <v>44317</v>
      </c>
      <c r="G537">
        <v>566</v>
      </c>
      <c r="H537">
        <v>506</v>
      </c>
      <c r="I537" s="6">
        <f>(Table1[[#This Row],[Aktual]]-Table1[[#This Row],[Target]])</f>
        <v>60</v>
      </c>
      <c r="J537" s="3">
        <f>(Table1[[#This Row],[Aktual]]-Table1[[#This Row],[Target]])/Table1[[#This Row],[Target]]</f>
        <v>0.11857707509881422</v>
      </c>
      <c r="K537" t="str">
        <f>IF(Table1[[#This Row],[Performance Gap (%)]]&lt;0,"Tidak mencapai target", IF(Table1[[#This Row],[Performance Gap (%)]]=0,"Mencapai target", "Melebihi Target"))</f>
        <v>Melebihi Target</v>
      </c>
      <c r="L537">
        <f>VLOOKUP(Table1[[#This Row],[Propinsi]]&amp;"_"&amp;Table1[[#This Row],[Dati 2]]&amp;"_"&amp;Table1[[#This Row],[Tanggal]],Table2[[#All],[Kompetitor area]:[Jumlah Kompetitor]],7,0)</f>
        <v>105</v>
      </c>
      <c r="M537">
        <f>Table1[[#This Row],[Aktual]]-Table1[[#This Row],[Jumlah Kompetitor]]</f>
        <v>461</v>
      </c>
      <c r="N537" t="str">
        <f>IF(Table1[[#This Row],[vs Kompetitor]]&gt;0,"Win", "Lose")</f>
        <v>Win</v>
      </c>
    </row>
    <row r="538" spans="1:14" x14ac:dyDescent="0.25">
      <c r="A538">
        <v>537</v>
      </c>
      <c r="B538" t="s">
        <v>4</v>
      </c>
      <c r="C538" t="s">
        <v>91</v>
      </c>
      <c r="D538">
        <v>5</v>
      </c>
      <c r="E538">
        <v>2021</v>
      </c>
      <c r="F538" s="2">
        <f>DATE(Table1[[#This Row],[Tahun]],Table1[[#This Row],[Bulan]],1)</f>
        <v>44317</v>
      </c>
      <c r="G538">
        <v>511</v>
      </c>
      <c r="H538">
        <v>471</v>
      </c>
      <c r="I538" s="6">
        <f>(Table1[[#This Row],[Aktual]]-Table1[[#This Row],[Target]])</f>
        <v>40</v>
      </c>
      <c r="J538" s="3">
        <f>(Table1[[#This Row],[Aktual]]-Table1[[#This Row],[Target]])/Table1[[#This Row],[Target]]</f>
        <v>8.4925690021231418E-2</v>
      </c>
      <c r="K538" t="str">
        <f>IF(Table1[[#This Row],[Performance Gap (%)]]&lt;0,"Tidak mencapai target", IF(Table1[[#This Row],[Performance Gap (%)]]=0,"Mencapai target", "Melebihi Target"))</f>
        <v>Melebihi Target</v>
      </c>
      <c r="L538">
        <f>VLOOKUP(Table1[[#This Row],[Propinsi]]&amp;"_"&amp;Table1[[#This Row],[Dati 2]]&amp;"_"&amp;Table1[[#This Row],[Tanggal]],Table2[[#All],[Kompetitor area]:[Jumlah Kompetitor]],7,0)</f>
        <v>121</v>
      </c>
      <c r="M538">
        <f>Table1[[#This Row],[Aktual]]-Table1[[#This Row],[Jumlah Kompetitor]]</f>
        <v>390</v>
      </c>
      <c r="N538" t="str">
        <f>IF(Table1[[#This Row],[vs Kompetitor]]&gt;0,"Win", "Lose")</f>
        <v>Win</v>
      </c>
    </row>
    <row r="539" spans="1:14" x14ac:dyDescent="0.25">
      <c r="A539">
        <v>538</v>
      </c>
      <c r="B539" t="s">
        <v>4</v>
      </c>
      <c r="C539" t="s">
        <v>92</v>
      </c>
      <c r="D539">
        <v>5</v>
      </c>
      <c r="E539">
        <v>2021</v>
      </c>
      <c r="F539" s="2">
        <f>DATE(Table1[[#This Row],[Tahun]],Table1[[#This Row],[Bulan]],1)</f>
        <v>44317</v>
      </c>
      <c r="G539">
        <v>701</v>
      </c>
      <c r="H539">
        <v>660</v>
      </c>
      <c r="I539" s="6">
        <f>(Table1[[#This Row],[Aktual]]-Table1[[#This Row],[Target]])</f>
        <v>41</v>
      </c>
      <c r="J539" s="3">
        <f>(Table1[[#This Row],[Aktual]]-Table1[[#This Row],[Target]])/Table1[[#This Row],[Target]]</f>
        <v>6.2121212121212119E-2</v>
      </c>
      <c r="K539" t="str">
        <f>IF(Table1[[#This Row],[Performance Gap (%)]]&lt;0,"Tidak mencapai target", IF(Table1[[#This Row],[Performance Gap (%)]]=0,"Mencapai target", "Melebihi Target"))</f>
        <v>Melebihi Target</v>
      </c>
      <c r="L539">
        <f>VLOOKUP(Table1[[#This Row],[Propinsi]]&amp;"_"&amp;Table1[[#This Row],[Dati 2]]&amp;"_"&amp;Table1[[#This Row],[Tanggal]],Table2[[#All],[Kompetitor area]:[Jumlah Kompetitor]],7,0)</f>
        <v>117</v>
      </c>
      <c r="M539">
        <f>Table1[[#This Row],[Aktual]]-Table1[[#This Row],[Jumlah Kompetitor]]</f>
        <v>584</v>
      </c>
      <c r="N539" t="str">
        <f>IF(Table1[[#This Row],[vs Kompetitor]]&gt;0,"Win", "Lose")</f>
        <v>Win</v>
      </c>
    </row>
    <row r="540" spans="1:14" x14ac:dyDescent="0.25">
      <c r="A540">
        <v>539</v>
      </c>
      <c r="B540" t="s">
        <v>4</v>
      </c>
      <c r="C540" t="s">
        <v>93</v>
      </c>
      <c r="D540">
        <v>5</v>
      </c>
      <c r="E540">
        <v>2021</v>
      </c>
      <c r="F540" s="2">
        <f>DATE(Table1[[#This Row],[Tahun]],Table1[[#This Row],[Bulan]],1)</f>
        <v>44317</v>
      </c>
      <c r="G540">
        <v>351</v>
      </c>
      <c r="H540">
        <v>373</v>
      </c>
      <c r="I540" s="6">
        <f>(Table1[[#This Row],[Aktual]]-Table1[[#This Row],[Target]])</f>
        <v>-22</v>
      </c>
      <c r="J540" s="3">
        <f>(Table1[[#This Row],[Aktual]]-Table1[[#This Row],[Target]])/Table1[[#This Row],[Target]]</f>
        <v>-5.8981233243967826E-2</v>
      </c>
      <c r="K540" t="str">
        <f>IF(Table1[[#This Row],[Performance Gap (%)]]&lt;0,"Tidak mencapai target", IF(Table1[[#This Row],[Performance Gap (%)]]=0,"Mencapai target", "Melebihi Target"))</f>
        <v>Tidak mencapai target</v>
      </c>
      <c r="L540">
        <f>VLOOKUP(Table1[[#This Row],[Propinsi]]&amp;"_"&amp;Table1[[#This Row],[Dati 2]]&amp;"_"&amp;Table1[[#This Row],[Tanggal]],Table2[[#All],[Kompetitor area]:[Jumlah Kompetitor]],7,0)</f>
        <v>58</v>
      </c>
      <c r="M540">
        <f>Table1[[#This Row],[Aktual]]-Table1[[#This Row],[Jumlah Kompetitor]]</f>
        <v>293</v>
      </c>
      <c r="N540" t="str">
        <f>IF(Table1[[#This Row],[vs Kompetitor]]&gt;0,"Win", "Lose")</f>
        <v>Win</v>
      </c>
    </row>
    <row r="541" spans="1:14" x14ac:dyDescent="0.25">
      <c r="A541">
        <v>540</v>
      </c>
      <c r="B541" t="s">
        <v>4</v>
      </c>
      <c r="C541" t="s">
        <v>94</v>
      </c>
      <c r="D541">
        <v>5</v>
      </c>
      <c r="E541">
        <v>2021</v>
      </c>
      <c r="F541" s="2">
        <f>DATE(Table1[[#This Row],[Tahun]],Table1[[#This Row],[Bulan]],1)</f>
        <v>44317</v>
      </c>
      <c r="G541">
        <v>83</v>
      </c>
      <c r="H541">
        <v>89</v>
      </c>
      <c r="I541" s="6">
        <f>(Table1[[#This Row],[Aktual]]-Table1[[#This Row],[Target]])</f>
        <v>-6</v>
      </c>
      <c r="J541" s="3">
        <f>(Table1[[#This Row],[Aktual]]-Table1[[#This Row],[Target]])/Table1[[#This Row],[Target]]</f>
        <v>-6.741573033707865E-2</v>
      </c>
      <c r="K541" t="str">
        <f>IF(Table1[[#This Row],[Performance Gap (%)]]&lt;0,"Tidak mencapai target", IF(Table1[[#This Row],[Performance Gap (%)]]=0,"Mencapai target", "Melebihi Target"))</f>
        <v>Tidak mencapai target</v>
      </c>
      <c r="L541">
        <f>VLOOKUP(Table1[[#This Row],[Propinsi]]&amp;"_"&amp;Table1[[#This Row],[Dati 2]]&amp;"_"&amp;Table1[[#This Row],[Tanggal]],Table2[[#All],[Kompetitor area]:[Jumlah Kompetitor]],7,0)</f>
        <v>63</v>
      </c>
      <c r="M541">
        <f>Table1[[#This Row],[Aktual]]-Table1[[#This Row],[Jumlah Kompetitor]]</f>
        <v>20</v>
      </c>
      <c r="N541" t="str">
        <f>IF(Table1[[#This Row],[vs Kompetitor]]&gt;0,"Win", "Lose")</f>
        <v>Win</v>
      </c>
    </row>
    <row r="542" spans="1:14" x14ac:dyDescent="0.25">
      <c r="A542">
        <v>541</v>
      </c>
      <c r="B542" t="s">
        <v>5</v>
      </c>
      <c r="C542" t="s">
        <v>95</v>
      </c>
      <c r="D542">
        <v>5</v>
      </c>
      <c r="E542">
        <v>2021</v>
      </c>
      <c r="F542" s="2">
        <f>DATE(Table1[[#This Row],[Tahun]],Table1[[#This Row],[Bulan]],1)</f>
        <v>44317</v>
      </c>
      <c r="G542">
        <v>658</v>
      </c>
      <c r="H542">
        <v>649</v>
      </c>
      <c r="I542" s="6">
        <f>(Table1[[#This Row],[Aktual]]-Table1[[#This Row],[Target]])</f>
        <v>9</v>
      </c>
      <c r="J542" s="3">
        <f>(Table1[[#This Row],[Aktual]]-Table1[[#This Row],[Target]])/Table1[[#This Row],[Target]]</f>
        <v>1.386748844375963E-2</v>
      </c>
      <c r="K542" t="str">
        <f>IF(Table1[[#This Row],[Performance Gap (%)]]&lt;0,"Tidak mencapai target", IF(Table1[[#This Row],[Performance Gap (%)]]=0,"Mencapai target", "Melebihi Target"))</f>
        <v>Melebihi Target</v>
      </c>
      <c r="L542">
        <f>VLOOKUP(Table1[[#This Row],[Propinsi]]&amp;"_"&amp;Table1[[#This Row],[Dati 2]]&amp;"_"&amp;Table1[[#This Row],[Tanggal]],Table2[[#All],[Kompetitor area]:[Jumlah Kompetitor]],7,0)</f>
        <v>40</v>
      </c>
      <c r="M542">
        <f>Table1[[#This Row],[Aktual]]-Table1[[#This Row],[Jumlah Kompetitor]]</f>
        <v>618</v>
      </c>
      <c r="N542" t="str">
        <f>IF(Table1[[#This Row],[vs Kompetitor]]&gt;0,"Win", "Lose")</f>
        <v>Win</v>
      </c>
    </row>
    <row r="543" spans="1:14" x14ac:dyDescent="0.25">
      <c r="A543">
        <v>542</v>
      </c>
      <c r="B543" t="s">
        <v>5</v>
      </c>
      <c r="C543" t="s">
        <v>96</v>
      </c>
      <c r="D543">
        <v>5</v>
      </c>
      <c r="E543">
        <v>2021</v>
      </c>
      <c r="F543" s="2">
        <f>DATE(Table1[[#This Row],[Tahun]],Table1[[#This Row],[Bulan]],1)</f>
        <v>44317</v>
      </c>
      <c r="G543">
        <v>141</v>
      </c>
      <c r="H543">
        <v>122</v>
      </c>
      <c r="I543" s="6">
        <f>(Table1[[#This Row],[Aktual]]-Table1[[#This Row],[Target]])</f>
        <v>19</v>
      </c>
      <c r="J543" s="3">
        <f>(Table1[[#This Row],[Aktual]]-Table1[[#This Row],[Target]])/Table1[[#This Row],[Target]]</f>
        <v>0.15573770491803279</v>
      </c>
      <c r="K543" t="str">
        <f>IF(Table1[[#This Row],[Performance Gap (%)]]&lt;0,"Tidak mencapai target", IF(Table1[[#This Row],[Performance Gap (%)]]=0,"Mencapai target", "Melebihi Target"))</f>
        <v>Melebihi Target</v>
      </c>
      <c r="L543">
        <f>VLOOKUP(Table1[[#This Row],[Propinsi]]&amp;"_"&amp;Table1[[#This Row],[Dati 2]]&amp;"_"&amp;Table1[[#This Row],[Tanggal]],Table2[[#All],[Kompetitor area]:[Jumlah Kompetitor]],7,0)</f>
        <v>68</v>
      </c>
      <c r="M543">
        <f>Table1[[#This Row],[Aktual]]-Table1[[#This Row],[Jumlah Kompetitor]]</f>
        <v>73</v>
      </c>
      <c r="N543" t="str">
        <f>IF(Table1[[#This Row],[vs Kompetitor]]&gt;0,"Win", "Lose")</f>
        <v>Win</v>
      </c>
    </row>
    <row r="544" spans="1:14" x14ac:dyDescent="0.25">
      <c r="A544">
        <v>543</v>
      </c>
      <c r="B544" t="s">
        <v>5</v>
      </c>
      <c r="C544" t="s">
        <v>97</v>
      </c>
      <c r="D544">
        <v>5</v>
      </c>
      <c r="E544">
        <v>2021</v>
      </c>
      <c r="F544" s="2">
        <f>DATE(Table1[[#This Row],[Tahun]],Table1[[#This Row],[Bulan]],1)</f>
        <v>44317</v>
      </c>
      <c r="G544">
        <v>147</v>
      </c>
      <c r="H544">
        <v>138</v>
      </c>
      <c r="I544" s="6">
        <f>(Table1[[#This Row],[Aktual]]-Table1[[#This Row],[Target]])</f>
        <v>9</v>
      </c>
      <c r="J544" s="3">
        <f>(Table1[[#This Row],[Aktual]]-Table1[[#This Row],[Target]])/Table1[[#This Row],[Target]]</f>
        <v>6.5217391304347824E-2</v>
      </c>
      <c r="K544" t="str">
        <f>IF(Table1[[#This Row],[Performance Gap (%)]]&lt;0,"Tidak mencapai target", IF(Table1[[#This Row],[Performance Gap (%)]]=0,"Mencapai target", "Melebihi Target"))</f>
        <v>Melebihi Target</v>
      </c>
      <c r="L544">
        <f>VLOOKUP(Table1[[#This Row],[Propinsi]]&amp;"_"&amp;Table1[[#This Row],[Dati 2]]&amp;"_"&amp;Table1[[#This Row],[Tanggal]],Table2[[#All],[Kompetitor area]:[Jumlah Kompetitor]],7,0)</f>
        <v>97</v>
      </c>
      <c r="M544">
        <f>Table1[[#This Row],[Aktual]]-Table1[[#This Row],[Jumlah Kompetitor]]</f>
        <v>50</v>
      </c>
      <c r="N544" t="str">
        <f>IF(Table1[[#This Row],[vs Kompetitor]]&gt;0,"Win", "Lose")</f>
        <v>Win</v>
      </c>
    </row>
    <row r="545" spans="1:14" x14ac:dyDescent="0.25">
      <c r="A545">
        <v>544</v>
      </c>
      <c r="B545" t="s">
        <v>5</v>
      </c>
      <c r="C545" t="s">
        <v>98</v>
      </c>
      <c r="D545">
        <v>5</v>
      </c>
      <c r="E545">
        <v>2021</v>
      </c>
      <c r="F545" s="2">
        <f>DATE(Table1[[#This Row],[Tahun]],Table1[[#This Row],[Bulan]],1)</f>
        <v>44317</v>
      </c>
      <c r="G545">
        <v>490</v>
      </c>
      <c r="H545">
        <v>473</v>
      </c>
      <c r="I545" s="6">
        <f>(Table1[[#This Row],[Aktual]]-Table1[[#This Row],[Target]])</f>
        <v>17</v>
      </c>
      <c r="J545" s="3">
        <f>(Table1[[#This Row],[Aktual]]-Table1[[#This Row],[Target]])/Table1[[#This Row],[Target]]</f>
        <v>3.5940803382663845E-2</v>
      </c>
      <c r="K545" t="str">
        <f>IF(Table1[[#This Row],[Performance Gap (%)]]&lt;0,"Tidak mencapai target", IF(Table1[[#This Row],[Performance Gap (%)]]=0,"Mencapai target", "Melebihi Target"))</f>
        <v>Melebihi Target</v>
      </c>
      <c r="L545">
        <f>VLOOKUP(Table1[[#This Row],[Propinsi]]&amp;"_"&amp;Table1[[#This Row],[Dati 2]]&amp;"_"&amp;Table1[[#This Row],[Tanggal]],Table2[[#All],[Kompetitor area]:[Jumlah Kompetitor]],7,0)</f>
        <v>67</v>
      </c>
      <c r="M545">
        <f>Table1[[#This Row],[Aktual]]-Table1[[#This Row],[Jumlah Kompetitor]]</f>
        <v>423</v>
      </c>
      <c r="N545" t="str">
        <f>IF(Table1[[#This Row],[vs Kompetitor]]&gt;0,"Win", "Lose")</f>
        <v>Win</v>
      </c>
    </row>
    <row r="546" spans="1:14" x14ac:dyDescent="0.25">
      <c r="A546">
        <v>545</v>
      </c>
      <c r="B546" t="s">
        <v>5</v>
      </c>
      <c r="C546" t="s">
        <v>99</v>
      </c>
      <c r="D546">
        <v>5</v>
      </c>
      <c r="E546">
        <v>2021</v>
      </c>
      <c r="F546" s="2">
        <f>DATE(Table1[[#This Row],[Tahun]],Table1[[#This Row],[Bulan]],1)</f>
        <v>44317</v>
      </c>
      <c r="G546">
        <v>745</v>
      </c>
      <c r="H546">
        <v>630</v>
      </c>
      <c r="I546" s="6">
        <f>(Table1[[#This Row],[Aktual]]-Table1[[#This Row],[Target]])</f>
        <v>115</v>
      </c>
      <c r="J546" s="3">
        <f>(Table1[[#This Row],[Aktual]]-Table1[[#This Row],[Target]])/Table1[[#This Row],[Target]]</f>
        <v>0.18253968253968253</v>
      </c>
      <c r="K546" t="str">
        <f>IF(Table1[[#This Row],[Performance Gap (%)]]&lt;0,"Tidak mencapai target", IF(Table1[[#This Row],[Performance Gap (%)]]=0,"Mencapai target", "Melebihi Target"))</f>
        <v>Melebihi Target</v>
      </c>
      <c r="L546">
        <f>VLOOKUP(Table1[[#This Row],[Propinsi]]&amp;"_"&amp;Table1[[#This Row],[Dati 2]]&amp;"_"&amp;Table1[[#This Row],[Tanggal]],Table2[[#All],[Kompetitor area]:[Jumlah Kompetitor]],7,0)</f>
        <v>64</v>
      </c>
      <c r="M546">
        <f>Table1[[#This Row],[Aktual]]-Table1[[#This Row],[Jumlah Kompetitor]]</f>
        <v>681</v>
      </c>
      <c r="N546" t="str">
        <f>IF(Table1[[#This Row],[vs Kompetitor]]&gt;0,"Win", "Lose")</f>
        <v>Win</v>
      </c>
    </row>
    <row r="547" spans="1:14" x14ac:dyDescent="0.25">
      <c r="A547">
        <v>546</v>
      </c>
      <c r="B547" t="s">
        <v>5</v>
      </c>
      <c r="C547" t="s">
        <v>100</v>
      </c>
      <c r="D547">
        <v>5</v>
      </c>
      <c r="E547">
        <v>2021</v>
      </c>
      <c r="F547" s="2">
        <f>DATE(Table1[[#This Row],[Tahun]],Table1[[#This Row],[Bulan]],1)</f>
        <v>44317</v>
      </c>
      <c r="G547">
        <v>209</v>
      </c>
      <c r="H547">
        <v>198</v>
      </c>
      <c r="I547" s="6">
        <f>(Table1[[#This Row],[Aktual]]-Table1[[#This Row],[Target]])</f>
        <v>11</v>
      </c>
      <c r="J547" s="3">
        <f>(Table1[[#This Row],[Aktual]]-Table1[[#This Row],[Target]])/Table1[[#This Row],[Target]]</f>
        <v>5.5555555555555552E-2</v>
      </c>
      <c r="K547" t="str">
        <f>IF(Table1[[#This Row],[Performance Gap (%)]]&lt;0,"Tidak mencapai target", IF(Table1[[#This Row],[Performance Gap (%)]]=0,"Mencapai target", "Melebihi Target"))</f>
        <v>Melebihi Target</v>
      </c>
      <c r="L547">
        <f>VLOOKUP(Table1[[#This Row],[Propinsi]]&amp;"_"&amp;Table1[[#This Row],[Dati 2]]&amp;"_"&amp;Table1[[#This Row],[Tanggal]],Table2[[#All],[Kompetitor area]:[Jumlah Kompetitor]],7,0)</f>
        <v>153</v>
      </c>
      <c r="M547">
        <f>Table1[[#This Row],[Aktual]]-Table1[[#This Row],[Jumlah Kompetitor]]</f>
        <v>56</v>
      </c>
      <c r="N547" t="str">
        <f>IF(Table1[[#This Row],[vs Kompetitor]]&gt;0,"Win", "Lose")</f>
        <v>Win</v>
      </c>
    </row>
    <row r="548" spans="1:14" x14ac:dyDescent="0.25">
      <c r="A548">
        <v>547</v>
      </c>
      <c r="B548" t="s">
        <v>5</v>
      </c>
      <c r="C548" t="s">
        <v>101</v>
      </c>
      <c r="D548">
        <v>5</v>
      </c>
      <c r="E548">
        <v>2021</v>
      </c>
      <c r="F548" s="2">
        <f>DATE(Table1[[#This Row],[Tahun]],Table1[[#This Row],[Bulan]],1)</f>
        <v>44317</v>
      </c>
      <c r="G548">
        <v>933</v>
      </c>
      <c r="H548">
        <v>942</v>
      </c>
      <c r="I548" s="6">
        <f>(Table1[[#This Row],[Aktual]]-Table1[[#This Row],[Target]])</f>
        <v>-9</v>
      </c>
      <c r="J548" s="3">
        <f>(Table1[[#This Row],[Aktual]]-Table1[[#This Row],[Target]])/Table1[[#This Row],[Target]]</f>
        <v>-9.5541401273885346E-3</v>
      </c>
      <c r="K548" t="str">
        <f>IF(Table1[[#This Row],[Performance Gap (%)]]&lt;0,"Tidak mencapai target", IF(Table1[[#This Row],[Performance Gap (%)]]=0,"Mencapai target", "Melebihi Target"))</f>
        <v>Tidak mencapai target</v>
      </c>
      <c r="L548">
        <f>VLOOKUP(Table1[[#This Row],[Propinsi]]&amp;"_"&amp;Table1[[#This Row],[Dati 2]]&amp;"_"&amp;Table1[[#This Row],[Tanggal]],Table2[[#All],[Kompetitor area]:[Jumlah Kompetitor]],7,0)</f>
        <v>96</v>
      </c>
      <c r="M548">
        <f>Table1[[#This Row],[Aktual]]-Table1[[#This Row],[Jumlah Kompetitor]]</f>
        <v>837</v>
      </c>
      <c r="N548" t="str">
        <f>IF(Table1[[#This Row],[vs Kompetitor]]&gt;0,"Win", "Lose")</f>
        <v>Win</v>
      </c>
    </row>
    <row r="549" spans="1:14" x14ac:dyDescent="0.25">
      <c r="A549">
        <v>548</v>
      </c>
      <c r="B549" t="s">
        <v>5</v>
      </c>
      <c r="C549" t="s">
        <v>102</v>
      </c>
      <c r="D549">
        <v>5</v>
      </c>
      <c r="E549">
        <v>2021</v>
      </c>
      <c r="F549" s="2">
        <f>DATE(Table1[[#This Row],[Tahun]],Table1[[#This Row],[Bulan]],1)</f>
        <v>44317</v>
      </c>
      <c r="G549">
        <v>734</v>
      </c>
      <c r="H549">
        <v>680</v>
      </c>
      <c r="I549" s="6">
        <f>(Table1[[#This Row],[Aktual]]-Table1[[#This Row],[Target]])</f>
        <v>54</v>
      </c>
      <c r="J549" s="3">
        <f>(Table1[[#This Row],[Aktual]]-Table1[[#This Row],[Target]])/Table1[[#This Row],[Target]]</f>
        <v>7.9411764705882348E-2</v>
      </c>
      <c r="K549" t="str">
        <f>IF(Table1[[#This Row],[Performance Gap (%)]]&lt;0,"Tidak mencapai target", IF(Table1[[#This Row],[Performance Gap (%)]]=0,"Mencapai target", "Melebihi Target"))</f>
        <v>Melebihi Target</v>
      </c>
      <c r="L549">
        <f>VLOOKUP(Table1[[#This Row],[Propinsi]]&amp;"_"&amp;Table1[[#This Row],[Dati 2]]&amp;"_"&amp;Table1[[#This Row],[Tanggal]],Table2[[#All],[Kompetitor area]:[Jumlah Kompetitor]],7,0)</f>
        <v>139</v>
      </c>
      <c r="M549">
        <f>Table1[[#This Row],[Aktual]]-Table1[[#This Row],[Jumlah Kompetitor]]</f>
        <v>595</v>
      </c>
      <c r="N549" t="str">
        <f>IF(Table1[[#This Row],[vs Kompetitor]]&gt;0,"Win", "Lose")</f>
        <v>Win</v>
      </c>
    </row>
    <row r="550" spans="1:14" x14ac:dyDescent="0.25">
      <c r="A550">
        <v>549</v>
      </c>
      <c r="B550" t="s">
        <v>5</v>
      </c>
      <c r="C550" t="s">
        <v>103</v>
      </c>
      <c r="D550">
        <v>5</v>
      </c>
      <c r="E550">
        <v>2021</v>
      </c>
      <c r="F550" s="2">
        <f>DATE(Table1[[#This Row],[Tahun]],Table1[[#This Row],[Bulan]],1)</f>
        <v>44317</v>
      </c>
      <c r="G550">
        <v>1478</v>
      </c>
      <c r="H550">
        <v>1392</v>
      </c>
      <c r="I550" s="6">
        <f>(Table1[[#This Row],[Aktual]]-Table1[[#This Row],[Target]])</f>
        <v>86</v>
      </c>
      <c r="J550" s="3">
        <f>(Table1[[#This Row],[Aktual]]-Table1[[#This Row],[Target]])/Table1[[#This Row],[Target]]</f>
        <v>6.17816091954023E-2</v>
      </c>
      <c r="K550" t="str">
        <f>IF(Table1[[#This Row],[Performance Gap (%)]]&lt;0,"Tidak mencapai target", IF(Table1[[#This Row],[Performance Gap (%)]]=0,"Mencapai target", "Melebihi Target"))</f>
        <v>Melebihi Target</v>
      </c>
      <c r="L550">
        <f>VLOOKUP(Table1[[#This Row],[Propinsi]]&amp;"_"&amp;Table1[[#This Row],[Dati 2]]&amp;"_"&amp;Table1[[#This Row],[Tanggal]],Table2[[#All],[Kompetitor area]:[Jumlah Kompetitor]],7,0)</f>
        <v>78</v>
      </c>
      <c r="M550">
        <f>Table1[[#This Row],[Aktual]]-Table1[[#This Row],[Jumlah Kompetitor]]</f>
        <v>1400</v>
      </c>
      <c r="N550" t="str">
        <f>IF(Table1[[#This Row],[vs Kompetitor]]&gt;0,"Win", "Lose")</f>
        <v>Win</v>
      </c>
    </row>
    <row r="551" spans="1:14" x14ac:dyDescent="0.25">
      <c r="A551">
        <v>550</v>
      </c>
      <c r="B551" t="s">
        <v>5</v>
      </c>
      <c r="C551" t="s">
        <v>104</v>
      </c>
      <c r="D551">
        <v>5</v>
      </c>
      <c r="E551">
        <v>2021</v>
      </c>
      <c r="F551" s="2">
        <f>DATE(Table1[[#This Row],[Tahun]],Table1[[#This Row],[Bulan]],1)</f>
        <v>44317</v>
      </c>
      <c r="G551">
        <v>1449</v>
      </c>
      <c r="H551">
        <v>1388</v>
      </c>
      <c r="I551" s="6">
        <f>(Table1[[#This Row],[Aktual]]-Table1[[#This Row],[Target]])</f>
        <v>61</v>
      </c>
      <c r="J551" s="3">
        <f>(Table1[[#This Row],[Aktual]]-Table1[[#This Row],[Target]])/Table1[[#This Row],[Target]]</f>
        <v>4.3948126801152738E-2</v>
      </c>
      <c r="K551" t="str">
        <f>IF(Table1[[#This Row],[Performance Gap (%)]]&lt;0,"Tidak mencapai target", IF(Table1[[#This Row],[Performance Gap (%)]]=0,"Mencapai target", "Melebihi Target"))</f>
        <v>Melebihi Target</v>
      </c>
      <c r="L551">
        <f>VLOOKUP(Table1[[#This Row],[Propinsi]]&amp;"_"&amp;Table1[[#This Row],[Dati 2]]&amp;"_"&amp;Table1[[#This Row],[Tanggal]],Table2[[#All],[Kompetitor area]:[Jumlah Kompetitor]],7,0)</f>
        <v>141</v>
      </c>
      <c r="M551">
        <f>Table1[[#This Row],[Aktual]]-Table1[[#This Row],[Jumlah Kompetitor]]</f>
        <v>1308</v>
      </c>
      <c r="N551" t="str">
        <f>IF(Table1[[#This Row],[vs Kompetitor]]&gt;0,"Win", "Lose")</f>
        <v>Win</v>
      </c>
    </row>
    <row r="552" spans="1:14" x14ac:dyDescent="0.25">
      <c r="A552">
        <v>551</v>
      </c>
      <c r="B552" t="s">
        <v>5</v>
      </c>
      <c r="C552" t="s">
        <v>105</v>
      </c>
      <c r="D552">
        <v>5</v>
      </c>
      <c r="E552">
        <v>2021</v>
      </c>
      <c r="F552" s="2">
        <f>DATE(Table1[[#This Row],[Tahun]],Table1[[#This Row],[Bulan]],1)</f>
        <v>44317</v>
      </c>
      <c r="G552">
        <v>544</v>
      </c>
      <c r="H552">
        <v>471</v>
      </c>
      <c r="I552" s="6">
        <f>(Table1[[#This Row],[Aktual]]-Table1[[#This Row],[Target]])</f>
        <v>73</v>
      </c>
      <c r="J552" s="3">
        <f>(Table1[[#This Row],[Aktual]]-Table1[[#This Row],[Target]])/Table1[[#This Row],[Target]]</f>
        <v>0.15498938428874734</v>
      </c>
      <c r="K552" t="str">
        <f>IF(Table1[[#This Row],[Performance Gap (%)]]&lt;0,"Tidak mencapai target", IF(Table1[[#This Row],[Performance Gap (%)]]=0,"Mencapai target", "Melebihi Target"))</f>
        <v>Melebihi Target</v>
      </c>
      <c r="L552">
        <f>VLOOKUP(Table1[[#This Row],[Propinsi]]&amp;"_"&amp;Table1[[#This Row],[Dati 2]]&amp;"_"&amp;Table1[[#This Row],[Tanggal]],Table2[[#All],[Kompetitor area]:[Jumlah Kompetitor]],7,0)</f>
        <v>81</v>
      </c>
      <c r="M552">
        <f>Table1[[#This Row],[Aktual]]-Table1[[#This Row],[Jumlah Kompetitor]]</f>
        <v>463</v>
      </c>
      <c r="N552" t="str">
        <f>IF(Table1[[#This Row],[vs Kompetitor]]&gt;0,"Win", "Lose")</f>
        <v>Win</v>
      </c>
    </row>
    <row r="553" spans="1:14" x14ac:dyDescent="0.25">
      <c r="A553">
        <v>552</v>
      </c>
      <c r="B553" t="s">
        <v>5</v>
      </c>
      <c r="C553" t="s">
        <v>106</v>
      </c>
      <c r="D553">
        <v>5</v>
      </c>
      <c r="E553">
        <v>2021</v>
      </c>
      <c r="F553" s="2">
        <f>DATE(Table1[[#This Row],[Tahun]],Table1[[#This Row],[Bulan]],1)</f>
        <v>44317</v>
      </c>
      <c r="G553">
        <v>547</v>
      </c>
      <c r="H553">
        <v>476</v>
      </c>
      <c r="I553" s="6">
        <f>(Table1[[#This Row],[Aktual]]-Table1[[#This Row],[Target]])</f>
        <v>71</v>
      </c>
      <c r="J553" s="3">
        <f>(Table1[[#This Row],[Aktual]]-Table1[[#This Row],[Target]])/Table1[[#This Row],[Target]]</f>
        <v>0.14915966386554622</v>
      </c>
      <c r="K553" t="str">
        <f>IF(Table1[[#This Row],[Performance Gap (%)]]&lt;0,"Tidak mencapai target", IF(Table1[[#This Row],[Performance Gap (%)]]=0,"Mencapai target", "Melebihi Target"))</f>
        <v>Melebihi Target</v>
      </c>
      <c r="L553">
        <f>VLOOKUP(Table1[[#This Row],[Propinsi]]&amp;"_"&amp;Table1[[#This Row],[Dati 2]]&amp;"_"&amp;Table1[[#This Row],[Tanggal]],Table2[[#All],[Kompetitor area]:[Jumlah Kompetitor]],7,0)</f>
        <v>69</v>
      </c>
      <c r="M553">
        <f>Table1[[#This Row],[Aktual]]-Table1[[#This Row],[Jumlah Kompetitor]]</f>
        <v>478</v>
      </c>
      <c r="N553" t="str">
        <f>IF(Table1[[#This Row],[vs Kompetitor]]&gt;0,"Win", "Lose")</f>
        <v>Win</v>
      </c>
    </row>
    <row r="554" spans="1:14" x14ac:dyDescent="0.25">
      <c r="A554">
        <v>553</v>
      </c>
      <c r="B554" t="s">
        <v>5</v>
      </c>
      <c r="C554" t="s">
        <v>107</v>
      </c>
      <c r="D554">
        <v>5</v>
      </c>
      <c r="E554">
        <v>2021</v>
      </c>
      <c r="F554" s="2">
        <f>DATE(Table1[[#This Row],[Tahun]],Table1[[#This Row],[Bulan]],1)</f>
        <v>44317</v>
      </c>
      <c r="G554">
        <v>531</v>
      </c>
      <c r="H554">
        <v>510</v>
      </c>
      <c r="I554" s="6">
        <f>(Table1[[#This Row],[Aktual]]-Table1[[#This Row],[Target]])</f>
        <v>21</v>
      </c>
      <c r="J554" s="3">
        <f>(Table1[[#This Row],[Aktual]]-Table1[[#This Row],[Target]])/Table1[[#This Row],[Target]]</f>
        <v>4.1176470588235294E-2</v>
      </c>
      <c r="K554" t="str">
        <f>IF(Table1[[#This Row],[Performance Gap (%)]]&lt;0,"Tidak mencapai target", IF(Table1[[#This Row],[Performance Gap (%)]]=0,"Mencapai target", "Melebihi Target"))</f>
        <v>Melebihi Target</v>
      </c>
      <c r="L554">
        <f>VLOOKUP(Table1[[#This Row],[Propinsi]]&amp;"_"&amp;Table1[[#This Row],[Dati 2]]&amp;"_"&amp;Table1[[#This Row],[Tanggal]],Table2[[#All],[Kompetitor area]:[Jumlah Kompetitor]],7,0)</f>
        <v>113</v>
      </c>
      <c r="M554">
        <f>Table1[[#This Row],[Aktual]]-Table1[[#This Row],[Jumlah Kompetitor]]</f>
        <v>418</v>
      </c>
      <c r="N554" t="str">
        <f>IF(Table1[[#This Row],[vs Kompetitor]]&gt;0,"Win", "Lose")</f>
        <v>Win</v>
      </c>
    </row>
    <row r="555" spans="1:14" x14ac:dyDescent="0.25">
      <c r="A555">
        <v>554</v>
      </c>
      <c r="B555" t="s">
        <v>5</v>
      </c>
      <c r="C555" t="s">
        <v>108</v>
      </c>
      <c r="D555">
        <v>5</v>
      </c>
      <c r="E555">
        <v>2021</v>
      </c>
      <c r="F555" s="2">
        <f>DATE(Table1[[#This Row],[Tahun]],Table1[[#This Row],[Bulan]],1)</f>
        <v>44317</v>
      </c>
      <c r="G555">
        <v>1159</v>
      </c>
      <c r="H555">
        <v>1002</v>
      </c>
      <c r="I555" s="6">
        <f>(Table1[[#This Row],[Aktual]]-Table1[[#This Row],[Target]])</f>
        <v>157</v>
      </c>
      <c r="J555" s="3">
        <f>(Table1[[#This Row],[Aktual]]-Table1[[#This Row],[Target]])/Table1[[#This Row],[Target]]</f>
        <v>0.15668662674650699</v>
      </c>
      <c r="K555" t="str">
        <f>IF(Table1[[#This Row],[Performance Gap (%)]]&lt;0,"Tidak mencapai target", IF(Table1[[#This Row],[Performance Gap (%)]]=0,"Mencapai target", "Melebihi Target"))</f>
        <v>Melebihi Target</v>
      </c>
      <c r="L555">
        <f>VLOOKUP(Table1[[#This Row],[Propinsi]]&amp;"_"&amp;Table1[[#This Row],[Dati 2]]&amp;"_"&amp;Table1[[#This Row],[Tanggal]],Table2[[#All],[Kompetitor area]:[Jumlah Kompetitor]],7,0)</f>
        <v>83</v>
      </c>
      <c r="M555">
        <f>Table1[[#This Row],[Aktual]]-Table1[[#This Row],[Jumlah Kompetitor]]</f>
        <v>1076</v>
      </c>
      <c r="N555" t="str">
        <f>IF(Table1[[#This Row],[vs Kompetitor]]&gt;0,"Win", "Lose")</f>
        <v>Win</v>
      </c>
    </row>
    <row r="556" spans="1:14" x14ac:dyDescent="0.25">
      <c r="A556">
        <v>555</v>
      </c>
      <c r="B556" t="s">
        <v>5</v>
      </c>
      <c r="C556" t="s">
        <v>109</v>
      </c>
      <c r="D556">
        <v>5</v>
      </c>
      <c r="E556">
        <v>2021</v>
      </c>
      <c r="F556" s="2">
        <f>DATE(Table1[[#This Row],[Tahun]],Table1[[#This Row],[Bulan]],1)</f>
        <v>44317</v>
      </c>
      <c r="G556">
        <v>1095</v>
      </c>
      <c r="H556">
        <v>944</v>
      </c>
      <c r="I556" s="6">
        <f>(Table1[[#This Row],[Aktual]]-Table1[[#This Row],[Target]])</f>
        <v>151</v>
      </c>
      <c r="J556" s="3">
        <f>(Table1[[#This Row],[Aktual]]-Table1[[#This Row],[Target]])/Table1[[#This Row],[Target]]</f>
        <v>0.15995762711864406</v>
      </c>
      <c r="K556" t="str">
        <f>IF(Table1[[#This Row],[Performance Gap (%)]]&lt;0,"Tidak mencapai target", IF(Table1[[#This Row],[Performance Gap (%)]]=0,"Mencapai target", "Melebihi Target"))</f>
        <v>Melebihi Target</v>
      </c>
      <c r="L556">
        <f>VLOOKUP(Table1[[#This Row],[Propinsi]]&amp;"_"&amp;Table1[[#This Row],[Dati 2]]&amp;"_"&amp;Table1[[#This Row],[Tanggal]],Table2[[#All],[Kompetitor area]:[Jumlah Kompetitor]],7,0)</f>
        <v>163</v>
      </c>
      <c r="M556">
        <f>Table1[[#This Row],[Aktual]]-Table1[[#This Row],[Jumlah Kompetitor]]</f>
        <v>932</v>
      </c>
      <c r="N556" t="str">
        <f>IF(Table1[[#This Row],[vs Kompetitor]]&gt;0,"Win", "Lose")</f>
        <v>Win</v>
      </c>
    </row>
    <row r="557" spans="1:14" x14ac:dyDescent="0.25">
      <c r="A557">
        <v>556</v>
      </c>
      <c r="B557" t="s">
        <v>5</v>
      </c>
      <c r="C557" t="s">
        <v>110</v>
      </c>
      <c r="D557">
        <v>5</v>
      </c>
      <c r="E557">
        <v>2021</v>
      </c>
      <c r="F557" s="2">
        <f>DATE(Table1[[#This Row],[Tahun]],Table1[[#This Row],[Bulan]],1)</f>
        <v>44317</v>
      </c>
      <c r="G557">
        <v>711</v>
      </c>
      <c r="H557">
        <v>643</v>
      </c>
      <c r="I557" s="6">
        <f>(Table1[[#This Row],[Aktual]]-Table1[[#This Row],[Target]])</f>
        <v>68</v>
      </c>
      <c r="J557" s="3">
        <f>(Table1[[#This Row],[Aktual]]-Table1[[#This Row],[Target]])/Table1[[#This Row],[Target]]</f>
        <v>0.10575427682737169</v>
      </c>
      <c r="K557" t="str">
        <f>IF(Table1[[#This Row],[Performance Gap (%)]]&lt;0,"Tidak mencapai target", IF(Table1[[#This Row],[Performance Gap (%)]]=0,"Mencapai target", "Melebihi Target"))</f>
        <v>Melebihi Target</v>
      </c>
      <c r="L557">
        <f>VLOOKUP(Table1[[#This Row],[Propinsi]]&amp;"_"&amp;Table1[[#This Row],[Dati 2]]&amp;"_"&amp;Table1[[#This Row],[Tanggal]],Table2[[#All],[Kompetitor area]:[Jumlah Kompetitor]],7,0)</f>
        <v>65</v>
      </c>
      <c r="M557">
        <f>Table1[[#This Row],[Aktual]]-Table1[[#This Row],[Jumlah Kompetitor]]</f>
        <v>646</v>
      </c>
      <c r="N557" t="str">
        <f>IF(Table1[[#This Row],[vs Kompetitor]]&gt;0,"Win", "Lose")</f>
        <v>Win</v>
      </c>
    </row>
    <row r="558" spans="1:14" x14ac:dyDescent="0.25">
      <c r="A558">
        <v>557</v>
      </c>
      <c r="B558" t="s">
        <v>5</v>
      </c>
      <c r="C558" t="s">
        <v>111</v>
      </c>
      <c r="D558">
        <v>5</v>
      </c>
      <c r="E558">
        <v>2021</v>
      </c>
      <c r="F558" s="2">
        <f>DATE(Table1[[#This Row],[Tahun]],Table1[[#This Row],[Bulan]],1)</f>
        <v>44317</v>
      </c>
      <c r="G558">
        <v>504</v>
      </c>
      <c r="H558">
        <v>562</v>
      </c>
      <c r="I558" s="6">
        <f>(Table1[[#This Row],[Aktual]]-Table1[[#This Row],[Target]])</f>
        <v>-58</v>
      </c>
      <c r="J558" s="3">
        <f>(Table1[[#This Row],[Aktual]]-Table1[[#This Row],[Target]])/Table1[[#This Row],[Target]]</f>
        <v>-0.10320284697508897</v>
      </c>
      <c r="K558" t="str">
        <f>IF(Table1[[#This Row],[Performance Gap (%)]]&lt;0,"Tidak mencapai target", IF(Table1[[#This Row],[Performance Gap (%)]]=0,"Mencapai target", "Melebihi Target"))</f>
        <v>Tidak mencapai target</v>
      </c>
      <c r="L558">
        <f>VLOOKUP(Table1[[#This Row],[Propinsi]]&amp;"_"&amp;Table1[[#This Row],[Dati 2]]&amp;"_"&amp;Table1[[#This Row],[Tanggal]],Table2[[#All],[Kompetitor area]:[Jumlah Kompetitor]],7,0)</f>
        <v>84</v>
      </c>
      <c r="M558">
        <f>Table1[[#This Row],[Aktual]]-Table1[[#This Row],[Jumlah Kompetitor]]</f>
        <v>420</v>
      </c>
      <c r="N558" t="str">
        <f>IF(Table1[[#This Row],[vs Kompetitor]]&gt;0,"Win", "Lose")</f>
        <v>Win</v>
      </c>
    </row>
    <row r="559" spans="1:14" x14ac:dyDescent="0.25">
      <c r="A559">
        <v>558</v>
      </c>
      <c r="B559" t="s">
        <v>5</v>
      </c>
      <c r="C559" t="s">
        <v>112</v>
      </c>
      <c r="D559">
        <v>5</v>
      </c>
      <c r="E559">
        <v>2021</v>
      </c>
      <c r="F559" s="2">
        <f>DATE(Table1[[#This Row],[Tahun]],Table1[[#This Row],[Bulan]],1)</f>
        <v>44317</v>
      </c>
      <c r="G559">
        <v>313</v>
      </c>
      <c r="H559">
        <v>289</v>
      </c>
      <c r="I559" s="6">
        <f>(Table1[[#This Row],[Aktual]]-Table1[[#This Row],[Target]])</f>
        <v>24</v>
      </c>
      <c r="J559" s="3">
        <f>(Table1[[#This Row],[Aktual]]-Table1[[#This Row],[Target]])/Table1[[#This Row],[Target]]</f>
        <v>8.3044982698961933E-2</v>
      </c>
      <c r="K559" t="str">
        <f>IF(Table1[[#This Row],[Performance Gap (%)]]&lt;0,"Tidak mencapai target", IF(Table1[[#This Row],[Performance Gap (%)]]=0,"Mencapai target", "Melebihi Target"))</f>
        <v>Melebihi Target</v>
      </c>
      <c r="L559">
        <f>VLOOKUP(Table1[[#This Row],[Propinsi]]&amp;"_"&amp;Table1[[#This Row],[Dati 2]]&amp;"_"&amp;Table1[[#This Row],[Tanggal]],Table2[[#All],[Kompetitor area]:[Jumlah Kompetitor]],7,0)</f>
        <v>51</v>
      </c>
      <c r="M559">
        <f>Table1[[#This Row],[Aktual]]-Table1[[#This Row],[Jumlah Kompetitor]]</f>
        <v>262</v>
      </c>
      <c r="N559" t="str">
        <f>IF(Table1[[#This Row],[vs Kompetitor]]&gt;0,"Win", "Lose")</f>
        <v>Win</v>
      </c>
    </row>
    <row r="560" spans="1:14" x14ac:dyDescent="0.25">
      <c r="A560">
        <v>559</v>
      </c>
      <c r="B560" t="s">
        <v>5</v>
      </c>
      <c r="C560" t="s">
        <v>113</v>
      </c>
      <c r="D560">
        <v>5</v>
      </c>
      <c r="E560">
        <v>2021</v>
      </c>
      <c r="F560" s="2">
        <f>DATE(Table1[[#This Row],[Tahun]],Table1[[#This Row],[Bulan]],1)</f>
        <v>44317</v>
      </c>
      <c r="G560">
        <v>789</v>
      </c>
      <c r="H560">
        <v>696</v>
      </c>
      <c r="I560" s="6">
        <f>(Table1[[#This Row],[Aktual]]-Table1[[#This Row],[Target]])</f>
        <v>93</v>
      </c>
      <c r="J560" s="3">
        <f>(Table1[[#This Row],[Aktual]]-Table1[[#This Row],[Target]])/Table1[[#This Row],[Target]]</f>
        <v>0.1336206896551724</v>
      </c>
      <c r="K560" t="str">
        <f>IF(Table1[[#This Row],[Performance Gap (%)]]&lt;0,"Tidak mencapai target", IF(Table1[[#This Row],[Performance Gap (%)]]=0,"Mencapai target", "Melebihi Target"))</f>
        <v>Melebihi Target</v>
      </c>
      <c r="L560">
        <f>VLOOKUP(Table1[[#This Row],[Propinsi]]&amp;"_"&amp;Table1[[#This Row],[Dati 2]]&amp;"_"&amp;Table1[[#This Row],[Tanggal]],Table2[[#All],[Kompetitor area]:[Jumlah Kompetitor]],7,0)</f>
        <v>8</v>
      </c>
      <c r="M560">
        <f>Table1[[#This Row],[Aktual]]-Table1[[#This Row],[Jumlah Kompetitor]]</f>
        <v>781</v>
      </c>
      <c r="N560" t="str">
        <f>IF(Table1[[#This Row],[vs Kompetitor]]&gt;0,"Win", "Lose")</f>
        <v>Win</v>
      </c>
    </row>
    <row r="561" spans="1:14" x14ac:dyDescent="0.25">
      <c r="A561">
        <v>560</v>
      </c>
      <c r="B561" t="s">
        <v>5</v>
      </c>
      <c r="C561" t="s">
        <v>114</v>
      </c>
      <c r="D561">
        <v>5</v>
      </c>
      <c r="E561">
        <v>2021</v>
      </c>
      <c r="F561" s="2">
        <f>DATE(Table1[[#This Row],[Tahun]],Table1[[#This Row],[Bulan]],1)</f>
        <v>44317</v>
      </c>
      <c r="G561">
        <v>588</v>
      </c>
      <c r="H561">
        <v>555</v>
      </c>
      <c r="I561" s="6">
        <f>(Table1[[#This Row],[Aktual]]-Table1[[#This Row],[Target]])</f>
        <v>33</v>
      </c>
      <c r="J561" s="3">
        <f>(Table1[[#This Row],[Aktual]]-Table1[[#This Row],[Target]])/Table1[[#This Row],[Target]]</f>
        <v>5.9459459459459463E-2</v>
      </c>
      <c r="K561" t="str">
        <f>IF(Table1[[#This Row],[Performance Gap (%)]]&lt;0,"Tidak mencapai target", IF(Table1[[#This Row],[Performance Gap (%)]]=0,"Mencapai target", "Melebihi Target"))</f>
        <v>Melebihi Target</v>
      </c>
      <c r="L561">
        <f>VLOOKUP(Table1[[#This Row],[Propinsi]]&amp;"_"&amp;Table1[[#This Row],[Dati 2]]&amp;"_"&amp;Table1[[#This Row],[Tanggal]],Table2[[#All],[Kompetitor area]:[Jumlah Kompetitor]],7,0)</f>
        <v>36</v>
      </c>
      <c r="M561">
        <f>Table1[[#This Row],[Aktual]]-Table1[[#This Row],[Jumlah Kompetitor]]</f>
        <v>552</v>
      </c>
      <c r="N561" t="str">
        <f>IF(Table1[[#This Row],[vs Kompetitor]]&gt;0,"Win", "Lose")</f>
        <v>Win</v>
      </c>
    </row>
    <row r="562" spans="1:14" x14ac:dyDescent="0.25">
      <c r="A562">
        <v>561</v>
      </c>
      <c r="B562" t="s">
        <v>5</v>
      </c>
      <c r="C562" t="s">
        <v>115</v>
      </c>
      <c r="D562">
        <v>5</v>
      </c>
      <c r="E562">
        <v>2021</v>
      </c>
      <c r="F562" s="2">
        <f>DATE(Table1[[#This Row],[Tahun]],Table1[[#This Row],[Bulan]],1)</f>
        <v>44317</v>
      </c>
      <c r="G562">
        <v>510</v>
      </c>
      <c r="H562">
        <v>501</v>
      </c>
      <c r="I562" s="6">
        <f>(Table1[[#This Row],[Aktual]]-Table1[[#This Row],[Target]])</f>
        <v>9</v>
      </c>
      <c r="J562" s="3">
        <f>(Table1[[#This Row],[Aktual]]-Table1[[#This Row],[Target]])/Table1[[#This Row],[Target]]</f>
        <v>1.7964071856287425E-2</v>
      </c>
      <c r="K562" t="str">
        <f>IF(Table1[[#This Row],[Performance Gap (%)]]&lt;0,"Tidak mencapai target", IF(Table1[[#This Row],[Performance Gap (%)]]=0,"Mencapai target", "Melebihi Target"))</f>
        <v>Melebihi Target</v>
      </c>
      <c r="L562">
        <f>VLOOKUP(Table1[[#This Row],[Propinsi]]&amp;"_"&amp;Table1[[#This Row],[Dati 2]]&amp;"_"&amp;Table1[[#This Row],[Tanggal]],Table2[[#All],[Kompetitor area]:[Jumlah Kompetitor]],7,0)</f>
        <v>28</v>
      </c>
      <c r="M562">
        <f>Table1[[#This Row],[Aktual]]-Table1[[#This Row],[Jumlah Kompetitor]]</f>
        <v>482</v>
      </c>
      <c r="N562" t="str">
        <f>IF(Table1[[#This Row],[vs Kompetitor]]&gt;0,"Win", "Lose")</f>
        <v>Win</v>
      </c>
    </row>
    <row r="563" spans="1:14" x14ac:dyDescent="0.25">
      <c r="A563">
        <v>562</v>
      </c>
      <c r="B563" t="s">
        <v>5</v>
      </c>
      <c r="C563" t="s">
        <v>116</v>
      </c>
      <c r="D563">
        <v>5</v>
      </c>
      <c r="E563">
        <v>2021</v>
      </c>
      <c r="F563" s="2">
        <f>DATE(Table1[[#This Row],[Tahun]],Table1[[#This Row],[Bulan]],1)</f>
        <v>44317</v>
      </c>
      <c r="G563">
        <v>1055</v>
      </c>
      <c r="H563">
        <v>795</v>
      </c>
      <c r="I563" s="6">
        <f>(Table1[[#This Row],[Aktual]]-Table1[[#This Row],[Target]])</f>
        <v>260</v>
      </c>
      <c r="J563" s="3">
        <f>(Table1[[#This Row],[Aktual]]-Table1[[#This Row],[Target]])/Table1[[#This Row],[Target]]</f>
        <v>0.32704402515723269</v>
      </c>
      <c r="K563" t="str">
        <f>IF(Table1[[#This Row],[Performance Gap (%)]]&lt;0,"Tidak mencapai target", IF(Table1[[#This Row],[Performance Gap (%)]]=0,"Mencapai target", "Melebihi Target"))</f>
        <v>Melebihi Target</v>
      </c>
      <c r="L563">
        <f>VLOOKUP(Table1[[#This Row],[Propinsi]]&amp;"_"&amp;Table1[[#This Row],[Dati 2]]&amp;"_"&amp;Table1[[#This Row],[Tanggal]],Table2[[#All],[Kompetitor area]:[Jumlah Kompetitor]],7,0)</f>
        <v>56</v>
      </c>
      <c r="M563">
        <f>Table1[[#This Row],[Aktual]]-Table1[[#This Row],[Jumlah Kompetitor]]</f>
        <v>999</v>
      </c>
      <c r="N563" t="str">
        <f>IF(Table1[[#This Row],[vs Kompetitor]]&gt;0,"Win", "Lose")</f>
        <v>Win</v>
      </c>
    </row>
    <row r="564" spans="1:14" x14ac:dyDescent="0.25">
      <c r="A564">
        <v>563</v>
      </c>
      <c r="B564" t="s">
        <v>5</v>
      </c>
      <c r="C564" t="s">
        <v>117</v>
      </c>
      <c r="D564">
        <v>5</v>
      </c>
      <c r="E564">
        <v>2021</v>
      </c>
      <c r="F564" s="2">
        <f>DATE(Table1[[#This Row],[Tahun]],Table1[[#This Row],[Bulan]],1)</f>
        <v>44317</v>
      </c>
      <c r="G564">
        <v>1127</v>
      </c>
      <c r="H564">
        <v>1001</v>
      </c>
      <c r="I564" s="6">
        <f>(Table1[[#This Row],[Aktual]]-Table1[[#This Row],[Target]])</f>
        <v>126</v>
      </c>
      <c r="J564" s="3">
        <f>(Table1[[#This Row],[Aktual]]-Table1[[#This Row],[Target]])/Table1[[#This Row],[Target]]</f>
        <v>0.12587412587412589</v>
      </c>
      <c r="K564" t="str">
        <f>IF(Table1[[#This Row],[Performance Gap (%)]]&lt;0,"Tidak mencapai target", IF(Table1[[#This Row],[Performance Gap (%)]]=0,"Mencapai target", "Melebihi Target"))</f>
        <v>Melebihi Target</v>
      </c>
      <c r="L564">
        <f>VLOOKUP(Table1[[#This Row],[Propinsi]]&amp;"_"&amp;Table1[[#This Row],[Dati 2]]&amp;"_"&amp;Table1[[#This Row],[Tanggal]],Table2[[#All],[Kompetitor area]:[Jumlah Kompetitor]],7,0)</f>
        <v>17</v>
      </c>
      <c r="M564">
        <f>Table1[[#This Row],[Aktual]]-Table1[[#This Row],[Jumlah Kompetitor]]</f>
        <v>1110</v>
      </c>
      <c r="N564" t="str">
        <f>IF(Table1[[#This Row],[vs Kompetitor]]&gt;0,"Win", "Lose")</f>
        <v>Win</v>
      </c>
    </row>
    <row r="565" spans="1:14" x14ac:dyDescent="0.25">
      <c r="A565">
        <v>564</v>
      </c>
      <c r="B565" t="s">
        <v>5</v>
      </c>
      <c r="C565" t="s">
        <v>118</v>
      </c>
      <c r="D565">
        <v>5</v>
      </c>
      <c r="E565">
        <v>2021</v>
      </c>
      <c r="F565" s="2">
        <f>DATE(Table1[[#This Row],[Tahun]],Table1[[#This Row],[Bulan]],1)</f>
        <v>44317</v>
      </c>
      <c r="G565">
        <v>672</v>
      </c>
      <c r="H565">
        <v>615</v>
      </c>
      <c r="I565" s="6">
        <f>(Table1[[#This Row],[Aktual]]-Table1[[#This Row],[Target]])</f>
        <v>57</v>
      </c>
      <c r="J565" s="3">
        <f>(Table1[[#This Row],[Aktual]]-Table1[[#This Row],[Target]])/Table1[[#This Row],[Target]]</f>
        <v>9.2682926829268292E-2</v>
      </c>
      <c r="K565" t="str">
        <f>IF(Table1[[#This Row],[Performance Gap (%)]]&lt;0,"Tidak mencapai target", IF(Table1[[#This Row],[Performance Gap (%)]]=0,"Mencapai target", "Melebihi Target"))</f>
        <v>Melebihi Target</v>
      </c>
      <c r="L565">
        <f>VLOOKUP(Table1[[#This Row],[Propinsi]]&amp;"_"&amp;Table1[[#This Row],[Dati 2]]&amp;"_"&amp;Table1[[#This Row],[Tanggal]],Table2[[#All],[Kompetitor area]:[Jumlah Kompetitor]],7,0)</f>
        <v>137</v>
      </c>
      <c r="M565">
        <f>Table1[[#This Row],[Aktual]]-Table1[[#This Row],[Jumlah Kompetitor]]</f>
        <v>535</v>
      </c>
      <c r="N565" t="str">
        <f>IF(Table1[[#This Row],[vs Kompetitor]]&gt;0,"Win", "Lose")</f>
        <v>Win</v>
      </c>
    </row>
    <row r="566" spans="1:14" x14ac:dyDescent="0.25">
      <c r="A566">
        <v>565</v>
      </c>
      <c r="B566" t="s">
        <v>5</v>
      </c>
      <c r="C566" t="s">
        <v>119</v>
      </c>
      <c r="D566">
        <v>5</v>
      </c>
      <c r="E566">
        <v>2021</v>
      </c>
      <c r="F566" s="2">
        <f>DATE(Table1[[#This Row],[Tahun]],Table1[[#This Row],[Bulan]],1)</f>
        <v>44317</v>
      </c>
      <c r="G566">
        <v>733</v>
      </c>
      <c r="H566">
        <v>768</v>
      </c>
      <c r="I566" s="6">
        <f>(Table1[[#This Row],[Aktual]]-Table1[[#This Row],[Target]])</f>
        <v>-35</v>
      </c>
      <c r="J566" s="3">
        <f>(Table1[[#This Row],[Aktual]]-Table1[[#This Row],[Target]])/Table1[[#This Row],[Target]]</f>
        <v>-4.5572916666666664E-2</v>
      </c>
      <c r="K566" t="str">
        <f>IF(Table1[[#This Row],[Performance Gap (%)]]&lt;0,"Tidak mencapai target", IF(Table1[[#This Row],[Performance Gap (%)]]=0,"Mencapai target", "Melebihi Target"))</f>
        <v>Tidak mencapai target</v>
      </c>
      <c r="L566">
        <f>VLOOKUP(Table1[[#This Row],[Propinsi]]&amp;"_"&amp;Table1[[#This Row],[Dati 2]]&amp;"_"&amp;Table1[[#This Row],[Tanggal]],Table2[[#All],[Kompetitor area]:[Jumlah Kompetitor]],7,0)</f>
        <v>93</v>
      </c>
      <c r="M566">
        <f>Table1[[#This Row],[Aktual]]-Table1[[#This Row],[Jumlah Kompetitor]]</f>
        <v>640</v>
      </c>
      <c r="N566" t="str">
        <f>IF(Table1[[#This Row],[vs Kompetitor]]&gt;0,"Win", "Lose")</f>
        <v>Win</v>
      </c>
    </row>
    <row r="567" spans="1:14" x14ac:dyDescent="0.25">
      <c r="A567">
        <v>566</v>
      </c>
      <c r="B567" t="s">
        <v>5</v>
      </c>
      <c r="C567" t="s">
        <v>120</v>
      </c>
      <c r="D567">
        <v>5</v>
      </c>
      <c r="E567">
        <v>2021</v>
      </c>
      <c r="F567" s="2">
        <f>DATE(Table1[[#This Row],[Tahun]],Table1[[#This Row],[Bulan]],1)</f>
        <v>44317</v>
      </c>
      <c r="G567">
        <v>768</v>
      </c>
      <c r="H567">
        <v>624</v>
      </c>
      <c r="I567" s="6">
        <f>(Table1[[#This Row],[Aktual]]-Table1[[#This Row],[Target]])</f>
        <v>144</v>
      </c>
      <c r="J567" s="3">
        <f>(Table1[[#This Row],[Aktual]]-Table1[[#This Row],[Target]])/Table1[[#This Row],[Target]]</f>
        <v>0.23076923076923078</v>
      </c>
      <c r="K567" t="str">
        <f>IF(Table1[[#This Row],[Performance Gap (%)]]&lt;0,"Tidak mencapai target", IF(Table1[[#This Row],[Performance Gap (%)]]=0,"Mencapai target", "Melebihi Target"))</f>
        <v>Melebihi Target</v>
      </c>
      <c r="L567">
        <f>VLOOKUP(Table1[[#This Row],[Propinsi]]&amp;"_"&amp;Table1[[#This Row],[Dati 2]]&amp;"_"&amp;Table1[[#This Row],[Tanggal]],Table2[[#All],[Kompetitor area]:[Jumlah Kompetitor]],7,0)</f>
        <v>51</v>
      </c>
      <c r="M567">
        <f>Table1[[#This Row],[Aktual]]-Table1[[#This Row],[Jumlah Kompetitor]]</f>
        <v>717</v>
      </c>
      <c r="N567" t="str">
        <f>IF(Table1[[#This Row],[vs Kompetitor]]&gt;0,"Win", "Lose")</f>
        <v>Win</v>
      </c>
    </row>
    <row r="568" spans="1:14" x14ac:dyDescent="0.25">
      <c r="A568">
        <v>567</v>
      </c>
      <c r="B568" t="s">
        <v>5</v>
      </c>
      <c r="C568" t="s">
        <v>121</v>
      </c>
      <c r="D568">
        <v>5</v>
      </c>
      <c r="E568">
        <v>2021</v>
      </c>
      <c r="F568" s="2">
        <f>DATE(Table1[[#This Row],[Tahun]],Table1[[#This Row],[Bulan]],1)</f>
        <v>44317</v>
      </c>
      <c r="G568">
        <v>1025</v>
      </c>
      <c r="H568">
        <v>936</v>
      </c>
      <c r="I568" s="6">
        <f>(Table1[[#This Row],[Aktual]]-Table1[[#This Row],[Target]])</f>
        <v>89</v>
      </c>
      <c r="J568" s="3">
        <f>(Table1[[#This Row],[Aktual]]-Table1[[#This Row],[Target]])/Table1[[#This Row],[Target]]</f>
        <v>9.5085470085470081E-2</v>
      </c>
      <c r="K568" t="str">
        <f>IF(Table1[[#This Row],[Performance Gap (%)]]&lt;0,"Tidak mencapai target", IF(Table1[[#This Row],[Performance Gap (%)]]=0,"Mencapai target", "Melebihi Target"))</f>
        <v>Melebihi Target</v>
      </c>
      <c r="L568">
        <f>VLOOKUP(Table1[[#This Row],[Propinsi]]&amp;"_"&amp;Table1[[#This Row],[Dati 2]]&amp;"_"&amp;Table1[[#This Row],[Tanggal]],Table2[[#All],[Kompetitor area]:[Jumlah Kompetitor]],7,0)</f>
        <v>852</v>
      </c>
      <c r="M568">
        <f>Table1[[#This Row],[Aktual]]-Table1[[#This Row],[Jumlah Kompetitor]]</f>
        <v>173</v>
      </c>
      <c r="N568" t="str">
        <f>IF(Table1[[#This Row],[vs Kompetitor]]&gt;0,"Win", "Lose")</f>
        <v>Win</v>
      </c>
    </row>
    <row r="569" spans="1:14" x14ac:dyDescent="0.25">
      <c r="A569">
        <v>568</v>
      </c>
      <c r="B569" t="s">
        <v>5</v>
      </c>
      <c r="C569" t="s">
        <v>122</v>
      </c>
      <c r="D569">
        <v>5</v>
      </c>
      <c r="E569">
        <v>2021</v>
      </c>
      <c r="F569" s="2">
        <f>DATE(Table1[[#This Row],[Tahun]],Table1[[#This Row],[Bulan]],1)</f>
        <v>44317</v>
      </c>
      <c r="G569">
        <v>546</v>
      </c>
      <c r="H569">
        <v>487</v>
      </c>
      <c r="I569" s="6">
        <f>(Table1[[#This Row],[Aktual]]-Table1[[#This Row],[Target]])</f>
        <v>59</v>
      </c>
      <c r="J569" s="3">
        <f>(Table1[[#This Row],[Aktual]]-Table1[[#This Row],[Target]])/Table1[[#This Row],[Target]]</f>
        <v>0.12114989733059549</v>
      </c>
      <c r="K569" t="str">
        <f>IF(Table1[[#This Row],[Performance Gap (%)]]&lt;0,"Tidak mencapai target", IF(Table1[[#This Row],[Performance Gap (%)]]=0,"Mencapai target", "Melebihi Target"))</f>
        <v>Melebihi Target</v>
      </c>
      <c r="L569">
        <f>VLOOKUP(Table1[[#This Row],[Propinsi]]&amp;"_"&amp;Table1[[#This Row],[Dati 2]]&amp;"_"&amp;Table1[[#This Row],[Tanggal]],Table2[[#All],[Kompetitor area]:[Jumlah Kompetitor]],7,0)</f>
        <v>487</v>
      </c>
      <c r="M569">
        <f>Table1[[#This Row],[Aktual]]-Table1[[#This Row],[Jumlah Kompetitor]]</f>
        <v>59</v>
      </c>
      <c r="N569" t="str">
        <f>IF(Table1[[#This Row],[vs Kompetitor]]&gt;0,"Win", "Lose")</f>
        <v>Win</v>
      </c>
    </row>
    <row r="570" spans="1:14" x14ac:dyDescent="0.25">
      <c r="A570">
        <v>569</v>
      </c>
      <c r="B570" t="s">
        <v>5</v>
      </c>
      <c r="C570" t="s">
        <v>123</v>
      </c>
      <c r="D570">
        <v>5</v>
      </c>
      <c r="E570">
        <v>2021</v>
      </c>
      <c r="F570" s="2">
        <f>DATE(Table1[[#This Row],[Tahun]],Table1[[#This Row],[Bulan]],1)</f>
        <v>44317</v>
      </c>
      <c r="G570">
        <v>571</v>
      </c>
      <c r="H570">
        <v>482</v>
      </c>
      <c r="I570" s="6">
        <f>(Table1[[#This Row],[Aktual]]-Table1[[#This Row],[Target]])</f>
        <v>89</v>
      </c>
      <c r="J570" s="3">
        <f>(Table1[[#This Row],[Aktual]]-Table1[[#This Row],[Target]])/Table1[[#This Row],[Target]]</f>
        <v>0.18464730290456433</v>
      </c>
      <c r="K570" t="str">
        <f>IF(Table1[[#This Row],[Performance Gap (%)]]&lt;0,"Tidak mencapai target", IF(Table1[[#This Row],[Performance Gap (%)]]=0,"Mencapai target", "Melebihi Target"))</f>
        <v>Melebihi Target</v>
      </c>
      <c r="L570">
        <f>VLOOKUP(Table1[[#This Row],[Propinsi]]&amp;"_"&amp;Table1[[#This Row],[Dati 2]]&amp;"_"&amp;Table1[[#This Row],[Tanggal]],Table2[[#All],[Kompetitor area]:[Jumlah Kompetitor]],7,0)</f>
        <v>506</v>
      </c>
      <c r="M570">
        <f>Table1[[#This Row],[Aktual]]-Table1[[#This Row],[Jumlah Kompetitor]]</f>
        <v>65</v>
      </c>
      <c r="N570" t="str">
        <f>IF(Table1[[#This Row],[vs Kompetitor]]&gt;0,"Win", "Lose")</f>
        <v>Win</v>
      </c>
    </row>
    <row r="571" spans="1:14" x14ac:dyDescent="0.25">
      <c r="A571">
        <v>570</v>
      </c>
      <c r="B571" t="s">
        <v>5</v>
      </c>
      <c r="C571" t="s">
        <v>124</v>
      </c>
      <c r="D571">
        <v>5</v>
      </c>
      <c r="E571">
        <v>2021</v>
      </c>
      <c r="F571" s="2">
        <f>DATE(Table1[[#This Row],[Tahun]],Table1[[#This Row],[Bulan]],1)</f>
        <v>44317</v>
      </c>
      <c r="G571">
        <v>670</v>
      </c>
      <c r="H571">
        <v>581</v>
      </c>
      <c r="I571" s="6">
        <f>(Table1[[#This Row],[Aktual]]-Table1[[#This Row],[Target]])</f>
        <v>89</v>
      </c>
      <c r="J571" s="3">
        <f>(Table1[[#This Row],[Aktual]]-Table1[[#This Row],[Target]])/Table1[[#This Row],[Target]]</f>
        <v>0.153184165232358</v>
      </c>
      <c r="K571" t="str">
        <f>IF(Table1[[#This Row],[Performance Gap (%)]]&lt;0,"Tidak mencapai target", IF(Table1[[#This Row],[Performance Gap (%)]]=0,"Mencapai target", "Melebihi Target"))</f>
        <v>Melebihi Target</v>
      </c>
      <c r="L571">
        <f>VLOOKUP(Table1[[#This Row],[Propinsi]]&amp;"_"&amp;Table1[[#This Row],[Dati 2]]&amp;"_"&amp;Table1[[#This Row],[Tanggal]],Table2[[#All],[Kompetitor area]:[Jumlah Kompetitor]],7,0)</f>
        <v>579</v>
      </c>
      <c r="M571">
        <f>Table1[[#This Row],[Aktual]]-Table1[[#This Row],[Jumlah Kompetitor]]</f>
        <v>91</v>
      </c>
      <c r="N571" t="str">
        <f>IF(Table1[[#This Row],[vs Kompetitor]]&gt;0,"Win", "Lose")</f>
        <v>Win</v>
      </c>
    </row>
    <row r="572" spans="1:14" x14ac:dyDescent="0.25">
      <c r="A572">
        <v>571</v>
      </c>
      <c r="B572" t="s">
        <v>5</v>
      </c>
      <c r="C572" t="s">
        <v>125</v>
      </c>
      <c r="D572">
        <v>5</v>
      </c>
      <c r="E572">
        <v>2021</v>
      </c>
      <c r="F572" s="2">
        <f>DATE(Table1[[#This Row],[Tahun]],Table1[[#This Row],[Bulan]],1)</f>
        <v>44317</v>
      </c>
      <c r="G572">
        <v>458</v>
      </c>
      <c r="H572">
        <v>387</v>
      </c>
      <c r="I572" s="6">
        <f>(Table1[[#This Row],[Aktual]]-Table1[[#This Row],[Target]])</f>
        <v>71</v>
      </c>
      <c r="J572" s="3">
        <f>(Table1[[#This Row],[Aktual]]-Table1[[#This Row],[Target]])/Table1[[#This Row],[Target]]</f>
        <v>0.1834625322997416</v>
      </c>
      <c r="K572" t="str">
        <f>IF(Table1[[#This Row],[Performance Gap (%)]]&lt;0,"Tidak mencapai target", IF(Table1[[#This Row],[Performance Gap (%)]]=0,"Mencapai target", "Melebihi Target"))</f>
        <v>Melebihi Target</v>
      </c>
      <c r="L572">
        <f>VLOOKUP(Table1[[#This Row],[Propinsi]]&amp;"_"&amp;Table1[[#This Row],[Dati 2]]&amp;"_"&amp;Table1[[#This Row],[Tanggal]],Table2[[#All],[Kompetitor area]:[Jumlah Kompetitor]],7,0)</f>
        <v>400</v>
      </c>
      <c r="M572">
        <f>Table1[[#This Row],[Aktual]]-Table1[[#This Row],[Jumlah Kompetitor]]</f>
        <v>58</v>
      </c>
      <c r="N572" t="str">
        <f>IF(Table1[[#This Row],[vs Kompetitor]]&gt;0,"Win", "Lose")</f>
        <v>Win</v>
      </c>
    </row>
    <row r="573" spans="1:14" x14ac:dyDescent="0.25">
      <c r="A573">
        <v>572</v>
      </c>
      <c r="B573" t="s">
        <v>7</v>
      </c>
      <c r="C573" t="s">
        <v>126</v>
      </c>
      <c r="D573">
        <v>5</v>
      </c>
      <c r="E573">
        <v>2021</v>
      </c>
      <c r="F573" s="2">
        <f>DATE(Table1[[#This Row],[Tahun]],Table1[[#This Row],[Bulan]],1)</f>
        <v>44317</v>
      </c>
      <c r="G573">
        <v>1060</v>
      </c>
      <c r="H573">
        <v>938</v>
      </c>
      <c r="I573" s="6">
        <f>(Table1[[#This Row],[Aktual]]-Table1[[#This Row],[Target]])</f>
        <v>122</v>
      </c>
      <c r="J573" s="3">
        <f>(Table1[[#This Row],[Aktual]]-Table1[[#This Row],[Target]])/Table1[[#This Row],[Target]]</f>
        <v>0.13006396588486141</v>
      </c>
      <c r="K573" t="str">
        <f>IF(Table1[[#This Row],[Performance Gap (%)]]&lt;0,"Tidak mencapai target", IF(Table1[[#This Row],[Performance Gap (%)]]=0,"Mencapai target", "Melebihi Target"))</f>
        <v>Melebihi Target</v>
      </c>
      <c r="L573">
        <f>VLOOKUP(Table1[[#This Row],[Propinsi]]&amp;"_"&amp;Table1[[#This Row],[Dati 2]]&amp;"_"&amp;Table1[[#This Row],[Tanggal]],Table2[[#All],[Kompetitor area]:[Jumlah Kompetitor]],7,0)</f>
        <v>948</v>
      </c>
      <c r="M573">
        <f>Table1[[#This Row],[Aktual]]-Table1[[#This Row],[Jumlah Kompetitor]]</f>
        <v>112</v>
      </c>
      <c r="N573" t="str">
        <f>IF(Table1[[#This Row],[vs Kompetitor]]&gt;0,"Win", "Lose")</f>
        <v>Win</v>
      </c>
    </row>
    <row r="574" spans="1:14" x14ac:dyDescent="0.25">
      <c r="A574">
        <v>573</v>
      </c>
      <c r="B574" t="s">
        <v>7</v>
      </c>
      <c r="C574" t="s">
        <v>127</v>
      </c>
      <c r="D574">
        <v>5</v>
      </c>
      <c r="E574">
        <v>2021</v>
      </c>
      <c r="F574" s="2">
        <f>DATE(Table1[[#This Row],[Tahun]],Table1[[#This Row],[Bulan]],1)</f>
        <v>44317</v>
      </c>
      <c r="G574">
        <v>699</v>
      </c>
      <c r="H574">
        <v>592</v>
      </c>
      <c r="I574" s="6">
        <f>(Table1[[#This Row],[Aktual]]-Table1[[#This Row],[Target]])</f>
        <v>107</v>
      </c>
      <c r="J574" s="3">
        <f>(Table1[[#This Row],[Aktual]]-Table1[[#This Row],[Target]])/Table1[[#This Row],[Target]]</f>
        <v>0.18074324324324326</v>
      </c>
      <c r="K574" t="str">
        <f>IF(Table1[[#This Row],[Performance Gap (%)]]&lt;0,"Tidak mencapai target", IF(Table1[[#This Row],[Performance Gap (%)]]=0,"Mencapai target", "Melebihi Target"))</f>
        <v>Melebihi Target</v>
      </c>
      <c r="L574">
        <f>VLOOKUP(Table1[[#This Row],[Propinsi]]&amp;"_"&amp;Table1[[#This Row],[Dati 2]]&amp;"_"&amp;Table1[[#This Row],[Tanggal]],Table2[[#All],[Kompetitor area]:[Jumlah Kompetitor]],7,0)</f>
        <v>610</v>
      </c>
      <c r="M574">
        <f>Table1[[#This Row],[Aktual]]-Table1[[#This Row],[Jumlah Kompetitor]]</f>
        <v>89</v>
      </c>
      <c r="N574" t="str">
        <f>IF(Table1[[#This Row],[vs Kompetitor]]&gt;0,"Win", "Lose")</f>
        <v>Win</v>
      </c>
    </row>
    <row r="575" spans="1:14" x14ac:dyDescent="0.25">
      <c r="A575">
        <v>574</v>
      </c>
      <c r="B575" t="s">
        <v>7</v>
      </c>
      <c r="C575" t="s">
        <v>128</v>
      </c>
      <c r="D575">
        <v>5</v>
      </c>
      <c r="E575">
        <v>2021</v>
      </c>
      <c r="F575" s="2">
        <f>DATE(Table1[[#This Row],[Tahun]],Table1[[#This Row],[Bulan]],1)</f>
        <v>44317</v>
      </c>
      <c r="G575">
        <v>415</v>
      </c>
      <c r="H575">
        <v>408</v>
      </c>
      <c r="I575" s="6">
        <f>(Table1[[#This Row],[Aktual]]-Table1[[#This Row],[Target]])</f>
        <v>7</v>
      </c>
      <c r="J575" s="3">
        <f>(Table1[[#This Row],[Aktual]]-Table1[[#This Row],[Target]])/Table1[[#This Row],[Target]]</f>
        <v>1.7156862745098041E-2</v>
      </c>
      <c r="K575" t="str">
        <f>IF(Table1[[#This Row],[Performance Gap (%)]]&lt;0,"Tidak mencapai target", IF(Table1[[#This Row],[Performance Gap (%)]]=0,"Mencapai target", "Melebihi Target"))</f>
        <v>Melebihi Target</v>
      </c>
      <c r="L575">
        <f>VLOOKUP(Table1[[#This Row],[Propinsi]]&amp;"_"&amp;Table1[[#This Row],[Dati 2]]&amp;"_"&amp;Table1[[#This Row],[Tanggal]],Table2[[#All],[Kompetitor area]:[Jumlah Kompetitor]],7,0)</f>
        <v>434</v>
      </c>
      <c r="M575">
        <f>Table1[[#This Row],[Aktual]]-Table1[[#This Row],[Jumlah Kompetitor]]</f>
        <v>-19</v>
      </c>
      <c r="N575" t="str">
        <f>IF(Table1[[#This Row],[vs Kompetitor]]&gt;0,"Win", "Lose")</f>
        <v>Lose</v>
      </c>
    </row>
    <row r="576" spans="1:14" x14ac:dyDescent="0.25">
      <c r="A576">
        <v>575</v>
      </c>
      <c r="B576" t="s">
        <v>7</v>
      </c>
      <c r="C576" t="s">
        <v>129</v>
      </c>
      <c r="D576">
        <v>5</v>
      </c>
      <c r="E576">
        <v>2021</v>
      </c>
      <c r="F576" s="2">
        <f>DATE(Table1[[#This Row],[Tahun]],Table1[[#This Row],[Bulan]],1)</f>
        <v>44317</v>
      </c>
      <c r="G576">
        <v>253</v>
      </c>
      <c r="H576">
        <v>236</v>
      </c>
      <c r="I576" s="6">
        <f>(Table1[[#This Row],[Aktual]]-Table1[[#This Row],[Target]])</f>
        <v>17</v>
      </c>
      <c r="J576" s="3">
        <f>(Table1[[#This Row],[Aktual]]-Table1[[#This Row],[Target]])/Table1[[#This Row],[Target]]</f>
        <v>7.2033898305084748E-2</v>
      </c>
      <c r="K576" t="str">
        <f>IF(Table1[[#This Row],[Performance Gap (%)]]&lt;0,"Tidak mencapai target", IF(Table1[[#This Row],[Performance Gap (%)]]=0,"Mencapai target", "Melebihi Target"))</f>
        <v>Melebihi Target</v>
      </c>
      <c r="L576">
        <f>VLOOKUP(Table1[[#This Row],[Propinsi]]&amp;"_"&amp;Table1[[#This Row],[Dati 2]]&amp;"_"&amp;Table1[[#This Row],[Tanggal]],Table2[[#All],[Kompetitor area]:[Jumlah Kompetitor]],7,0)</f>
        <v>240</v>
      </c>
      <c r="M576">
        <f>Table1[[#This Row],[Aktual]]-Table1[[#This Row],[Jumlah Kompetitor]]</f>
        <v>13</v>
      </c>
      <c r="N576" t="str">
        <f>IF(Table1[[#This Row],[vs Kompetitor]]&gt;0,"Win", "Lose")</f>
        <v>Win</v>
      </c>
    </row>
    <row r="577" spans="1:14" x14ac:dyDescent="0.25">
      <c r="A577">
        <v>576</v>
      </c>
      <c r="B577" t="s">
        <v>7</v>
      </c>
      <c r="C577" t="s">
        <v>130</v>
      </c>
      <c r="D577">
        <v>5</v>
      </c>
      <c r="E577">
        <v>2021</v>
      </c>
      <c r="F577" s="2">
        <f>DATE(Table1[[#This Row],[Tahun]],Table1[[#This Row],[Bulan]],1)</f>
        <v>44317</v>
      </c>
      <c r="G577">
        <v>151</v>
      </c>
      <c r="H577">
        <v>152</v>
      </c>
      <c r="I577" s="6">
        <f>(Table1[[#This Row],[Aktual]]-Table1[[#This Row],[Target]])</f>
        <v>-1</v>
      </c>
      <c r="J577" s="3">
        <f>(Table1[[#This Row],[Aktual]]-Table1[[#This Row],[Target]])/Table1[[#This Row],[Target]]</f>
        <v>-6.5789473684210523E-3</v>
      </c>
      <c r="K577" t="str">
        <f>IF(Table1[[#This Row],[Performance Gap (%)]]&lt;0,"Tidak mencapai target", IF(Table1[[#This Row],[Performance Gap (%)]]=0,"Mencapai target", "Melebihi Target"))</f>
        <v>Tidak mencapai target</v>
      </c>
      <c r="L577">
        <f>VLOOKUP(Table1[[#This Row],[Propinsi]]&amp;"_"&amp;Table1[[#This Row],[Dati 2]]&amp;"_"&amp;Table1[[#This Row],[Tanggal]],Table2[[#All],[Kompetitor area]:[Jumlah Kompetitor]],7,0)</f>
        <v>154</v>
      </c>
      <c r="M577">
        <f>Table1[[#This Row],[Aktual]]-Table1[[#This Row],[Jumlah Kompetitor]]</f>
        <v>-3</v>
      </c>
      <c r="N577" t="str">
        <f>IF(Table1[[#This Row],[vs Kompetitor]]&gt;0,"Win", "Lose")</f>
        <v>Lose</v>
      </c>
    </row>
    <row r="578" spans="1:14" x14ac:dyDescent="0.25">
      <c r="A578">
        <v>577</v>
      </c>
      <c r="B578" t="s">
        <v>7</v>
      </c>
      <c r="C578" t="s">
        <v>131</v>
      </c>
      <c r="D578">
        <v>5</v>
      </c>
      <c r="E578">
        <v>2021</v>
      </c>
      <c r="F578" s="2">
        <f>DATE(Table1[[#This Row],[Tahun]],Table1[[#This Row],[Bulan]],1)</f>
        <v>44317</v>
      </c>
      <c r="G578">
        <v>150</v>
      </c>
      <c r="H578">
        <v>150</v>
      </c>
      <c r="I578" s="6">
        <f>(Table1[[#This Row],[Aktual]]-Table1[[#This Row],[Target]])</f>
        <v>0</v>
      </c>
      <c r="J578" s="3">
        <f>(Table1[[#This Row],[Aktual]]-Table1[[#This Row],[Target]])/Table1[[#This Row],[Target]]</f>
        <v>0</v>
      </c>
      <c r="K578" t="str">
        <f>IF(Table1[[#This Row],[Performance Gap (%)]]&lt;0,"Tidak mencapai target", IF(Table1[[#This Row],[Performance Gap (%)]]=0,"Mencapai target", "Melebihi Target"))</f>
        <v>Mencapai target</v>
      </c>
      <c r="L578">
        <f>VLOOKUP(Table1[[#This Row],[Propinsi]]&amp;"_"&amp;Table1[[#This Row],[Dati 2]]&amp;"_"&amp;Table1[[#This Row],[Tanggal]],Table2[[#All],[Kompetitor area]:[Jumlah Kompetitor]],7,0)</f>
        <v>142</v>
      </c>
      <c r="M578">
        <f>Table1[[#This Row],[Aktual]]-Table1[[#This Row],[Jumlah Kompetitor]]</f>
        <v>8</v>
      </c>
      <c r="N578" t="str">
        <f>IF(Table1[[#This Row],[vs Kompetitor]]&gt;0,"Win", "Lose")</f>
        <v>Win</v>
      </c>
    </row>
    <row r="579" spans="1:14" x14ac:dyDescent="0.25">
      <c r="A579">
        <v>578</v>
      </c>
      <c r="B579" t="s">
        <v>7</v>
      </c>
      <c r="C579" t="s">
        <v>132</v>
      </c>
      <c r="D579">
        <v>5</v>
      </c>
      <c r="E579">
        <v>2021</v>
      </c>
      <c r="F579" s="2">
        <f>DATE(Table1[[#This Row],[Tahun]],Table1[[#This Row],[Bulan]],1)</f>
        <v>44317</v>
      </c>
      <c r="G579">
        <v>213</v>
      </c>
      <c r="H579">
        <v>172</v>
      </c>
      <c r="I579" s="6">
        <f>(Table1[[#This Row],[Aktual]]-Table1[[#This Row],[Target]])</f>
        <v>41</v>
      </c>
      <c r="J579" s="3">
        <f>(Table1[[#This Row],[Aktual]]-Table1[[#This Row],[Target]])/Table1[[#This Row],[Target]]</f>
        <v>0.23837209302325582</v>
      </c>
      <c r="K579" t="str">
        <f>IF(Table1[[#This Row],[Performance Gap (%)]]&lt;0,"Tidak mencapai target", IF(Table1[[#This Row],[Performance Gap (%)]]=0,"Mencapai target", "Melebihi Target"))</f>
        <v>Melebihi Target</v>
      </c>
      <c r="L579">
        <f>VLOOKUP(Table1[[#This Row],[Propinsi]]&amp;"_"&amp;Table1[[#This Row],[Dati 2]]&amp;"_"&amp;Table1[[#This Row],[Tanggal]],Table2[[#All],[Kompetitor area]:[Jumlah Kompetitor]],7,0)</f>
        <v>206</v>
      </c>
      <c r="M579">
        <f>Table1[[#This Row],[Aktual]]-Table1[[#This Row],[Jumlah Kompetitor]]</f>
        <v>7</v>
      </c>
      <c r="N579" t="str">
        <f>IF(Table1[[#This Row],[vs Kompetitor]]&gt;0,"Win", "Lose")</f>
        <v>Win</v>
      </c>
    </row>
    <row r="580" spans="1:14" x14ac:dyDescent="0.25">
      <c r="A580">
        <v>579</v>
      </c>
      <c r="B580" t="s">
        <v>7</v>
      </c>
      <c r="C580" t="s">
        <v>133</v>
      </c>
      <c r="D580">
        <v>5</v>
      </c>
      <c r="E580">
        <v>2021</v>
      </c>
      <c r="F580" s="2">
        <f>DATE(Table1[[#This Row],[Tahun]],Table1[[#This Row],[Bulan]],1)</f>
        <v>44317</v>
      </c>
      <c r="G580">
        <v>201</v>
      </c>
      <c r="H580">
        <v>180</v>
      </c>
      <c r="I580" s="6">
        <f>(Table1[[#This Row],[Aktual]]-Table1[[#This Row],[Target]])</f>
        <v>21</v>
      </c>
      <c r="J580" s="3">
        <f>(Table1[[#This Row],[Aktual]]-Table1[[#This Row],[Target]])/Table1[[#This Row],[Target]]</f>
        <v>0.11666666666666667</v>
      </c>
      <c r="K580" t="str">
        <f>IF(Table1[[#This Row],[Performance Gap (%)]]&lt;0,"Tidak mencapai target", IF(Table1[[#This Row],[Performance Gap (%)]]=0,"Mencapai target", "Melebihi Target"))</f>
        <v>Melebihi Target</v>
      </c>
      <c r="L580">
        <f>VLOOKUP(Table1[[#This Row],[Propinsi]]&amp;"_"&amp;Table1[[#This Row],[Dati 2]]&amp;"_"&amp;Table1[[#This Row],[Tanggal]],Table2[[#All],[Kompetitor area]:[Jumlah Kompetitor]],7,0)</f>
        <v>189</v>
      </c>
      <c r="M580">
        <f>Table1[[#This Row],[Aktual]]-Table1[[#This Row],[Jumlah Kompetitor]]</f>
        <v>12</v>
      </c>
      <c r="N580" t="str">
        <f>IF(Table1[[#This Row],[vs Kompetitor]]&gt;0,"Win", "Lose")</f>
        <v>Win</v>
      </c>
    </row>
    <row r="581" spans="1:14" x14ac:dyDescent="0.25">
      <c r="A581">
        <v>580</v>
      </c>
      <c r="B581" t="s">
        <v>7</v>
      </c>
      <c r="C581" t="s">
        <v>134</v>
      </c>
      <c r="D581">
        <v>5</v>
      </c>
      <c r="E581">
        <v>2021</v>
      </c>
      <c r="F581" s="2">
        <f>DATE(Table1[[#This Row],[Tahun]],Table1[[#This Row],[Bulan]],1)</f>
        <v>44317</v>
      </c>
      <c r="G581">
        <v>97</v>
      </c>
      <c r="H581">
        <v>98</v>
      </c>
      <c r="I581" s="6">
        <f>(Table1[[#This Row],[Aktual]]-Table1[[#This Row],[Target]])</f>
        <v>-1</v>
      </c>
      <c r="J581" s="3">
        <f>(Table1[[#This Row],[Aktual]]-Table1[[#This Row],[Target]])/Table1[[#This Row],[Target]]</f>
        <v>-1.020408163265306E-2</v>
      </c>
      <c r="K581" t="str">
        <f>IF(Table1[[#This Row],[Performance Gap (%)]]&lt;0,"Tidak mencapai target", IF(Table1[[#This Row],[Performance Gap (%)]]=0,"Mencapai target", "Melebihi Target"))</f>
        <v>Tidak mencapai target</v>
      </c>
      <c r="L581">
        <f>VLOOKUP(Table1[[#This Row],[Propinsi]]&amp;"_"&amp;Table1[[#This Row],[Dati 2]]&amp;"_"&amp;Table1[[#This Row],[Tanggal]],Table2[[#All],[Kompetitor area]:[Jumlah Kompetitor]],7,0)</f>
        <v>103</v>
      </c>
      <c r="M581">
        <f>Table1[[#This Row],[Aktual]]-Table1[[#This Row],[Jumlah Kompetitor]]</f>
        <v>-6</v>
      </c>
      <c r="N581" t="str">
        <f>IF(Table1[[#This Row],[vs Kompetitor]]&gt;0,"Win", "Lose")</f>
        <v>Lose</v>
      </c>
    </row>
    <row r="582" spans="1:14" x14ac:dyDescent="0.25">
      <c r="A582">
        <v>581</v>
      </c>
      <c r="B582" t="s">
        <v>7</v>
      </c>
      <c r="C582" t="s">
        <v>135</v>
      </c>
      <c r="D582">
        <v>5</v>
      </c>
      <c r="E582">
        <v>2021</v>
      </c>
      <c r="F582" s="2">
        <f>DATE(Table1[[#This Row],[Tahun]],Table1[[#This Row],[Bulan]],1)</f>
        <v>44317</v>
      </c>
      <c r="G582">
        <v>302</v>
      </c>
      <c r="H582">
        <v>266</v>
      </c>
      <c r="I582" s="6">
        <f>(Table1[[#This Row],[Aktual]]-Table1[[#This Row],[Target]])</f>
        <v>36</v>
      </c>
      <c r="J582" s="3">
        <f>(Table1[[#This Row],[Aktual]]-Table1[[#This Row],[Target]])/Table1[[#This Row],[Target]]</f>
        <v>0.13533834586466165</v>
      </c>
      <c r="K582" t="str">
        <f>IF(Table1[[#This Row],[Performance Gap (%)]]&lt;0,"Tidak mencapai target", IF(Table1[[#This Row],[Performance Gap (%)]]=0,"Mencapai target", "Melebihi Target"))</f>
        <v>Melebihi Target</v>
      </c>
      <c r="L582">
        <f>VLOOKUP(Table1[[#This Row],[Propinsi]]&amp;"_"&amp;Table1[[#This Row],[Dati 2]]&amp;"_"&amp;Table1[[#This Row],[Tanggal]],Table2[[#All],[Kompetitor area]:[Jumlah Kompetitor]],7,0)</f>
        <v>285</v>
      </c>
      <c r="M582">
        <f>Table1[[#This Row],[Aktual]]-Table1[[#This Row],[Jumlah Kompetitor]]</f>
        <v>17</v>
      </c>
      <c r="N582" t="str">
        <f>IF(Table1[[#This Row],[vs Kompetitor]]&gt;0,"Win", "Lose")</f>
        <v>Win</v>
      </c>
    </row>
    <row r="583" spans="1:14" x14ac:dyDescent="0.25">
      <c r="A583">
        <v>582</v>
      </c>
      <c r="B583" t="s">
        <v>7</v>
      </c>
      <c r="C583" t="s">
        <v>136</v>
      </c>
      <c r="D583">
        <v>5</v>
      </c>
      <c r="E583">
        <v>2021</v>
      </c>
      <c r="F583" s="2">
        <f>DATE(Table1[[#This Row],[Tahun]],Table1[[#This Row],[Bulan]],1)</f>
        <v>44317</v>
      </c>
      <c r="G583">
        <v>157</v>
      </c>
      <c r="H583">
        <v>118</v>
      </c>
      <c r="I583" s="6">
        <f>(Table1[[#This Row],[Aktual]]-Table1[[#This Row],[Target]])</f>
        <v>39</v>
      </c>
      <c r="J583" s="3">
        <f>(Table1[[#This Row],[Aktual]]-Table1[[#This Row],[Target]])/Table1[[#This Row],[Target]]</f>
        <v>0.33050847457627119</v>
      </c>
      <c r="K583" t="str">
        <f>IF(Table1[[#This Row],[Performance Gap (%)]]&lt;0,"Tidak mencapai target", IF(Table1[[#This Row],[Performance Gap (%)]]=0,"Mencapai target", "Melebihi Target"))</f>
        <v>Melebihi Target</v>
      </c>
      <c r="L583">
        <f>VLOOKUP(Table1[[#This Row],[Propinsi]]&amp;"_"&amp;Table1[[#This Row],[Dati 2]]&amp;"_"&amp;Table1[[#This Row],[Tanggal]],Table2[[#All],[Kompetitor area]:[Jumlah Kompetitor]],7,0)</f>
        <v>141</v>
      </c>
      <c r="M583">
        <f>Table1[[#This Row],[Aktual]]-Table1[[#This Row],[Jumlah Kompetitor]]</f>
        <v>16</v>
      </c>
      <c r="N583" t="str">
        <f>IF(Table1[[#This Row],[vs Kompetitor]]&gt;0,"Win", "Lose")</f>
        <v>Win</v>
      </c>
    </row>
    <row r="584" spans="1:14" x14ac:dyDescent="0.25">
      <c r="A584">
        <v>583</v>
      </c>
      <c r="B584" t="s">
        <v>7</v>
      </c>
      <c r="C584" t="s">
        <v>137</v>
      </c>
      <c r="D584">
        <v>5</v>
      </c>
      <c r="E584">
        <v>2021</v>
      </c>
      <c r="F584" s="2">
        <f>DATE(Table1[[#This Row],[Tahun]],Table1[[#This Row],[Bulan]],1)</f>
        <v>44317</v>
      </c>
      <c r="G584">
        <v>95</v>
      </c>
      <c r="H584">
        <v>78</v>
      </c>
      <c r="I584" s="6">
        <f>(Table1[[#This Row],[Aktual]]-Table1[[#This Row],[Target]])</f>
        <v>17</v>
      </c>
      <c r="J584" s="3">
        <f>(Table1[[#This Row],[Aktual]]-Table1[[#This Row],[Target]])/Table1[[#This Row],[Target]]</f>
        <v>0.21794871794871795</v>
      </c>
      <c r="K584" t="str">
        <f>IF(Table1[[#This Row],[Performance Gap (%)]]&lt;0,"Tidak mencapai target", IF(Table1[[#This Row],[Performance Gap (%)]]=0,"Mencapai target", "Melebihi Target"))</f>
        <v>Melebihi Target</v>
      </c>
      <c r="L584">
        <f>VLOOKUP(Table1[[#This Row],[Propinsi]]&amp;"_"&amp;Table1[[#This Row],[Dati 2]]&amp;"_"&amp;Table1[[#This Row],[Tanggal]],Table2[[#All],[Kompetitor area]:[Jumlah Kompetitor]],7,0)</f>
        <v>88</v>
      </c>
      <c r="M584">
        <f>Table1[[#This Row],[Aktual]]-Table1[[#This Row],[Jumlah Kompetitor]]</f>
        <v>7</v>
      </c>
      <c r="N584" t="str">
        <f>IF(Table1[[#This Row],[vs Kompetitor]]&gt;0,"Win", "Lose")</f>
        <v>Win</v>
      </c>
    </row>
    <row r="585" spans="1:14" x14ac:dyDescent="0.25">
      <c r="A585">
        <v>584</v>
      </c>
      <c r="B585" t="s">
        <v>7</v>
      </c>
      <c r="C585" t="s">
        <v>138</v>
      </c>
      <c r="D585">
        <v>5</v>
      </c>
      <c r="E585">
        <v>2021</v>
      </c>
      <c r="F585" s="2">
        <f>DATE(Table1[[#This Row],[Tahun]],Table1[[#This Row],[Bulan]],1)</f>
        <v>44317</v>
      </c>
      <c r="G585">
        <v>195</v>
      </c>
      <c r="H585">
        <v>148</v>
      </c>
      <c r="I585" s="6">
        <f>(Table1[[#This Row],[Aktual]]-Table1[[#This Row],[Target]])</f>
        <v>47</v>
      </c>
      <c r="J585" s="3">
        <f>(Table1[[#This Row],[Aktual]]-Table1[[#This Row],[Target]])/Table1[[#This Row],[Target]]</f>
        <v>0.31756756756756754</v>
      </c>
      <c r="K585" t="str">
        <f>IF(Table1[[#This Row],[Performance Gap (%)]]&lt;0,"Tidak mencapai target", IF(Table1[[#This Row],[Performance Gap (%)]]=0,"Mencapai target", "Melebihi Target"))</f>
        <v>Melebihi Target</v>
      </c>
      <c r="L585">
        <f>VLOOKUP(Table1[[#This Row],[Propinsi]]&amp;"_"&amp;Table1[[#This Row],[Dati 2]]&amp;"_"&amp;Table1[[#This Row],[Tanggal]],Table2[[#All],[Kompetitor area]:[Jumlah Kompetitor]],7,0)</f>
        <v>173</v>
      </c>
      <c r="M585">
        <f>Table1[[#This Row],[Aktual]]-Table1[[#This Row],[Jumlah Kompetitor]]</f>
        <v>22</v>
      </c>
      <c r="N585" t="str">
        <f>IF(Table1[[#This Row],[vs Kompetitor]]&gt;0,"Win", "Lose")</f>
        <v>Win</v>
      </c>
    </row>
    <row r="586" spans="1:14" x14ac:dyDescent="0.25">
      <c r="A586">
        <v>585</v>
      </c>
      <c r="B586" t="s">
        <v>7</v>
      </c>
      <c r="C586" t="s">
        <v>139</v>
      </c>
      <c r="D586">
        <v>5</v>
      </c>
      <c r="E586">
        <v>2021</v>
      </c>
      <c r="F586" s="2">
        <f>DATE(Table1[[#This Row],[Tahun]],Table1[[#This Row],[Bulan]],1)</f>
        <v>44317</v>
      </c>
      <c r="G586">
        <v>235</v>
      </c>
      <c r="H586">
        <v>228</v>
      </c>
      <c r="I586" s="6">
        <f>(Table1[[#This Row],[Aktual]]-Table1[[#This Row],[Target]])</f>
        <v>7</v>
      </c>
      <c r="J586" s="3">
        <f>(Table1[[#This Row],[Aktual]]-Table1[[#This Row],[Target]])/Table1[[#This Row],[Target]]</f>
        <v>3.0701754385964911E-2</v>
      </c>
      <c r="K586" t="str">
        <f>IF(Table1[[#This Row],[Performance Gap (%)]]&lt;0,"Tidak mencapai target", IF(Table1[[#This Row],[Performance Gap (%)]]=0,"Mencapai target", "Melebihi Target"))</f>
        <v>Melebihi Target</v>
      </c>
      <c r="L586">
        <f>VLOOKUP(Table1[[#This Row],[Propinsi]]&amp;"_"&amp;Table1[[#This Row],[Dati 2]]&amp;"_"&amp;Table1[[#This Row],[Tanggal]],Table2[[#All],[Kompetitor area]:[Jumlah Kompetitor]],7,0)</f>
        <v>225</v>
      </c>
      <c r="M586">
        <f>Table1[[#This Row],[Aktual]]-Table1[[#This Row],[Jumlah Kompetitor]]</f>
        <v>10</v>
      </c>
      <c r="N586" t="str">
        <f>IF(Table1[[#This Row],[vs Kompetitor]]&gt;0,"Win", "Lose")</f>
        <v>Win</v>
      </c>
    </row>
    <row r="587" spans="1:14" x14ac:dyDescent="0.25">
      <c r="A587">
        <v>586</v>
      </c>
      <c r="B587" t="s">
        <v>7</v>
      </c>
      <c r="C587" t="s">
        <v>140</v>
      </c>
      <c r="D587">
        <v>5</v>
      </c>
      <c r="E587">
        <v>2021</v>
      </c>
      <c r="F587" s="2">
        <f>DATE(Table1[[#This Row],[Tahun]],Table1[[#This Row],[Bulan]],1)</f>
        <v>44317</v>
      </c>
      <c r="G587">
        <v>218</v>
      </c>
      <c r="H587">
        <v>166</v>
      </c>
      <c r="I587" s="6">
        <f>(Table1[[#This Row],[Aktual]]-Table1[[#This Row],[Target]])</f>
        <v>52</v>
      </c>
      <c r="J587" s="3">
        <f>(Table1[[#This Row],[Aktual]]-Table1[[#This Row],[Target]])/Table1[[#This Row],[Target]]</f>
        <v>0.31325301204819278</v>
      </c>
      <c r="K587" t="str">
        <f>IF(Table1[[#This Row],[Performance Gap (%)]]&lt;0,"Tidak mencapai target", IF(Table1[[#This Row],[Performance Gap (%)]]=0,"Mencapai target", "Melebihi Target"))</f>
        <v>Melebihi Target</v>
      </c>
      <c r="L587">
        <f>VLOOKUP(Table1[[#This Row],[Propinsi]]&amp;"_"&amp;Table1[[#This Row],[Dati 2]]&amp;"_"&amp;Table1[[#This Row],[Tanggal]],Table2[[#All],[Kompetitor area]:[Jumlah Kompetitor]],7,0)</f>
        <v>185</v>
      </c>
      <c r="M587">
        <f>Table1[[#This Row],[Aktual]]-Table1[[#This Row],[Jumlah Kompetitor]]</f>
        <v>33</v>
      </c>
      <c r="N587" t="str">
        <f>IF(Table1[[#This Row],[vs Kompetitor]]&gt;0,"Win", "Lose")</f>
        <v>Win</v>
      </c>
    </row>
    <row r="588" spans="1:14" x14ac:dyDescent="0.25">
      <c r="A588">
        <v>587</v>
      </c>
      <c r="B588" t="s">
        <v>7</v>
      </c>
      <c r="C588" t="s">
        <v>141</v>
      </c>
      <c r="D588">
        <v>5</v>
      </c>
      <c r="E588">
        <v>2021</v>
      </c>
      <c r="F588" s="2">
        <f>DATE(Table1[[#This Row],[Tahun]],Table1[[#This Row],[Bulan]],1)</f>
        <v>44317</v>
      </c>
      <c r="G588">
        <v>133</v>
      </c>
      <c r="H588">
        <v>125</v>
      </c>
      <c r="I588" s="6">
        <f>(Table1[[#This Row],[Aktual]]-Table1[[#This Row],[Target]])</f>
        <v>8</v>
      </c>
      <c r="J588" s="3">
        <f>(Table1[[#This Row],[Aktual]]-Table1[[#This Row],[Target]])/Table1[[#This Row],[Target]]</f>
        <v>6.4000000000000001E-2</v>
      </c>
      <c r="K588" t="str">
        <f>IF(Table1[[#This Row],[Performance Gap (%)]]&lt;0,"Tidak mencapai target", IF(Table1[[#This Row],[Performance Gap (%)]]=0,"Mencapai target", "Melebihi Target"))</f>
        <v>Melebihi Target</v>
      </c>
      <c r="L588">
        <f>VLOOKUP(Table1[[#This Row],[Propinsi]]&amp;"_"&amp;Table1[[#This Row],[Dati 2]]&amp;"_"&amp;Table1[[#This Row],[Tanggal]],Table2[[#All],[Kompetitor area]:[Jumlah Kompetitor]],7,0)</f>
        <v>131</v>
      </c>
      <c r="M588">
        <f>Table1[[#This Row],[Aktual]]-Table1[[#This Row],[Jumlah Kompetitor]]</f>
        <v>2</v>
      </c>
      <c r="N588" t="str">
        <f>IF(Table1[[#This Row],[vs Kompetitor]]&gt;0,"Win", "Lose")</f>
        <v>Win</v>
      </c>
    </row>
    <row r="589" spans="1:14" x14ac:dyDescent="0.25">
      <c r="A589">
        <v>588</v>
      </c>
      <c r="B589" t="s">
        <v>7</v>
      </c>
      <c r="C589" t="s">
        <v>142</v>
      </c>
      <c r="D589">
        <v>5</v>
      </c>
      <c r="E589">
        <v>2021</v>
      </c>
      <c r="F589" s="2">
        <f>DATE(Table1[[#This Row],[Tahun]],Table1[[#This Row],[Bulan]],1)</f>
        <v>44317</v>
      </c>
      <c r="G589">
        <v>173</v>
      </c>
      <c r="H589">
        <v>143</v>
      </c>
      <c r="I589" s="6">
        <f>(Table1[[#This Row],[Aktual]]-Table1[[#This Row],[Target]])</f>
        <v>30</v>
      </c>
      <c r="J589" s="3">
        <f>(Table1[[#This Row],[Aktual]]-Table1[[#This Row],[Target]])/Table1[[#This Row],[Target]]</f>
        <v>0.20979020979020979</v>
      </c>
      <c r="K589" t="str">
        <f>IF(Table1[[#This Row],[Performance Gap (%)]]&lt;0,"Tidak mencapai target", IF(Table1[[#This Row],[Performance Gap (%)]]=0,"Mencapai target", "Melebihi Target"))</f>
        <v>Melebihi Target</v>
      </c>
      <c r="L589">
        <f>VLOOKUP(Table1[[#This Row],[Propinsi]]&amp;"_"&amp;Table1[[#This Row],[Dati 2]]&amp;"_"&amp;Table1[[#This Row],[Tanggal]],Table2[[#All],[Kompetitor area]:[Jumlah Kompetitor]],7,0)</f>
        <v>144</v>
      </c>
      <c r="M589">
        <f>Table1[[#This Row],[Aktual]]-Table1[[#This Row],[Jumlah Kompetitor]]</f>
        <v>29</v>
      </c>
      <c r="N589" t="str">
        <f>IF(Table1[[#This Row],[vs Kompetitor]]&gt;0,"Win", "Lose")</f>
        <v>Win</v>
      </c>
    </row>
    <row r="590" spans="1:14" x14ac:dyDescent="0.25">
      <c r="A590">
        <v>589</v>
      </c>
      <c r="B590" t="s">
        <v>7</v>
      </c>
      <c r="C590" t="s">
        <v>143</v>
      </c>
      <c r="D590">
        <v>5</v>
      </c>
      <c r="E590">
        <v>2021</v>
      </c>
      <c r="F590" s="2">
        <f>DATE(Table1[[#This Row],[Tahun]],Table1[[#This Row],[Bulan]],1)</f>
        <v>44317</v>
      </c>
      <c r="G590">
        <v>206</v>
      </c>
      <c r="H590">
        <v>165</v>
      </c>
      <c r="I590" s="6">
        <f>(Table1[[#This Row],[Aktual]]-Table1[[#This Row],[Target]])</f>
        <v>41</v>
      </c>
      <c r="J590" s="3">
        <f>(Table1[[#This Row],[Aktual]]-Table1[[#This Row],[Target]])/Table1[[#This Row],[Target]]</f>
        <v>0.24848484848484848</v>
      </c>
      <c r="K590" t="str">
        <f>IF(Table1[[#This Row],[Performance Gap (%)]]&lt;0,"Tidak mencapai target", IF(Table1[[#This Row],[Performance Gap (%)]]=0,"Mencapai target", "Melebihi Target"))</f>
        <v>Melebihi Target</v>
      </c>
      <c r="L590">
        <f>VLOOKUP(Table1[[#This Row],[Propinsi]]&amp;"_"&amp;Table1[[#This Row],[Dati 2]]&amp;"_"&amp;Table1[[#This Row],[Tanggal]],Table2[[#All],[Kompetitor area]:[Jumlah Kompetitor]],7,0)</f>
        <v>183</v>
      </c>
      <c r="M590">
        <f>Table1[[#This Row],[Aktual]]-Table1[[#This Row],[Jumlah Kompetitor]]</f>
        <v>23</v>
      </c>
      <c r="N590" t="str">
        <f>IF(Table1[[#This Row],[vs Kompetitor]]&gt;0,"Win", "Lose")</f>
        <v>Win</v>
      </c>
    </row>
    <row r="591" spans="1:14" x14ac:dyDescent="0.25">
      <c r="A591">
        <v>590</v>
      </c>
      <c r="B591" t="s">
        <v>7</v>
      </c>
      <c r="C591" t="s">
        <v>144</v>
      </c>
      <c r="D591">
        <v>5</v>
      </c>
      <c r="E591">
        <v>2021</v>
      </c>
      <c r="F591" s="2">
        <f>DATE(Table1[[#This Row],[Tahun]],Table1[[#This Row],[Bulan]],1)</f>
        <v>44317</v>
      </c>
      <c r="G591">
        <v>93</v>
      </c>
      <c r="H591">
        <v>99</v>
      </c>
      <c r="I591" s="6">
        <f>(Table1[[#This Row],[Aktual]]-Table1[[#This Row],[Target]])</f>
        <v>-6</v>
      </c>
      <c r="J591" s="3">
        <f>(Table1[[#This Row],[Aktual]]-Table1[[#This Row],[Target]])/Table1[[#This Row],[Target]]</f>
        <v>-6.0606060606060608E-2</v>
      </c>
      <c r="K591" t="str">
        <f>IF(Table1[[#This Row],[Performance Gap (%)]]&lt;0,"Tidak mencapai target", IF(Table1[[#This Row],[Performance Gap (%)]]=0,"Mencapai target", "Melebihi Target"))</f>
        <v>Tidak mencapai target</v>
      </c>
      <c r="L591">
        <f>VLOOKUP(Table1[[#This Row],[Propinsi]]&amp;"_"&amp;Table1[[#This Row],[Dati 2]]&amp;"_"&amp;Table1[[#This Row],[Tanggal]],Table2[[#All],[Kompetitor area]:[Jumlah Kompetitor]],7,0)</f>
        <v>99</v>
      </c>
      <c r="M591">
        <f>Table1[[#This Row],[Aktual]]-Table1[[#This Row],[Jumlah Kompetitor]]</f>
        <v>-6</v>
      </c>
      <c r="N591" t="str">
        <f>IF(Table1[[#This Row],[vs Kompetitor]]&gt;0,"Win", "Lose")</f>
        <v>Lose</v>
      </c>
    </row>
    <row r="592" spans="1:14" x14ac:dyDescent="0.25">
      <c r="A592">
        <v>591</v>
      </c>
      <c r="B592" t="s">
        <v>7</v>
      </c>
      <c r="C592" t="s">
        <v>145</v>
      </c>
      <c r="D592">
        <v>5</v>
      </c>
      <c r="E592">
        <v>2021</v>
      </c>
      <c r="F592" s="2">
        <f>DATE(Table1[[#This Row],[Tahun]],Table1[[#This Row],[Bulan]],1)</f>
        <v>44317</v>
      </c>
      <c r="G592">
        <v>112</v>
      </c>
      <c r="H592">
        <v>112</v>
      </c>
      <c r="I592" s="6">
        <f>(Table1[[#This Row],[Aktual]]-Table1[[#This Row],[Target]])</f>
        <v>0</v>
      </c>
      <c r="J592" s="3">
        <f>(Table1[[#This Row],[Aktual]]-Table1[[#This Row],[Target]])/Table1[[#This Row],[Target]]</f>
        <v>0</v>
      </c>
      <c r="K592" t="str">
        <f>IF(Table1[[#This Row],[Performance Gap (%)]]&lt;0,"Tidak mencapai target", IF(Table1[[#This Row],[Performance Gap (%)]]=0,"Mencapai target", "Melebihi Target"))</f>
        <v>Mencapai target</v>
      </c>
      <c r="L592">
        <f>VLOOKUP(Table1[[#This Row],[Propinsi]]&amp;"_"&amp;Table1[[#This Row],[Dati 2]]&amp;"_"&amp;Table1[[#This Row],[Tanggal]],Table2[[#All],[Kompetitor area]:[Jumlah Kompetitor]],7,0)</f>
        <v>118</v>
      </c>
      <c r="M592">
        <f>Table1[[#This Row],[Aktual]]-Table1[[#This Row],[Jumlah Kompetitor]]</f>
        <v>-6</v>
      </c>
      <c r="N592" t="str">
        <f>IF(Table1[[#This Row],[vs Kompetitor]]&gt;0,"Win", "Lose")</f>
        <v>Lose</v>
      </c>
    </row>
    <row r="593" spans="1:14" x14ac:dyDescent="0.25">
      <c r="A593">
        <v>592</v>
      </c>
      <c r="B593" t="s">
        <v>7</v>
      </c>
      <c r="C593" t="s">
        <v>146</v>
      </c>
      <c r="D593">
        <v>5</v>
      </c>
      <c r="E593">
        <v>2021</v>
      </c>
      <c r="F593" s="2">
        <f>DATE(Table1[[#This Row],[Tahun]],Table1[[#This Row],[Bulan]],1)</f>
        <v>44317</v>
      </c>
      <c r="G593">
        <v>243</v>
      </c>
      <c r="H593">
        <v>193</v>
      </c>
      <c r="I593" s="6">
        <f>(Table1[[#This Row],[Aktual]]-Table1[[#This Row],[Target]])</f>
        <v>50</v>
      </c>
      <c r="J593" s="3">
        <f>(Table1[[#This Row],[Aktual]]-Table1[[#This Row],[Target]])/Table1[[#This Row],[Target]]</f>
        <v>0.25906735751295334</v>
      </c>
      <c r="K593" t="str">
        <f>IF(Table1[[#This Row],[Performance Gap (%)]]&lt;0,"Tidak mencapai target", IF(Table1[[#This Row],[Performance Gap (%)]]=0,"Mencapai target", "Melebihi Target"))</f>
        <v>Melebihi Target</v>
      </c>
      <c r="L593">
        <f>VLOOKUP(Table1[[#This Row],[Propinsi]]&amp;"_"&amp;Table1[[#This Row],[Dati 2]]&amp;"_"&amp;Table1[[#This Row],[Tanggal]],Table2[[#All],[Kompetitor area]:[Jumlah Kompetitor]],7,0)</f>
        <v>206</v>
      </c>
      <c r="M593">
        <f>Table1[[#This Row],[Aktual]]-Table1[[#This Row],[Jumlah Kompetitor]]</f>
        <v>37</v>
      </c>
      <c r="N593" t="str">
        <f>IF(Table1[[#This Row],[vs Kompetitor]]&gt;0,"Win", "Lose")</f>
        <v>Win</v>
      </c>
    </row>
    <row r="594" spans="1:14" x14ac:dyDescent="0.25">
      <c r="A594">
        <v>593</v>
      </c>
      <c r="B594" t="s">
        <v>7</v>
      </c>
      <c r="C594" t="s">
        <v>147</v>
      </c>
      <c r="D594">
        <v>5</v>
      </c>
      <c r="E594">
        <v>2021</v>
      </c>
      <c r="F594" s="2">
        <f>DATE(Table1[[#This Row],[Tahun]],Table1[[#This Row],[Bulan]],1)</f>
        <v>44317</v>
      </c>
      <c r="G594">
        <v>111</v>
      </c>
      <c r="H594">
        <v>101</v>
      </c>
      <c r="I594" s="6">
        <f>(Table1[[#This Row],[Aktual]]-Table1[[#This Row],[Target]])</f>
        <v>10</v>
      </c>
      <c r="J594" s="3">
        <f>(Table1[[#This Row],[Aktual]]-Table1[[#This Row],[Target]])/Table1[[#This Row],[Target]]</f>
        <v>9.9009900990099015E-2</v>
      </c>
      <c r="K594" t="str">
        <f>IF(Table1[[#This Row],[Performance Gap (%)]]&lt;0,"Tidak mencapai target", IF(Table1[[#This Row],[Performance Gap (%)]]=0,"Mencapai target", "Melebihi Target"))</f>
        <v>Melebihi Target</v>
      </c>
      <c r="L594">
        <f>VLOOKUP(Table1[[#This Row],[Propinsi]]&amp;"_"&amp;Table1[[#This Row],[Dati 2]]&amp;"_"&amp;Table1[[#This Row],[Tanggal]],Table2[[#All],[Kompetitor area]:[Jumlah Kompetitor]],7,0)</f>
        <v>119</v>
      </c>
      <c r="M594">
        <f>Table1[[#This Row],[Aktual]]-Table1[[#This Row],[Jumlah Kompetitor]]</f>
        <v>-8</v>
      </c>
      <c r="N594" t="str">
        <f>IF(Table1[[#This Row],[vs Kompetitor]]&gt;0,"Win", "Lose")</f>
        <v>Lose</v>
      </c>
    </row>
    <row r="595" spans="1:14" x14ac:dyDescent="0.25">
      <c r="A595">
        <v>594</v>
      </c>
      <c r="B595" t="s">
        <v>7</v>
      </c>
      <c r="C595" t="s">
        <v>148</v>
      </c>
      <c r="D595">
        <v>5</v>
      </c>
      <c r="E595">
        <v>2021</v>
      </c>
      <c r="F595" s="2">
        <f>DATE(Table1[[#This Row],[Tahun]],Table1[[#This Row],[Bulan]],1)</f>
        <v>44317</v>
      </c>
      <c r="G595">
        <v>174</v>
      </c>
      <c r="H595">
        <v>174</v>
      </c>
      <c r="I595" s="6">
        <f>(Table1[[#This Row],[Aktual]]-Table1[[#This Row],[Target]])</f>
        <v>0</v>
      </c>
      <c r="J595" s="3">
        <f>(Table1[[#This Row],[Aktual]]-Table1[[#This Row],[Target]])/Table1[[#This Row],[Target]]</f>
        <v>0</v>
      </c>
      <c r="K595" t="str">
        <f>IF(Table1[[#This Row],[Performance Gap (%)]]&lt;0,"Tidak mencapai target", IF(Table1[[#This Row],[Performance Gap (%)]]=0,"Mencapai target", "Melebihi Target"))</f>
        <v>Mencapai target</v>
      </c>
      <c r="L595">
        <f>VLOOKUP(Table1[[#This Row],[Propinsi]]&amp;"_"&amp;Table1[[#This Row],[Dati 2]]&amp;"_"&amp;Table1[[#This Row],[Tanggal]],Table2[[#All],[Kompetitor area]:[Jumlah Kompetitor]],7,0)</f>
        <v>165</v>
      </c>
      <c r="M595">
        <f>Table1[[#This Row],[Aktual]]-Table1[[#This Row],[Jumlah Kompetitor]]</f>
        <v>9</v>
      </c>
      <c r="N595" t="str">
        <f>IF(Table1[[#This Row],[vs Kompetitor]]&gt;0,"Win", "Lose")</f>
        <v>Win</v>
      </c>
    </row>
    <row r="596" spans="1:14" x14ac:dyDescent="0.25">
      <c r="A596">
        <v>595</v>
      </c>
      <c r="B596" t="s">
        <v>7</v>
      </c>
      <c r="C596" t="s">
        <v>149</v>
      </c>
      <c r="D596">
        <v>5</v>
      </c>
      <c r="E596">
        <v>2021</v>
      </c>
      <c r="F596" s="2">
        <f>DATE(Table1[[#This Row],[Tahun]],Table1[[#This Row],[Bulan]],1)</f>
        <v>44317</v>
      </c>
      <c r="G596">
        <v>60</v>
      </c>
      <c r="H596">
        <v>53</v>
      </c>
      <c r="I596" s="6">
        <f>(Table1[[#This Row],[Aktual]]-Table1[[#This Row],[Target]])</f>
        <v>7</v>
      </c>
      <c r="J596" s="3">
        <f>(Table1[[#This Row],[Aktual]]-Table1[[#This Row],[Target]])/Table1[[#This Row],[Target]]</f>
        <v>0.13207547169811321</v>
      </c>
      <c r="K596" t="str">
        <f>IF(Table1[[#This Row],[Performance Gap (%)]]&lt;0,"Tidak mencapai target", IF(Table1[[#This Row],[Performance Gap (%)]]=0,"Mencapai target", "Melebihi Target"))</f>
        <v>Melebihi Target</v>
      </c>
      <c r="L596">
        <f>VLOOKUP(Table1[[#This Row],[Propinsi]]&amp;"_"&amp;Table1[[#This Row],[Dati 2]]&amp;"_"&amp;Table1[[#This Row],[Tanggal]],Table2[[#All],[Kompetitor area]:[Jumlah Kompetitor]],7,0)</f>
        <v>57</v>
      </c>
      <c r="M596">
        <f>Table1[[#This Row],[Aktual]]-Table1[[#This Row],[Jumlah Kompetitor]]</f>
        <v>3</v>
      </c>
      <c r="N596" t="str">
        <f>IF(Table1[[#This Row],[vs Kompetitor]]&gt;0,"Win", "Lose")</f>
        <v>Win</v>
      </c>
    </row>
    <row r="597" spans="1:14" x14ac:dyDescent="0.25">
      <c r="A597">
        <v>596</v>
      </c>
      <c r="B597" t="s">
        <v>8</v>
      </c>
      <c r="C597" t="s">
        <v>150</v>
      </c>
      <c r="D597">
        <v>5</v>
      </c>
      <c r="E597">
        <v>2021</v>
      </c>
      <c r="F597" s="2">
        <f>DATE(Table1[[#This Row],[Tahun]],Table1[[#This Row],[Bulan]],1)</f>
        <v>44317</v>
      </c>
      <c r="G597">
        <v>725</v>
      </c>
      <c r="H597">
        <v>629</v>
      </c>
      <c r="I597" s="6">
        <f>(Table1[[#This Row],[Aktual]]-Table1[[#This Row],[Target]])</f>
        <v>96</v>
      </c>
      <c r="J597" s="3">
        <f>(Table1[[#This Row],[Aktual]]-Table1[[#This Row],[Target]])/Table1[[#This Row],[Target]]</f>
        <v>0.15262321144674085</v>
      </c>
      <c r="K597" t="str">
        <f>IF(Table1[[#This Row],[Performance Gap (%)]]&lt;0,"Tidak mencapai target", IF(Table1[[#This Row],[Performance Gap (%)]]=0,"Mencapai target", "Melebihi Target"))</f>
        <v>Melebihi Target</v>
      </c>
      <c r="L597">
        <f>VLOOKUP(Table1[[#This Row],[Propinsi]]&amp;"_"&amp;Table1[[#This Row],[Dati 2]]&amp;"_"&amp;Table1[[#This Row],[Tanggal]],Table2[[#All],[Kompetitor area]:[Jumlah Kompetitor]],7,0)</f>
        <v>667</v>
      </c>
      <c r="M597">
        <f>Table1[[#This Row],[Aktual]]-Table1[[#This Row],[Jumlah Kompetitor]]</f>
        <v>58</v>
      </c>
      <c r="N597" t="str">
        <f>IF(Table1[[#This Row],[vs Kompetitor]]&gt;0,"Win", "Lose")</f>
        <v>Win</v>
      </c>
    </row>
    <row r="598" spans="1:14" x14ac:dyDescent="0.25">
      <c r="A598">
        <v>597</v>
      </c>
      <c r="B598" t="s">
        <v>8</v>
      </c>
      <c r="C598" t="s">
        <v>151</v>
      </c>
      <c r="D598">
        <v>5</v>
      </c>
      <c r="E598">
        <v>2021</v>
      </c>
      <c r="F598" s="2">
        <f>DATE(Table1[[#This Row],[Tahun]],Table1[[#This Row],[Bulan]],1)</f>
        <v>44317</v>
      </c>
      <c r="G598">
        <v>562</v>
      </c>
      <c r="H598">
        <v>519</v>
      </c>
      <c r="I598" s="6">
        <f>(Table1[[#This Row],[Aktual]]-Table1[[#This Row],[Target]])</f>
        <v>43</v>
      </c>
      <c r="J598" s="3">
        <f>(Table1[[#This Row],[Aktual]]-Table1[[#This Row],[Target]])/Table1[[#This Row],[Target]]</f>
        <v>8.2851637764932567E-2</v>
      </c>
      <c r="K598" t="str">
        <f>IF(Table1[[#This Row],[Performance Gap (%)]]&lt;0,"Tidak mencapai target", IF(Table1[[#This Row],[Performance Gap (%)]]=0,"Mencapai target", "Melebihi Target"))</f>
        <v>Melebihi Target</v>
      </c>
      <c r="L598">
        <f>VLOOKUP(Table1[[#This Row],[Propinsi]]&amp;"_"&amp;Table1[[#This Row],[Dati 2]]&amp;"_"&amp;Table1[[#This Row],[Tanggal]],Table2[[#All],[Kompetitor area]:[Jumlah Kompetitor]],7,0)</f>
        <v>522</v>
      </c>
      <c r="M598">
        <f>Table1[[#This Row],[Aktual]]-Table1[[#This Row],[Jumlah Kompetitor]]</f>
        <v>40</v>
      </c>
      <c r="N598" t="str">
        <f>IF(Table1[[#This Row],[vs Kompetitor]]&gt;0,"Win", "Lose")</f>
        <v>Win</v>
      </c>
    </row>
    <row r="599" spans="1:14" x14ac:dyDescent="0.25">
      <c r="A599">
        <v>598</v>
      </c>
      <c r="B599" t="s">
        <v>8</v>
      </c>
      <c r="C599" t="s">
        <v>152</v>
      </c>
      <c r="D599">
        <v>5</v>
      </c>
      <c r="E599">
        <v>2021</v>
      </c>
      <c r="F599" s="2">
        <f>DATE(Table1[[#This Row],[Tahun]],Table1[[#This Row],[Bulan]],1)</f>
        <v>44317</v>
      </c>
      <c r="G599">
        <v>186</v>
      </c>
      <c r="H599">
        <v>166</v>
      </c>
      <c r="I599" s="6">
        <f>(Table1[[#This Row],[Aktual]]-Table1[[#This Row],[Target]])</f>
        <v>20</v>
      </c>
      <c r="J599" s="3">
        <f>(Table1[[#This Row],[Aktual]]-Table1[[#This Row],[Target]])/Table1[[#This Row],[Target]]</f>
        <v>0.12048192771084337</v>
      </c>
      <c r="K599" t="str">
        <f>IF(Table1[[#This Row],[Performance Gap (%)]]&lt;0,"Tidak mencapai target", IF(Table1[[#This Row],[Performance Gap (%)]]=0,"Mencapai target", "Melebihi Target"))</f>
        <v>Melebihi Target</v>
      </c>
      <c r="L599">
        <f>VLOOKUP(Table1[[#This Row],[Propinsi]]&amp;"_"&amp;Table1[[#This Row],[Dati 2]]&amp;"_"&amp;Table1[[#This Row],[Tanggal]],Table2[[#All],[Kompetitor area]:[Jumlah Kompetitor]],7,0)</f>
        <v>181</v>
      </c>
      <c r="M599">
        <f>Table1[[#This Row],[Aktual]]-Table1[[#This Row],[Jumlah Kompetitor]]</f>
        <v>5</v>
      </c>
      <c r="N599" t="str">
        <f>IF(Table1[[#This Row],[vs Kompetitor]]&gt;0,"Win", "Lose")</f>
        <v>Win</v>
      </c>
    </row>
    <row r="600" spans="1:14" x14ac:dyDescent="0.25">
      <c r="A600">
        <v>599</v>
      </c>
      <c r="B600" t="s">
        <v>8</v>
      </c>
      <c r="C600" t="s">
        <v>153</v>
      </c>
      <c r="D600">
        <v>5</v>
      </c>
      <c r="E600">
        <v>2021</v>
      </c>
      <c r="F600" s="2">
        <f>DATE(Table1[[#This Row],[Tahun]],Table1[[#This Row],[Bulan]],1)</f>
        <v>44317</v>
      </c>
      <c r="G600">
        <v>471</v>
      </c>
      <c r="H600">
        <v>397</v>
      </c>
      <c r="I600" s="6">
        <f>(Table1[[#This Row],[Aktual]]-Table1[[#This Row],[Target]])</f>
        <v>74</v>
      </c>
      <c r="J600" s="3">
        <f>(Table1[[#This Row],[Aktual]]-Table1[[#This Row],[Target]])/Table1[[#This Row],[Target]]</f>
        <v>0.18639798488664988</v>
      </c>
      <c r="K600" t="str">
        <f>IF(Table1[[#This Row],[Performance Gap (%)]]&lt;0,"Tidak mencapai target", IF(Table1[[#This Row],[Performance Gap (%)]]=0,"Mencapai target", "Melebihi Target"))</f>
        <v>Melebihi Target</v>
      </c>
      <c r="L600">
        <f>VLOOKUP(Table1[[#This Row],[Propinsi]]&amp;"_"&amp;Table1[[#This Row],[Dati 2]]&amp;"_"&amp;Table1[[#This Row],[Tanggal]],Table2[[#All],[Kompetitor area]:[Jumlah Kompetitor]],7,0)</f>
        <v>435</v>
      </c>
      <c r="M600">
        <f>Table1[[#This Row],[Aktual]]-Table1[[#This Row],[Jumlah Kompetitor]]</f>
        <v>36</v>
      </c>
      <c r="N600" t="str">
        <f>IF(Table1[[#This Row],[vs Kompetitor]]&gt;0,"Win", "Lose")</f>
        <v>Win</v>
      </c>
    </row>
    <row r="601" spans="1:14" x14ac:dyDescent="0.25">
      <c r="A601">
        <v>600</v>
      </c>
      <c r="B601" t="s">
        <v>8</v>
      </c>
      <c r="C601" t="s">
        <v>154</v>
      </c>
      <c r="D601">
        <v>5</v>
      </c>
      <c r="E601">
        <v>2021</v>
      </c>
      <c r="F601" s="2">
        <f>DATE(Table1[[#This Row],[Tahun]],Table1[[#This Row],[Bulan]],1)</f>
        <v>44317</v>
      </c>
      <c r="G601">
        <v>284</v>
      </c>
      <c r="H601">
        <v>252</v>
      </c>
      <c r="I601" s="6">
        <f>(Table1[[#This Row],[Aktual]]-Table1[[#This Row],[Target]])</f>
        <v>32</v>
      </c>
      <c r="J601" s="3">
        <f>(Table1[[#This Row],[Aktual]]-Table1[[#This Row],[Target]])/Table1[[#This Row],[Target]]</f>
        <v>0.12698412698412698</v>
      </c>
      <c r="K601" t="str">
        <f>IF(Table1[[#This Row],[Performance Gap (%)]]&lt;0,"Tidak mencapai target", IF(Table1[[#This Row],[Performance Gap (%)]]=0,"Mencapai target", "Melebihi Target"))</f>
        <v>Melebihi Target</v>
      </c>
      <c r="L601">
        <f>VLOOKUP(Table1[[#This Row],[Propinsi]]&amp;"_"&amp;Table1[[#This Row],[Dati 2]]&amp;"_"&amp;Table1[[#This Row],[Tanggal]],Table2[[#All],[Kompetitor area]:[Jumlah Kompetitor]],7,0)</f>
        <v>255</v>
      </c>
      <c r="M601">
        <f>Table1[[#This Row],[Aktual]]-Table1[[#This Row],[Jumlah Kompetitor]]</f>
        <v>29</v>
      </c>
      <c r="N601" t="str">
        <f>IF(Table1[[#This Row],[vs Kompetitor]]&gt;0,"Win", "Lose")</f>
        <v>Win</v>
      </c>
    </row>
    <row r="602" spans="1:14" x14ac:dyDescent="0.25">
      <c r="A602">
        <v>601</v>
      </c>
      <c r="B602" t="s">
        <v>8</v>
      </c>
      <c r="C602" t="s">
        <v>155</v>
      </c>
      <c r="D602">
        <v>5</v>
      </c>
      <c r="E602">
        <v>2021</v>
      </c>
      <c r="F602" s="2">
        <f>DATE(Table1[[#This Row],[Tahun]],Table1[[#This Row],[Bulan]],1)</f>
        <v>44317</v>
      </c>
      <c r="G602">
        <v>342</v>
      </c>
      <c r="H602">
        <v>348</v>
      </c>
      <c r="I602" s="6">
        <f>(Table1[[#This Row],[Aktual]]-Table1[[#This Row],[Target]])</f>
        <v>-6</v>
      </c>
      <c r="J602" s="3">
        <f>(Table1[[#This Row],[Aktual]]-Table1[[#This Row],[Target]])/Table1[[#This Row],[Target]]</f>
        <v>-1.7241379310344827E-2</v>
      </c>
      <c r="K602" t="str">
        <f>IF(Table1[[#This Row],[Performance Gap (%)]]&lt;0,"Tidak mencapai target", IF(Table1[[#This Row],[Performance Gap (%)]]=0,"Mencapai target", "Melebihi Target"))</f>
        <v>Tidak mencapai target</v>
      </c>
      <c r="L602">
        <f>VLOOKUP(Table1[[#This Row],[Propinsi]]&amp;"_"&amp;Table1[[#This Row],[Dati 2]]&amp;"_"&amp;Table1[[#This Row],[Tanggal]],Table2[[#All],[Kompetitor area]:[Jumlah Kompetitor]],7,0)</f>
        <v>337</v>
      </c>
      <c r="M602">
        <f>Table1[[#This Row],[Aktual]]-Table1[[#This Row],[Jumlah Kompetitor]]</f>
        <v>5</v>
      </c>
      <c r="N602" t="str">
        <f>IF(Table1[[#This Row],[vs Kompetitor]]&gt;0,"Win", "Lose")</f>
        <v>Win</v>
      </c>
    </row>
    <row r="603" spans="1:14" x14ac:dyDescent="0.25">
      <c r="A603">
        <v>602</v>
      </c>
      <c r="B603" t="s">
        <v>8</v>
      </c>
      <c r="C603" t="s">
        <v>156</v>
      </c>
      <c r="D603">
        <v>5</v>
      </c>
      <c r="E603">
        <v>2021</v>
      </c>
      <c r="F603" s="2">
        <f>DATE(Table1[[#This Row],[Tahun]],Table1[[#This Row],[Bulan]],1)</f>
        <v>44317</v>
      </c>
      <c r="G603">
        <v>144</v>
      </c>
      <c r="H603">
        <v>133</v>
      </c>
      <c r="I603" s="6">
        <f>(Table1[[#This Row],[Aktual]]-Table1[[#This Row],[Target]])</f>
        <v>11</v>
      </c>
      <c r="J603" s="3">
        <f>(Table1[[#This Row],[Aktual]]-Table1[[#This Row],[Target]])/Table1[[#This Row],[Target]]</f>
        <v>8.2706766917293228E-2</v>
      </c>
      <c r="K603" t="str">
        <f>IF(Table1[[#This Row],[Performance Gap (%)]]&lt;0,"Tidak mencapai target", IF(Table1[[#This Row],[Performance Gap (%)]]=0,"Mencapai target", "Melebihi Target"))</f>
        <v>Melebihi Target</v>
      </c>
      <c r="L603">
        <f>VLOOKUP(Table1[[#This Row],[Propinsi]]&amp;"_"&amp;Table1[[#This Row],[Dati 2]]&amp;"_"&amp;Table1[[#This Row],[Tanggal]],Table2[[#All],[Kompetitor area]:[Jumlah Kompetitor]],7,0)</f>
        <v>141</v>
      </c>
      <c r="M603">
        <f>Table1[[#This Row],[Aktual]]-Table1[[#This Row],[Jumlah Kompetitor]]</f>
        <v>3</v>
      </c>
      <c r="N603" t="str">
        <f>IF(Table1[[#This Row],[vs Kompetitor]]&gt;0,"Win", "Lose")</f>
        <v>Win</v>
      </c>
    </row>
    <row r="604" spans="1:14" x14ac:dyDescent="0.25">
      <c r="A604">
        <v>603</v>
      </c>
      <c r="B604" t="s">
        <v>8</v>
      </c>
      <c r="C604" t="s">
        <v>157</v>
      </c>
      <c r="D604">
        <v>5</v>
      </c>
      <c r="E604">
        <v>2021</v>
      </c>
      <c r="F604" s="2">
        <f>DATE(Table1[[#This Row],[Tahun]],Table1[[#This Row],[Bulan]],1)</f>
        <v>44317</v>
      </c>
      <c r="G604">
        <v>263</v>
      </c>
      <c r="H604">
        <v>239</v>
      </c>
      <c r="I604" s="6">
        <f>(Table1[[#This Row],[Aktual]]-Table1[[#This Row],[Target]])</f>
        <v>24</v>
      </c>
      <c r="J604" s="3">
        <f>(Table1[[#This Row],[Aktual]]-Table1[[#This Row],[Target]])/Table1[[#This Row],[Target]]</f>
        <v>0.100418410041841</v>
      </c>
      <c r="K604" t="str">
        <f>IF(Table1[[#This Row],[Performance Gap (%)]]&lt;0,"Tidak mencapai target", IF(Table1[[#This Row],[Performance Gap (%)]]=0,"Mencapai target", "Melebihi Target"))</f>
        <v>Melebihi Target</v>
      </c>
      <c r="L604">
        <f>VLOOKUP(Table1[[#This Row],[Propinsi]]&amp;"_"&amp;Table1[[#This Row],[Dati 2]]&amp;"_"&amp;Table1[[#This Row],[Tanggal]],Table2[[#All],[Kompetitor area]:[Jumlah Kompetitor]],7,0)</f>
        <v>221</v>
      </c>
      <c r="M604">
        <f>Table1[[#This Row],[Aktual]]-Table1[[#This Row],[Jumlah Kompetitor]]</f>
        <v>42</v>
      </c>
      <c r="N604" t="str">
        <f>IF(Table1[[#This Row],[vs Kompetitor]]&gt;0,"Win", "Lose")</f>
        <v>Win</v>
      </c>
    </row>
    <row r="605" spans="1:14" x14ac:dyDescent="0.25">
      <c r="A605">
        <v>604</v>
      </c>
      <c r="B605" t="s">
        <v>8</v>
      </c>
      <c r="C605" t="s">
        <v>158</v>
      </c>
      <c r="D605">
        <v>5</v>
      </c>
      <c r="E605">
        <v>2021</v>
      </c>
      <c r="F605" s="2">
        <f>DATE(Table1[[#This Row],[Tahun]],Table1[[#This Row],[Bulan]],1)</f>
        <v>44317</v>
      </c>
      <c r="G605">
        <v>199</v>
      </c>
      <c r="H605">
        <v>170</v>
      </c>
      <c r="I605" s="6">
        <f>(Table1[[#This Row],[Aktual]]-Table1[[#This Row],[Target]])</f>
        <v>29</v>
      </c>
      <c r="J605" s="3">
        <f>(Table1[[#This Row],[Aktual]]-Table1[[#This Row],[Target]])/Table1[[#This Row],[Target]]</f>
        <v>0.17058823529411765</v>
      </c>
      <c r="K605" t="str">
        <f>IF(Table1[[#This Row],[Performance Gap (%)]]&lt;0,"Tidak mencapai target", IF(Table1[[#This Row],[Performance Gap (%)]]=0,"Mencapai target", "Melebihi Target"))</f>
        <v>Melebihi Target</v>
      </c>
      <c r="L605">
        <f>VLOOKUP(Table1[[#This Row],[Propinsi]]&amp;"_"&amp;Table1[[#This Row],[Dati 2]]&amp;"_"&amp;Table1[[#This Row],[Tanggal]],Table2[[#All],[Kompetitor area]:[Jumlah Kompetitor]],7,0)</f>
        <v>200</v>
      </c>
      <c r="M605">
        <f>Table1[[#This Row],[Aktual]]-Table1[[#This Row],[Jumlah Kompetitor]]</f>
        <v>-1</v>
      </c>
      <c r="N605" t="str">
        <f>IF(Table1[[#This Row],[vs Kompetitor]]&gt;0,"Win", "Lose")</f>
        <v>Lose</v>
      </c>
    </row>
    <row r="606" spans="1:14" x14ac:dyDescent="0.25">
      <c r="A606">
        <v>605</v>
      </c>
      <c r="B606" t="s">
        <v>8</v>
      </c>
      <c r="C606" t="s">
        <v>159</v>
      </c>
      <c r="D606">
        <v>5</v>
      </c>
      <c r="E606">
        <v>2021</v>
      </c>
      <c r="F606" s="2">
        <f>DATE(Table1[[#This Row],[Tahun]],Table1[[#This Row],[Bulan]],1)</f>
        <v>44317</v>
      </c>
      <c r="G606">
        <v>184</v>
      </c>
      <c r="H606">
        <v>170</v>
      </c>
      <c r="I606" s="6">
        <f>(Table1[[#This Row],[Aktual]]-Table1[[#This Row],[Target]])</f>
        <v>14</v>
      </c>
      <c r="J606" s="3">
        <f>(Table1[[#This Row],[Aktual]]-Table1[[#This Row],[Target]])/Table1[[#This Row],[Target]]</f>
        <v>8.2352941176470587E-2</v>
      </c>
      <c r="K606" t="str">
        <f>IF(Table1[[#This Row],[Performance Gap (%)]]&lt;0,"Tidak mencapai target", IF(Table1[[#This Row],[Performance Gap (%)]]=0,"Mencapai target", "Melebihi Target"))</f>
        <v>Melebihi Target</v>
      </c>
      <c r="L606">
        <f>VLOOKUP(Table1[[#This Row],[Propinsi]]&amp;"_"&amp;Table1[[#This Row],[Dati 2]]&amp;"_"&amp;Table1[[#This Row],[Tanggal]],Table2[[#All],[Kompetitor area]:[Jumlah Kompetitor]],7,0)</f>
        <v>168</v>
      </c>
      <c r="M606">
        <f>Table1[[#This Row],[Aktual]]-Table1[[#This Row],[Jumlah Kompetitor]]</f>
        <v>16</v>
      </c>
      <c r="N606" t="str">
        <f>IF(Table1[[#This Row],[vs Kompetitor]]&gt;0,"Win", "Lose")</f>
        <v>Win</v>
      </c>
    </row>
    <row r="607" spans="1:14" x14ac:dyDescent="0.25">
      <c r="A607">
        <v>606</v>
      </c>
      <c r="B607" t="s">
        <v>8</v>
      </c>
      <c r="C607" t="s">
        <v>160</v>
      </c>
      <c r="D607">
        <v>5</v>
      </c>
      <c r="E607">
        <v>2021</v>
      </c>
      <c r="F607" s="2">
        <f>DATE(Table1[[#This Row],[Tahun]],Table1[[#This Row],[Bulan]],1)</f>
        <v>44317</v>
      </c>
      <c r="G607">
        <v>120</v>
      </c>
      <c r="H607">
        <v>101</v>
      </c>
      <c r="I607" s="6">
        <f>(Table1[[#This Row],[Aktual]]-Table1[[#This Row],[Target]])</f>
        <v>19</v>
      </c>
      <c r="J607" s="3">
        <f>(Table1[[#This Row],[Aktual]]-Table1[[#This Row],[Target]])/Table1[[#This Row],[Target]]</f>
        <v>0.18811881188118812</v>
      </c>
      <c r="K607" t="str">
        <f>IF(Table1[[#This Row],[Performance Gap (%)]]&lt;0,"Tidak mencapai target", IF(Table1[[#This Row],[Performance Gap (%)]]=0,"Mencapai target", "Melebihi Target"))</f>
        <v>Melebihi Target</v>
      </c>
      <c r="L607">
        <f>VLOOKUP(Table1[[#This Row],[Propinsi]]&amp;"_"&amp;Table1[[#This Row],[Dati 2]]&amp;"_"&amp;Table1[[#This Row],[Tanggal]],Table2[[#All],[Kompetitor area]:[Jumlah Kompetitor]],7,0)</f>
        <v>100</v>
      </c>
      <c r="M607">
        <f>Table1[[#This Row],[Aktual]]-Table1[[#This Row],[Jumlah Kompetitor]]</f>
        <v>20</v>
      </c>
      <c r="N607" t="str">
        <f>IF(Table1[[#This Row],[vs Kompetitor]]&gt;0,"Win", "Lose")</f>
        <v>Win</v>
      </c>
    </row>
    <row r="608" spans="1:14" x14ac:dyDescent="0.25">
      <c r="A608">
        <v>607</v>
      </c>
      <c r="B608" t="s">
        <v>8</v>
      </c>
      <c r="C608" t="s">
        <v>161</v>
      </c>
      <c r="D608">
        <v>5</v>
      </c>
      <c r="E608">
        <v>2021</v>
      </c>
      <c r="F608" s="2">
        <f>DATE(Table1[[#This Row],[Tahun]],Table1[[#This Row],[Bulan]],1)</f>
        <v>44317</v>
      </c>
      <c r="G608">
        <v>186</v>
      </c>
      <c r="H608">
        <v>163</v>
      </c>
      <c r="I608" s="6">
        <f>(Table1[[#This Row],[Aktual]]-Table1[[#This Row],[Target]])</f>
        <v>23</v>
      </c>
      <c r="J608" s="3">
        <f>(Table1[[#This Row],[Aktual]]-Table1[[#This Row],[Target]])/Table1[[#This Row],[Target]]</f>
        <v>0.1411042944785276</v>
      </c>
      <c r="K608" t="str">
        <f>IF(Table1[[#This Row],[Performance Gap (%)]]&lt;0,"Tidak mencapai target", IF(Table1[[#This Row],[Performance Gap (%)]]=0,"Mencapai target", "Melebihi Target"))</f>
        <v>Melebihi Target</v>
      </c>
      <c r="L608">
        <f>VLOOKUP(Table1[[#This Row],[Propinsi]]&amp;"_"&amp;Table1[[#This Row],[Dati 2]]&amp;"_"&amp;Table1[[#This Row],[Tanggal]],Table2[[#All],[Kompetitor area]:[Jumlah Kompetitor]],7,0)</f>
        <v>176</v>
      </c>
      <c r="M608">
        <f>Table1[[#This Row],[Aktual]]-Table1[[#This Row],[Jumlah Kompetitor]]</f>
        <v>10</v>
      </c>
      <c r="N608" t="str">
        <f>IF(Table1[[#This Row],[vs Kompetitor]]&gt;0,"Win", "Lose")</f>
        <v>Win</v>
      </c>
    </row>
    <row r="609" spans="1:14" x14ac:dyDescent="0.25">
      <c r="A609">
        <v>608</v>
      </c>
      <c r="B609" t="s">
        <v>8</v>
      </c>
      <c r="C609" t="s">
        <v>162</v>
      </c>
      <c r="D609">
        <v>5</v>
      </c>
      <c r="E609">
        <v>2021</v>
      </c>
      <c r="F609" s="2">
        <f>DATE(Table1[[#This Row],[Tahun]],Table1[[#This Row],[Bulan]],1)</f>
        <v>44317</v>
      </c>
      <c r="G609">
        <v>116</v>
      </c>
      <c r="H609">
        <v>113</v>
      </c>
      <c r="I609" s="6">
        <f>(Table1[[#This Row],[Aktual]]-Table1[[#This Row],[Target]])</f>
        <v>3</v>
      </c>
      <c r="J609" s="3">
        <f>(Table1[[#This Row],[Aktual]]-Table1[[#This Row],[Target]])/Table1[[#This Row],[Target]]</f>
        <v>2.6548672566371681E-2</v>
      </c>
      <c r="K609" t="str">
        <f>IF(Table1[[#This Row],[Performance Gap (%)]]&lt;0,"Tidak mencapai target", IF(Table1[[#This Row],[Performance Gap (%)]]=0,"Mencapai target", "Melebihi Target"))</f>
        <v>Melebihi Target</v>
      </c>
      <c r="L609">
        <f>VLOOKUP(Table1[[#This Row],[Propinsi]]&amp;"_"&amp;Table1[[#This Row],[Dati 2]]&amp;"_"&amp;Table1[[#This Row],[Tanggal]],Table2[[#All],[Kompetitor area]:[Jumlah Kompetitor]],7,0)</f>
        <v>118</v>
      </c>
      <c r="M609">
        <f>Table1[[#This Row],[Aktual]]-Table1[[#This Row],[Jumlah Kompetitor]]</f>
        <v>-2</v>
      </c>
      <c r="N609" t="str">
        <f>IF(Table1[[#This Row],[vs Kompetitor]]&gt;0,"Win", "Lose")</f>
        <v>Lose</v>
      </c>
    </row>
    <row r="610" spans="1:14" x14ac:dyDescent="0.25">
      <c r="A610">
        <v>609</v>
      </c>
      <c r="B610" t="s">
        <v>8</v>
      </c>
      <c r="C610" t="s">
        <v>163</v>
      </c>
      <c r="D610">
        <v>5</v>
      </c>
      <c r="E610">
        <v>2021</v>
      </c>
      <c r="F610" s="2">
        <f>DATE(Table1[[#This Row],[Tahun]],Table1[[#This Row],[Bulan]],1)</f>
        <v>44317</v>
      </c>
      <c r="G610">
        <v>292</v>
      </c>
      <c r="H610">
        <v>235</v>
      </c>
      <c r="I610" s="6">
        <f>(Table1[[#This Row],[Aktual]]-Table1[[#This Row],[Target]])</f>
        <v>57</v>
      </c>
      <c r="J610" s="3">
        <f>(Table1[[#This Row],[Aktual]]-Table1[[#This Row],[Target]])/Table1[[#This Row],[Target]]</f>
        <v>0.24255319148936169</v>
      </c>
      <c r="K610" t="str">
        <f>IF(Table1[[#This Row],[Performance Gap (%)]]&lt;0,"Tidak mencapai target", IF(Table1[[#This Row],[Performance Gap (%)]]=0,"Mencapai target", "Melebihi Target"))</f>
        <v>Melebihi Target</v>
      </c>
      <c r="L610">
        <f>VLOOKUP(Table1[[#This Row],[Propinsi]]&amp;"_"&amp;Table1[[#This Row],[Dati 2]]&amp;"_"&amp;Table1[[#This Row],[Tanggal]],Table2[[#All],[Kompetitor area]:[Jumlah Kompetitor]],7,0)</f>
        <v>269</v>
      </c>
      <c r="M610">
        <f>Table1[[#This Row],[Aktual]]-Table1[[#This Row],[Jumlah Kompetitor]]</f>
        <v>23</v>
      </c>
      <c r="N610" t="str">
        <f>IF(Table1[[#This Row],[vs Kompetitor]]&gt;0,"Win", "Lose")</f>
        <v>Win</v>
      </c>
    </row>
    <row r="611" spans="1:14" x14ac:dyDescent="0.25">
      <c r="A611">
        <v>610</v>
      </c>
      <c r="B611" t="s">
        <v>8</v>
      </c>
      <c r="C611" t="s">
        <v>164</v>
      </c>
      <c r="D611">
        <v>5</v>
      </c>
      <c r="E611">
        <v>2021</v>
      </c>
      <c r="F611" s="2">
        <f>DATE(Table1[[#This Row],[Tahun]],Table1[[#This Row],[Bulan]],1)</f>
        <v>44317</v>
      </c>
      <c r="G611">
        <v>285</v>
      </c>
      <c r="H611">
        <v>279</v>
      </c>
      <c r="I611" s="6">
        <f>(Table1[[#This Row],[Aktual]]-Table1[[#This Row],[Target]])</f>
        <v>6</v>
      </c>
      <c r="J611" s="3">
        <f>(Table1[[#This Row],[Aktual]]-Table1[[#This Row],[Target]])/Table1[[#This Row],[Target]]</f>
        <v>2.1505376344086023E-2</v>
      </c>
      <c r="K611" t="str">
        <f>IF(Table1[[#This Row],[Performance Gap (%)]]&lt;0,"Tidak mencapai target", IF(Table1[[#This Row],[Performance Gap (%)]]=0,"Mencapai target", "Melebihi Target"))</f>
        <v>Melebihi Target</v>
      </c>
      <c r="L611">
        <f>VLOOKUP(Table1[[#This Row],[Propinsi]]&amp;"_"&amp;Table1[[#This Row],[Dati 2]]&amp;"_"&amp;Table1[[#This Row],[Tanggal]],Table2[[#All],[Kompetitor area]:[Jumlah Kompetitor]],7,0)</f>
        <v>260</v>
      </c>
      <c r="M611">
        <f>Table1[[#This Row],[Aktual]]-Table1[[#This Row],[Jumlah Kompetitor]]</f>
        <v>25</v>
      </c>
      <c r="N611" t="str">
        <f>IF(Table1[[#This Row],[vs Kompetitor]]&gt;0,"Win", "Lose")</f>
        <v>Win</v>
      </c>
    </row>
    <row r="612" spans="1:14" x14ac:dyDescent="0.25">
      <c r="A612">
        <v>611</v>
      </c>
      <c r="B612" t="s">
        <v>6</v>
      </c>
      <c r="C612" t="s">
        <v>43</v>
      </c>
      <c r="D612">
        <v>6</v>
      </c>
      <c r="E612">
        <v>2021</v>
      </c>
      <c r="F612" s="2">
        <f>DATE(Table1[[#This Row],[Tahun]],Table1[[#This Row],[Bulan]],1)</f>
        <v>44348</v>
      </c>
      <c r="G612">
        <v>1277</v>
      </c>
      <c r="H612">
        <v>1229</v>
      </c>
      <c r="I612" s="6">
        <f>(Table1[[#This Row],[Aktual]]-Table1[[#This Row],[Target]])</f>
        <v>48</v>
      </c>
      <c r="J612" s="3">
        <f>(Table1[[#This Row],[Aktual]]-Table1[[#This Row],[Target]])/Table1[[#This Row],[Target]]</f>
        <v>3.9056143205858422E-2</v>
      </c>
      <c r="K612" t="str">
        <f>IF(Table1[[#This Row],[Performance Gap (%)]]&lt;0,"Tidak mencapai target", IF(Table1[[#This Row],[Performance Gap (%)]]=0,"Mencapai target", "Melebihi Target"))</f>
        <v>Melebihi Target</v>
      </c>
      <c r="L612">
        <f>VLOOKUP(Table1[[#This Row],[Propinsi]]&amp;"_"&amp;Table1[[#This Row],[Dati 2]]&amp;"_"&amp;Table1[[#This Row],[Tanggal]],Table2[[#All],[Kompetitor area]:[Jumlah Kompetitor]],7,0)</f>
        <v>349</v>
      </c>
      <c r="M612">
        <f>Table1[[#This Row],[Aktual]]-Table1[[#This Row],[Jumlah Kompetitor]]</f>
        <v>928</v>
      </c>
      <c r="N612" t="str">
        <f>IF(Table1[[#This Row],[vs Kompetitor]]&gt;0,"Win", "Lose")</f>
        <v>Win</v>
      </c>
    </row>
    <row r="613" spans="1:14" x14ac:dyDescent="0.25">
      <c r="A613">
        <v>612</v>
      </c>
      <c r="B613" t="s">
        <v>6</v>
      </c>
      <c r="C613" t="s">
        <v>44</v>
      </c>
      <c r="D613">
        <v>6</v>
      </c>
      <c r="E613">
        <v>2021</v>
      </c>
      <c r="F613" s="2">
        <f>DATE(Table1[[#This Row],[Tahun]],Table1[[#This Row],[Bulan]],1)</f>
        <v>44348</v>
      </c>
      <c r="G613">
        <v>664</v>
      </c>
      <c r="H613">
        <v>667</v>
      </c>
      <c r="I613" s="6">
        <f>(Table1[[#This Row],[Aktual]]-Table1[[#This Row],[Target]])</f>
        <v>-3</v>
      </c>
      <c r="J613" s="3">
        <f>(Table1[[#This Row],[Aktual]]-Table1[[#This Row],[Target]])/Table1[[#This Row],[Target]]</f>
        <v>-4.4977511244377807E-3</v>
      </c>
      <c r="K613" t="str">
        <f>IF(Table1[[#This Row],[Performance Gap (%)]]&lt;0,"Tidak mencapai target", IF(Table1[[#This Row],[Performance Gap (%)]]=0,"Mencapai target", "Melebihi Target"))</f>
        <v>Tidak mencapai target</v>
      </c>
      <c r="L613">
        <f>VLOOKUP(Table1[[#This Row],[Propinsi]]&amp;"_"&amp;Table1[[#This Row],[Dati 2]]&amp;"_"&amp;Table1[[#This Row],[Tanggal]],Table2[[#All],[Kompetitor area]:[Jumlah Kompetitor]],7,0)</f>
        <v>152</v>
      </c>
      <c r="M613">
        <f>Table1[[#This Row],[Aktual]]-Table1[[#This Row],[Jumlah Kompetitor]]</f>
        <v>512</v>
      </c>
      <c r="N613" t="str">
        <f>IF(Table1[[#This Row],[vs Kompetitor]]&gt;0,"Win", "Lose")</f>
        <v>Win</v>
      </c>
    </row>
    <row r="614" spans="1:14" x14ac:dyDescent="0.25">
      <c r="A614">
        <v>613</v>
      </c>
      <c r="B614" t="s">
        <v>6</v>
      </c>
      <c r="C614" t="s">
        <v>45</v>
      </c>
      <c r="D614">
        <v>6</v>
      </c>
      <c r="E614">
        <v>2021</v>
      </c>
      <c r="F614" s="2">
        <f>DATE(Table1[[#This Row],[Tahun]],Table1[[#This Row],[Bulan]],1)</f>
        <v>44348</v>
      </c>
      <c r="G614">
        <v>869</v>
      </c>
      <c r="H614">
        <v>781</v>
      </c>
      <c r="I614" s="6">
        <f>(Table1[[#This Row],[Aktual]]-Table1[[#This Row],[Target]])</f>
        <v>88</v>
      </c>
      <c r="J614" s="3">
        <f>(Table1[[#This Row],[Aktual]]-Table1[[#This Row],[Target]])/Table1[[#This Row],[Target]]</f>
        <v>0.11267605633802817</v>
      </c>
      <c r="K614" t="str">
        <f>IF(Table1[[#This Row],[Performance Gap (%)]]&lt;0,"Tidak mencapai target", IF(Table1[[#This Row],[Performance Gap (%)]]=0,"Mencapai target", "Melebihi Target"))</f>
        <v>Melebihi Target</v>
      </c>
      <c r="L614">
        <f>VLOOKUP(Table1[[#This Row],[Propinsi]]&amp;"_"&amp;Table1[[#This Row],[Dati 2]]&amp;"_"&amp;Table1[[#This Row],[Tanggal]],Table2[[#All],[Kompetitor area]:[Jumlah Kompetitor]],7,0)</f>
        <v>241</v>
      </c>
      <c r="M614">
        <f>Table1[[#This Row],[Aktual]]-Table1[[#This Row],[Jumlah Kompetitor]]</f>
        <v>628</v>
      </c>
      <c r="N614" t="str">
        <f>IF(Table1[[#This Row],[vs Kompetitor]]&gt;0,"Win", "Lose")</f>
        <v>Win</v>
      </c>
    </row>
    <row r="615" spans="1:14" x14ac:dyDescent="0.25">
      <c r="A615">
        <v>614</v>
      </c>
      <c r="B615" t="s">
        <v>6</v>
      </c>
      <c r="C615" t="s">
        <v>46</v>
      </c>
      <c r="D615">
        <v>6</v>
      </c>
      <c r="E615">
        <v>2021</v>
      </c>
      <c r="F615" s="2">
        <f>DATE(Table1[[#This Row],[Tahun]],Table1[[#This Row],[Bulan]],1)</f>
        <v>44348</v>
      </c>
      <c r="G615">
        <v>113</v>
      </c>
      <c r="H615">
        <v>103</v>
      </c>
      <c r="I615" s="6">
        <f>(Table1[[#This Row],[Aktual]]-Table1[[#This Row],[Target]])</f>
        <v>10</v>
      </c>
      <c r="J615" s="3">
        <f>(Table1[[#This Row],[Aktual]]-Table1[[#This Row],[Target]])/Table1[[#This Row],[Target]]</f>
        <v>9.7087378640776698E-2</v>
      </c>
      <c r="K615" t="str">
        <f>IF(Table1[[#This Row],[Performance Gap (%)]]&lt;0,"Tidak mencapai target", IF(Table1[[#This Row],[Performance Gap (%)]]=0,"Mencapai target", "Melebihi Target"))</f>
        <v>Melebihi Target</v>
      </c>
      <c r="L615">
        <f>VLOOKUP(Table1[[#This Row],[Propinsi]]&amp;"_"&amp;Table1[[#This Row],[Dati 2]]&amp;"_"&amp;Table1[[#This Row],[Tanggal]],Table2[[#All],[Kompetitor area]:[Jumlah Kompetitor]],7,0)</f>
        <v>148</v>
      </c>
      <c r="M615">
        <f>Table1[[#This Row],[Aktual]]-Table1[[#This Row],[Jumlah Kompetitor]]</f>
        <v>-35</v>
      </c>
      <c r="N615" t="str">
        <f>IF(Table1[[#This Row],[vs Kompetitor]]&gt;0,"Win", "Lose")</f>
        <v>Lose</v>
      </c>
    </row>
    <row r="616" spans="1:14" x14ac:dyDescent="0.25">
      <c r="A616">
        <v>615</v>
      </c>
      <c r="B616" t="s">
        <v>6</v>
      </c>
      <c r="C616" t="s">
        <v>47</v>
      </c>
      <c r="D616">
        <v>6</v>
      </c>
      <c r="E616">
        <v>2021</v>
      </c>
      <c r="F616" s="2">
        <f>DATE(Table1[[#This Row],[Tahun]],Table1[[#This Row],[Bulan]],1)</f>
        <v>44348</v>
      </c>
      <c r="G616">
        <v>1137</v>
      </c>
      <c r="H616">
        <v>1217</v>
      </c>
      <c r="I616" s="6">
        <f>(Table1[[#This Row],[Aktual]]-Table1[[#This Row],[Target]])</f>
        <v>-80</v>
      </c>
      <c r="J616" s="3">
        <f>(Table1[[#This Row],[Aktual]]-Table1[[#This Row],[Target]])/Table1[[#This Row],[Target]]</f>
        <v>-6.5735414954806906E-2</v>
      </c>
      <c r="K616" t="str">
        <f>IF(Table1[[#This Row],[Performance Gap (%)]]&lt;0,"Tidak mencapai target", IF(Table1[[#This Row],[Performance Gap (%)]]=0,"Mencapai target", "Melebihi Target"))</f>
        <v>Tidak mencapai target</v>
      </c>
      <c r="L616">
        <f>VLOOKUP(Table1[[#This Row],[Propinsi]]&amp;"_"&amp;Table1[[#This Row],[Dati 2]]&amp;"_"&amp;Table1[[#This Row],[Tanggal]],Table2[[#All],[Kompetitor area]:[Jumlah Kompetitor]],7,0)</f>
        <v>30</v>
      </c>
      <c r="M616">
        <f>Table1[[#This Row],[Aktual]]-Table1[[#This Row],[Jumlah Kompetitor]]</f>
        <v>1107</v>
      </c>
      <c r="N616" t="str">
        <f>IF(Table1[[#This Row],[vs Kompetitor]]&gt;0,"Win", "Lose")</f>
        <v>Win</v>
      </c>
    </row>
    <row r="617" spans="1:14" x14ac:dyDescent="0.25">
      <c r="A617">
        <v>616</v>
      </c>
      <c r="B617" t="s">
        <v>6</v>
      </c>
      <c r="C617" t="s">
        <v>48</v>
      </c>
      <c r="D617">
        <v>6</v>
      </c>
      <c r="E617">
        <v>2021</v>
      </c>
      <c r="F617" s="2">
        <f>DATE(Table1[[#This Row],[Tahun]],Table1[[#This Row],[Bulan]],1)</f>
        <v>44348</v>
      </c>
      <c r="G617">
        <v>573</v>
      </c>
      <c r="H617">
        <v>562</v>
      </c>
      <c r="I617" s="6">
        <f>(Table1[[#This Row],[Aktual]]-Table1[[#This Row],[Target]])</f>
        <v>11</v>
      </c>
      <c r="J617" s="3">
        <f>(Table1[[#This Row],[Aktual]]-Table1[[#This Row],[Target]])/Table1[[#This Row],[Target]]</f>
        <v>1.9572953736654804E-2</v>
      </c>
      <c r="K617" t="str">
        <f>IF(Table1[[#This Row],[Performance Gap (%)]]&lt;0,"Tidak mencapai target", IF(Table1[[#This Row],[Performance Gap (%)]]=0,"Mencapai target", "Melebihi Target"))</f>
        <v>Melebihi Target</v>
      </c>
      <c r="L617">
        <f>VLOOKUP(Table1[[#This Row],[Propinsi]]&amp;"_"&amp;Table1[[#This Row],[Dati 2]]&amp;"_"&amp;Table1[[#This Row],[Tanggal]],Table2[[#All],[Kompetitor area]:[Jumlah Kompetitor]],7,0)</f>
        <v>36</v>
      </c>
      <c r="M617">
        <f>Table1[[#This Row],[Aktual]]-Table1[[#This Row],[Jumlah Kompetitor]]</f>
        <v>537</v>
      </c>
      <c r="N617" t="str">
        <f>IF(Table1[[#This Row],[vs Kompetitor]]&gt;0,"Win", "Lose")</f>
        <v>Win</v>
      </c>
    </row>
    <row r="618" spans="1:14" x14ac:dyDescent="0.25">
      <c r="A618">
        <v>617</v>
      </c>
      <c r="B618" t="s">
        <v>6</v>
      </c>
      <c r="C618" t="s">
        <v>49</v>
      </c>
      <c r="D618">
        <v>6</v>
      </c>
      <c r="E618">
        <v>2021</v>
      </c>
      <c r="F618" s="2">
        <f>DATE(Table1[[#This Row],[Tahun]],Table1[[#This Row],[Bulan]],1)</f>
        <v>44348</v>
      </c>
      <c r="G618">
        <v>1010</v>
      </c>
      <c r="H618">
        <v>1086</v>
      </c>
      <c r="I618" s="6">
        <f>(Table1[[#This Row],[Aktual]]-Table1[[#This Row],[Target]])</f>
        <v>-76</v>
      </c>
      <c r="J618" s="3">
        <f>(Table1[[#This Row],[Aktual]]-Table1[[#This Row],[Target]])/Table1[[#This Row],[Target]]</f>
        <v>-6.9981583793738492E-2</v>
      </c>
      <c r="K618" t="str">
        <f>IF(Table1[[#This Row],[Performance Gap (%)]]&lt;0,"Tidak mencapai target", IF(Table1[[#This Row],[Performance Gap (%)]]=0,"Mencapai target", "Melebihi Target"))</f>
        <v>Tidak mencapai target</v>
      </c>
      <c r="L618">
        <f>VLOOKUP(Table1[[#This Row],[Propinsi]]&amp;"_"&amp;Table1[[#This Row],[Dati 2]]&amp;"_"&amp;Table1[[#This Row],[Tanggal]],Table2[[#All],[Kompetitor area]:[Jumlah Kompetitor]],7,0)</f>
        <v>140</v>
      </c>
      <c r="M618">
        <f>Table1[[#This Row],[Aktual]]-Table1[[#This Row],[Jumlah Kompetitor]]</f>
        <v>870</v>
      </c>
      <c r="N618" t="str">
        <f>IF(Table1[[#This Row],[vs Kompetitor]]&gt;0,"Win", "Lose")</f>
        <v>Win</v>
      </c>
    </row>
    <row r="619" spans="1:14" x14ac:dyDescent="0.25">
      <c r="A619">
        <v>618</v>
      </c>
      <c r="B619" t="s">
        <v>6</v>
      </c>
      <c r="C619" t="s">
        <v>50</v>
      </c>
      <c r="D619">
        <v>6</v>
      </c>
      <c r="E619">
        <v>2021</v>
      </c>
      <c r="F619" s="2">
        <f>DATE(Table1[[#This Row],[Tahun]],Table1[[#This Row],[Bulan]],1)</f>
        <v>44348</v>
      </c>
      <c r="G619">
        <v>870</v>
      </c>
      <c r="H619">
        <v>895</v>
      </c>
      <c r="I619" s="6">
        <f>(Table1[[#This Row],[Aktual]]-Table1[[#This Row],[Target]])</f>
        <v>-25</v>
      </c>
      <c r="J619" s="3">
        <f>(Table1[[#This Row],[Aktual]]-Table1[[#This Row],[Target]])/Table1[[#This Row],[Target]]</f>
        <v>-2.7932960893854747E-2</v>
      </c>
      <c r="K619" t="str">
        <f>IF(Table1[[#This Row],[Performance Gap (%)]]&lt;0,"Tidak mencapai target", IF(Table1[[#This Row],[Performance Gap (%)]]=0,"Mencapai target", "Melebihi Target"))</f>
        <v>Tidak mencapai target</v>
      </c>
      <c r="L619">
        <f>VLOOKUP(Table1[[#This Row],[Propinsi]]&amp;"_"&amp;Table1[[#This Row],[Dati 2]]&amp;"_"&amp;Table1[[#This Row],[Tanggal]],Table2[[#All],[Kompetitor area]:[Jumlah Kompetitor]],7,0)</f>
        <v>110</v>
      </c>
      <c r="M619">
        <f>Table1[[#This Row],[Aktual]]-Table1[[#This Row],[Jumlah Kompetitor]]</f>
        <v>760</v>
      </c>
      <c r="N619" t="str">
        <f>IF(Table1[[#This Row],[vs Kompetitor]]&gt;0,"Win", "Lose")</f>
        <v>Win</v>
      </c>
    </row>
    <row r="620" spans="1:14" x14ac:dyDescent="0.25">
      <c r="A620">
        <v>619</v>
      </c>
      <c r="B620" t="s">
        <v>6</v>
      </c>
      <c r="C620" t="s">
        <v>51</v>
      </c>
      <c r="D620">
        <v>6</v>
      </c>
      <c r="E620">
        <v>2021</v>
      </c>
      <c r="F620" s="2">
        <f>DATE(Table1[[#This Row],[Tahun]],Table1[[#This Row],[Bulan]],1)</f>
        <v>44348</v>
      </c>
      <c r="G620">
        <v>140</v>
      </c>
      <c r="H620">
        <v>160</v>
      </c>
      <c r="I620" s="6">
        <f>(Table1[[#This Row],[Aktual]]-Table1[[#This Row],[Target]])</f>
        <v>-20</v>
      </c>
      <c r="J620" s="3">
        <f>(Table1[[#This Row],[Aktual]]-Table1[[#This Row],[Target]])/Table1[[#This Row],[Target]]</f>
        <v>-0.125</v>
      </c>
      <c r="K620" t="str">
        <f>IF(Table1[[#This Row],[Performance Gap (%)]]&lt;0,"Tidak mencapai target", IF(Table1[[#This Row],[Performance Gap (%)]]=0,"Mencapai target", "Melebihi Target"))</f>
        <v>Tidak mencapai target</v>
      </c>
      <c r="L620">
        <f>VLOOKUP(Table1[[#This Row],[Propinsi]]&amp;"_"&amp;Table1[[#This Row],[Dati 2]]&amp;"_"&amp;Table1[[#This Row],[Tanggal]],Table2[[#All],[Kompetitor area]:[Jumlah Kompetitor]],7,0)</f>
        <v>104</v>
      </c>
      <c r="M620">
        <f>Table1[[#This Row],[Aktual]]-Table1[[#This Row],[Jumlah Kompetitor]]</f>
        <v>36</v>
      </c>
      <c r="N620" t="str">
        <f>IF(Table1[[#This Row],[vs Kompetitor]]&gt;0,"Win", "Lose")</f>
        <v>Win</v>
      </c>
    </row>
    <row r="621" spans="1:14" x14ac:dyDescent="0.25">
      <c r="A621">
        <v>620</v>
      </c>
      <c r="B621" t="s">
        <v>6</v>
      </c>
      <c r="C621" t="s">
        <v>52</v>
      </c>
      <c r="D621">
        <v>6</v>
      </c>
      <c r="E621">
        <v>2021</v>
      </c>
      <c r="F621" s="2">
        <f>DATE(Table1[[#This Row],[Tahun]],Table1[[#This Row],[Bulan]],1)</f>
        <v>44348</v>
      </c>
      <c r="G621">
        <v>542</v>
      </c>
      <c r="H621">
        <v>563</v>
      </c>
      <c r="I621" s="6">
        <f>(Table1[[#This Row],[Aktual]]-Table1[[#This Row],[Target]])</f>
        <v>-21</v>
      </c>
      <c r="J621" s="3">
        <f>(Table1[[#This Row],[Aktual]]-Table1[[#This Row],[Target]])/Table1[[#This Row],[Target]]</f>
        <v>-3.7300177619893425E-2</v>
      </c>
      <c r="K621" t="str">
        <f>IF(Table1[[#This Row],[Performance Gap (%)]]&lt;0,"Tidak mencapai target", IF(Table1[[#This Row],[Performance Gap (%)]]=0,"Mencapai target", "Melebihi Target"))</f>
        <v>Tidak mencapai target</v>
      </c>
      <c r="L621">
        <f>VLOOKUP(Table1[[#This Row],[Propinsi]]&amp;"_"&amp;Table1[[#This Row],[Dati 2]]&amp;"_"&amp;Table1[[#This Row],[Tanggal]],Table2[[#All],[Kompetitor area]:[Jumlah Kompetitor]],7,0)</f>
        <v>117</v>
      </c>
      <c r="M621">
        <f>Table1[[#This Row],[Aktual]]-Table1[[#This Row],[Jumlah Kompetitor]]</f>
        <v>425</v>
      </c>
      <c r="N621" t="str">
        <f>IF(Table1[[#This Row],[vs Kompetitor]]&gt;0,"Win", "Lose")</f>
        <v>Win</v>
      </c>
    </row>
    <row r="622" spans="1:14" x14ac:dyDescent="0.25">
      <c r="A622">
        <v>621</v>
      </c>
      <c r="B622" t="s">
        <v>6</v>
      </c>
      <c r="C622" t="s">
        <v>53</v>
      </c>
      <c r="D622">
        <v>6</v>
      </c>
      <c r="E622">
        <v>2021</v>
      </c>
      <c r="F622" s="2">
        <f>DATE(Table1[[#This Row],[Tahun]],Table1[[#This Row],[Bulan]],1)</f>
        <v>44348</v>
      </c>
      <c r="G622">
        <v>472</v>
      </c>
      <c r="H622">
        <v>467</v>
      </c>
      <c r="I622" s="6">
        <f>(Table1[[#This Row],[Aktual]]-Table1[[#This Row],[Target]])</f>
        <v>5</v>
      </c>
      <c r="J622" s="3">
        <f>(Table1[[#This Row],[Aktual]]-Table1[[#This Row],[Target]])/Table1[[#This Row],[Target]]</f>
        <v>1.0706638115631691E-2</v>
      </c>
      <c r="K622" t="str">
        <f>IF(Table1[[#This Row],[Performance Gap (%)]]&lt;0,"Tidak mencapai target", IF(Table1[[#This Row],[Performance Gap (%)]]=0,"Mencapai target", "Melebihi Target"))</f>
        <v>Melebihi Target</v>
      </c>
      <c r="L622">
        <f>VLOOKUP(Table1[[#This Row],[Propinsi]]&amp;"_"&amp;Table1[[#This Row],[Dati 2]]&amp;"_"&amp;Table1[[#This Row],[Tanggal]],Table2[[#All],[Kompetitor area]:[Jumlah Kompetitor]],7,0)</f>
        <v>231</v>
      </c>
      <c r="M622">
        <f>Table1[[#This Row],[Aktual]]-Table1[[#This Row],[Jumlah Kompetitor]]</f>
        <v>241</v>
      </c>
      <c r="N622" t="str">
        <f>IF(Table1[[#This Row],[vs Kompetitor]]&gt;0,"Win", "Lose")</f>
        <v>Win</v>
      </c>
    </row>
    <row r="623" spans="1:14" x14ac:dyDescent="0.25">
      <c r="A623">
        <v>622</v>
      </c>
      <c r="B623" t="s">
        <v>6</v>
      </c>
      <c r="C623" t="s">
        <v>54</v>
      </c>
      <c r="D623">
        <v>6</v>
      </c>
      <c r="E623">
        <v>2021</v>
      </c>
      <c r="F623" s="2">
        <f>DATE(Table1[[#This Row],[Tahun]],Table1[[#This Row],[Bulan]],1)</f>
        <v>44348</v>
      </c>
      <c r="G623">
        <v>547</v>
      </c>
      <c r="H623">
        <v>518</v>
      </c>
      <c r="I623" s="6">
        <f>(Table1[[#This Row],[Aktual]]-Table1[[#This Row],[Target]])</f>
        <v>29</v>
      </c>
      <c r="J623" s="3">
        <f>(Table1[[#This Row],[Aktual]]-Table1[[#This Row],[Target]])/Table1[[#This Row],[Target]]</f>
        <v>5.5984555984555984E-2</v>
      </c>
      <c r="K623" t="str">
        <f>IF(Table1[[#This Row],[Performance Gap (%)]]&lt;0,"Tidak mencapai target", IF(Table1[[#This Row],[Performance Gap (%)]]=0,"Mencapai target", "Melebihi Target"))</f>
        <v>Melebihi Target</v>
      </c>
      <c r="L623">
        <f>VLOOKUP(Table1[[#This Row],[Propinsi]]&amp;"_"&amp;Table1[[#This Row],[Dati 2]]&amp;"_"&amp;Table1[[#This Row],[Tanggal]],Table2[[#All],[Kompetitor area]:[Jumlah Kompetitor]],7,0)</f>
        <v>267</v>
      </c>
      <c r="M623">
        <f>Table1[[#This Row],[Aktual]]-Table1[[#This Row],[Jumlah Kompetitor]]</f>
        <v>280</v>
      </c>
      <c r="N623" t="str">
        <f>IF(Table1[[#This Row],[vs Kompetitor]]&gt;0,"Win", "Lose")</f>
        <v>Win</v>
      </c>
    </row>
    <row r="624" spans="1:14" x14ac:dyDescent="0.25">
      <c r="A624">
        <v>623</v>
      </c>
      <c r="B624" t="s">
        <v>6</v>
      </c>
      <c r="C624" t="s">
        <v>55</v>
      </c>
      <c r="D624">
        <v>6</v>
      </c>
      <c r="E624">
        <v>2021</v>
      </c>
      <c r="F624" s="2">
        <f>DATE(Table1[[#This Row],[Tahun]],Table1[[#This Row],[Bulan]],1)</f>
        <v>44348</v>
      </c>
      <c r="G624">
        <v>372</v>
      </c>
      <c r="H624">
        <v>294</v>
      </c>
      <c r="I624" s="6">
        <f>(Table1[[#This Row],[Aktual]]-Table1[[#This Row],[Target]])</f>
        <v>78</v>
      </c>
      <c r="J624" s="3">
        <f>(Table1[[#This Row],[Aktual]]-Table1[[#This Row],[Target]])/Table1[[#This Row],[Target]]</f>
        <v>0.26530612244897961</v>
      </c>
      <c r="K624" t="str">
        <f>IF(Table1[[#This Row],[Performance Gap (%)]]&lt;0,"Tidak mencapai target", IF(Table1[[#This Row],[Performance Gap (%)]]=0,"Mencapai target", "Melebihi Target"))</f>
        <v>Melebihi Target</v>
      </c>
      <c r="L624">
        <f>VLOOKUP(Table1[[#This Row],[Propinsi]]&amp;"_"&amp;Table1[[#This Row],[Dati 2]]&amp;"_"&amp;Table1[[#This Row],[Tanggal]],Table2[[#All],[Kompetitor area]:[Jumlah Kompetitor]],7,0)</f>
        <v>219</v>
      </c>
      <c r="M624">
        <f>Table1[[#This Row],[Aktual]]-Table1[[#This Row],[Jumlah Kompetitor]]</f>
        <v>153</v>
      </c>
      <c r="N624" t="str">
        <f>IF(Table1[[#This Row],[vs Kompetitor]]&gt;0,"Win", "Lose")</f>
        <v>Win</v>
      </c>
    </row>
    <row r="625" spans="1:14" x14ac:dyDescent="0.25">
      <c r="A625">
        <v>624</v>
      </c>
      <c r="B625" t="s">
        <v>6</v>
      </c>
      <c r="C625" t="s">
        <v>56</v>
      </c>
      <c r="D625">
        <v>6</v>
      </c>
      <c r="E625">
        <v>2021</v>
      </c>
      <c r="F625" s="2">
        <f>DATE(Table1[[#This Row],[Tahun]],Table1[[#This Row],[Bulan]],1)</f>
        <v>44348</v>
      </c>
      <c r="G625">
        <v>156</v>
      </c>
      <c r="H625">
        <v>142</v>
      </c>
      <c r="I625" s="6">
        <f>(Table1[[#This Row],[Aktual]]-Table1[[#This Row],[Target]])</f>
        <v>14</v>
      </c>
      <c r="J625" s="3">
        <f>(Table1[[#This Row],[Aktual]]-Table1[[#This Row],[Target]])/Table1[[#This Row],[Target]]</f>
        <v>9.8591549295774641E-2</v>
      </c>
      <c r="K625" t="str">
        <f>IF(Table1[[#This Row],[Performance Gap (%)]]&lt;0,"Tidak mencapai target", IF(Table1[[#This Row],[Performance Gap (%)]]=0,"Mencapai target", "Melebihi Target"))</f>
        <v>Melebihi Target</v>
      </c>
      <c r="L625">
        <f>VLOOKUP(Table1[[#This Row],[Propinsi]]&amp;"_"&amp;Table1[[#This Row],[Dati 2]]&amp;"_"&amp;Table1[[#This Row],[Tanggal]],Table2[[#All],[Kompetitor area]:[Jumlah Kompetitor]],7,0)</f>
        <v>151</v>
      </c>
      <c r="M625">
        <f>Table1[[#This Row],[Aktual]]-Table1[[#This Row],[Jumlah Kompetitor]]</f>
        <v>5</v>
      </c>
      <c r="N625" t="str">
        <f>IF(Table1[[#This Row],[vs Kompetitor]]&gt;0,"Win", "Lose")</f>
        <v>Win</v>
      </c>
    </row>
    <row r="626" spans="1:14" x14ac:dyDescent="0.25">
      <c r="A626">
        <v>625</v>
      </c>
      <c r="B626" t="s">
        <v>6</v>
      </c>
      <c r="C626" t="s">
        <v>57</v>
      </c>
      <c r="D626">
        <v>6</v>
      </c>
      <c r="E626">
        <v>2021</v>
      </c>
      <c r="F626" s="2">
        <f>DATE(Table1[[#This Row],[Tahun]],Table1[[#This Row],[Bulan]],1)</f>
        <v>44348</v>
      </c>
      <c r="G626">
        <v>562</v>
      </c>
      <c r="H626">
        <v>497</v>
      </c>
      <c r="I626" s="6">
        <f>(Table1[[#This Row],[Aktual]]-Table1[[#This Row],[Target]])</f>
        <v>65</v>
      </c>
      <c r="J626" s="3">
        <f>(Table1[[#This Row],[Aktual]]-Table1[[#This Row],[Target]])/Table1[[#This Row],[Target]]</f>
        <v>0.13078470824949698</v>
      </c>
      <c r="K626" t="str">
        <f>IF(Table1[[#This Row],[Performance Gap (%)]]&lt;0,"Tidak mencapai target", IF(Table1[[#This Row],[Performance Gap (%)]]=0,"Mencapai target", "Melebihi Target"))</f>
        <v>Melebihi Target</v>
      </c>
      <c r="L626">
        <f>VLOOKUP(Table1[[#This Row],[Propinsi]]&amp;"_"&amp;Table1[[#This Row],[Dati 2]]&amp;"_"&amp;Table1[[#This Row],[Tanggal]],Table2[[#All],[Kompetitor area]:[Jumlah Kompetitor]],7,0)</f>
        <v>26</v>
      </c>
      <c r="M626">
        <f>Table1[[#This Row],[Aktual]]-Table1[[#This Row],[Jumlah Kompetitor]]</f>
        <v>536</v>
      </c>
      <c r="N626" t="str">
        <f>IF(Table1[[#This Row],[vs Kompetitor]]&gt;0,"Win", "Lose")</f>
        <v>Win</v>
      </c>
    </row>
    <row r="627" spans="1:14" x14ac:dyDescent="0.25">
      <c r="A627">
        <v>626</v>
      </c>
      <c r="B627" t="s">
        <v>6</v>
      </c>
      <c r="C627" t="s">
        <v>58</v>
      </c>
      <c r="D627">
        <v>6</v>
      </c>
      <c r="E627">
        <v>2021</v>
      </c>
      <c r="F627" s="2">
        <f>DATE(Table1[[#This Row],[Tahun]],Table1[[#This Row],[Bulan]],1)</f>
        <v>44348</v>
      </c>
      <c r="G627">
        <v>544</v>
      </c>
      <c r="H627">
        <v>507</v>
      </c>
      <c r="I627" s="6">
        <f>(Table1[[#This Row],[Aktual]]-Table1[[#This Row],[Target]])</f>
        <v>37</v>
      </c>
      <c r="J627" s="3">
        <f>(Table1[[#This Row],[Aktual]]-Table1[[#This Row],[Target]])/Table1[[#This Row],[Target]]</f>
        <v>7.2978303747534515E-2</v>
      </c>
      <c r="K627" t="str">
        <f>IF(Table1[[#This Row],[Performance Gap (%)]]&lt;0,"Tidak mencapai target", IF(Table1[[#This Row],[Performance Gap (%)]]=0,"Mencapai target", "Melebihi Target"))</f>
        <v>Melebihi Target</v>
      </c>
      <c r="L627">
        <f>VLOOKUP(Table1[[#This Row],[Propinsi]]&amp;"_"&amp;Table1[[#This Row],[Dati 2]]&amp;"_"&amp;Table1[[#This Row],[Tanggal]],Table2[[#All],[Kompetitor area]:[Jumlah Kompetitor]],7,0)</f>
        <v>118</v>
      </c>
      <c r="M627">
        <f>Table1[[#This Row],[Aktual]]-Table1[[#This Row],[Jumlah Kompetitor]]</f>
        <v>426</v>
      </c>
      <c r="N627" t="str">
        <f>IF(Table1[[#This Row],[vs Kompetitor]]&gt;0,"Win", "Lose")</f>
        <v>Win</v>
      </c>
    </row>
    <row r="628" spans="1:14" x14ac:dyDescent="0.25">
      <c r="A628">
        <v>627</v>
      </c>
      <c r="B628" t="s">
        <v>6</v>
      </c>
      <c r="C628" t="s">
        <v>59</v>
      </c>
      <c r="D628">
        <v>6</v>
      </c>
      <c r="E628">
        <v>2021</v>
      </c>
      <c r="F628" s="2">
        <f>DATE(Table1[[#This Row],[Tahun]],Table1[[#This Row],[Bulan]],1)</f>
        <v>44348</v>
      </c>
      <c r="G628">
        <v>170</v>
      </c>
      <c r="H628">
        <v>150</v>
      </c>
      <c r="I628" s="6">
        <f>(Table1[[#This Row],[Aktual]]-Table1[[#This Row],[Target]])</f>
        <v>20</v>
      </c>
      <c r="J628" s="3">
        <f>(Table1[[#This Row],[Aktual]]-Table1[[#This Row],[Target]])/Table1[[#This Row],[Target]]</f>
        <v>0.13333333333333333</v>
      </c>
      <c r="K628" t="str">
        <f>IF(Table1[[#This Row],[Performance Gap (%)]]&lt;0,"Tidak mencapai target", IF(Table1[[#This Row],[Performance Gap (%)]]=0,"Mencapai target", "Melebihi Target"))</f>
        <v>Melebihi Target</v>
      </c>
      <c r="L628">
        <f>VLOOKUP(Table1[[#This Row],[Propinsi]]&amp;"_"&amp;Table1[[#This Row],[Dati 2]]&amp;"_"&amp;Table1[[#This Row],[Tanggal]],Table2[[#All],[Kompetitor area]:[Jumlah Kompetitor]],7,0)</f>
        <v>133</v>
      </c>
      <c r="M628">
        <f>Table1[[#This Row],[Aktual]]-Table1[[#This Row],[Jumlah Kompetitor]]</f>
        <v>37</v>
      </c>
      <c r="N628" t="str">
        <f>IF(Table1[[#This Row],[vs Kompetitor]]&gt;0,"Win", "Lose")</f>
        <v>Win</v>
      </c>
    </row>
    <row r="629" spans="1:14" x14ac:dyDescent="0.25">
      <c r="A629">
        <v>628</v>
      </c>
      <c r="B629" t="s">
        <v>6</v>
      </c>
      <c r="C629" t="s">
        <v>60</v>
      </c>
      <c r="D629">
        <v>6</v>
      </c>
      <c r="E629">
        <v>2021</v>
      </c>
      <c r="F629" s="2">
        <f>DATE(Table1[[#This Row],[Tahun]],Table1[[#This Row],[Bulan]],1)</f>
        <v>44348</v>
      </c>
      <c r="G629">
        <v>75</v>
      </c>
      <c r="H629">
        <v>74</v>
      </c>
      <c r="I629" s="6">
        <f>(Table1[[#This Row],[Aktual]]-Table1[[#This Row],[Target]])</f>
        <v>1</v>
      </c>
      <c r="J629" s="3">
        <f>(Table1[[#This Row],[Aktual]]-Table1[[#This Row],[Target]])/Table1[[#This Row],[Target]]</f>
        <v>1.3513513513513514E-2</v>
      </c>
      <c r="K629" t="str">
        <f>IF(Table1[[#This Row],[Performance Gap (%)]]&lt;0,"Tidak mencapai target", IF(Table1[[#This Row],[Performance Gap (%)]]=0,"Mencapai target", "Melebihi Target"))</f>
        <v>Melebihi Target</v>
      </c>
      <c r="L629">
        <f>VLOOKUP(Table1[[#This Row],[Propinsi]]&amp;"_"&amp;Table1[[#This Row],[Dati 2]]&amp;"_"&amp;Table1[[#This Row],[Tanggal]],Table2[[#All],[Kompetitor area]:[Jumlah Kompetitor]],7,0)</f>
        <v>104</v>
      </c>
      <c r="M629">
        <f>Table1[[#This Row],[Aktual]]-Table1[[#This Row],[Jumlah Kompetitor]]</f>
        <v>-29</v>
      </c>
      <c r="N629" t="str">
        <f>IF(Table1[[#This Row],[vs Kompetitor]]&gt;0,"Win", "Lose")</f>
        <v>Lose</v>
      </c>
    </row>
    <row r="630" spans="1:14" x14ac:dyDescent="0.25">
      <c r="A630">
        <v>629</v>
      </c>
      <c r="B630" t="s">
        <v>6</v>
      </c>
      <c r="C630" t="s">
        <v>61</v>
      </c>
      <c r="D630">
        <v>6</v>
      </c>
      <c r="E630">
        <v>2021</v>
      </c>
      <c r="F630" s="2">
        <f>DATE(Table1[[#This Row],[Tahun]],Table1[[#This Row],[Bulan]],1)</f>
        <v>44348</v>
      </c>
      <c r="G630">
        <v>579</v>
      </c>
      <c r="H630">
        <v>528</v>
      </c>
      <c r="I630" s="6">
        <f>(Table1[[#This Row],[Aktual]]-Table1[[#This Row],[Target]])</f>
        <v>51</v>
      </c>
      <c r="J630" s="3">
        <f>(Table1[[#This Row],[Aktual]]-Table1[[#This Row],[Target]])/Table1[[#This Row],[Target]]</f>
        <v>9.6590909090909088E-2</v>
      </c>
      <c r="K630" t="str">
        <f>IF(Table1[[#This Row],[Performance Gap (%)]]&lt;0,"Tidak mencapai target", IF(Table1[[#This Row],[Performance Gap (%)]]=0,"Mencapai target", "Melebihi Target"))</f>
        <v>Melebihi Target</v>
      </c>
      <c r="L630">
        <f>VLOOKUP(Table1[[#This Row],[Propinsi]]&amp;"_"&amp;Table1[[#This Row],[Dati 2]]&amp;"_"&amp;Table1[[#This Row],[Tanggal]],Table2[[#All],[Kompetitor area]:[Jumlah Kompetitor]],7,0)</f>
        <v>170</v>
      </c>
      <c r="M630">
        <f>Table1[[#This Row],[Aktual]]-Table1[[#This Row],[Jumlah Kompetitor]]</f>
        <v>409</v>
      </c>
      <c r="N630" t="str">
        <f>IF(Table1[[#This Row],[vs Kompetitor]]&gt;0,"Win", "Lose")</f>
        <v>Win</v>
      </c>
    </row>
    <row r="631" spans="1:14" x14ac:dyDescent="0.25">
      <c r="A631">
        <v>630</v>
      </c>
      <c r="B631" t="s">
        <v>3</v>
      </c>
      <c r="C631" t="s">
        <v>62</v>
      </c>
      <c r="D631">
        <v>6</v>
      </c>
      <c r="E631">
        <v>2021</v>
      </c>
      <c r="F631" s="2">
        <f>DATE(Table1[[#This Row],[Tahun]],Table1[[#This Row],[Bulan]],1)</f>
        <v>44348</v>
      </c>
      <c r="G631">
        <v>686</v>
      </c>
      <c r="H631">
        <v>631</v>
      </c>
      <c r="I631" s="6">
        <f>(Table1[[#This Row],[Aktual]]-Table1[[#This Row],[Target]])</f>
        <v>55</v>
      </c>
      <c r="J631" s="3">
        <f>(Table1[[#This Row],[Aktual]]-Table1[[#This Row],[Target]])/Table1[[#This Row],[Target]]</f>
        <v>8.7163232963549928E-2</v>
      </c>
      <c r="K631" t="str">
        <f>IF(Table1[[#This Row],[Performance Gap (%)]]&lt;0,"Tidak mencapai target", IF(Table1[[#This Row],[Performance Gap (%)]]=0,"Mencapai target", "Melebihi Target"))</f>
        <v>Melebihi Target</v>
      </c>
      <c r="L631">
        <f>VLOOKUP(Table1[[#This Row],[Propinsi]]&amp;"_"&amp;Table1[[#This Row],[Dati 2]]&amp;"_"&amp;Table1[[#This Row],[Tanggal]],Table2[[#All],[Kompetitor area]:[Jumlah Kompetitor]],7,0)</f>
        <v>283</v>
      </c>
      <c r="M631">
        <f>Table1[[#This Row],[Aktual]]-Table1[[#This Row],[Jumlah Kompetitor]]</f>
        <v>403</v>
      </c>
      <c r="N631" t="str">
        <f>IF(Table1[[#This Row],[vs Kompetitor]]&gt;0,"Win", "Lose")</f>
        <v>Win</v>
      </c>
    </row>
    <row r="632" spans="1:14" x14ac:dyDescent="0.25">
      <c r="A632">
        <v>631</v>
      </c>
      <c r="B632" t="s">
        <v>3</v>
      </c>
      <c r="C632" t="s">
        <v>63</v>
      </c>
      <c r="D632">
        <v>6</v>
      </c>
      <c r="E632">
        <v>2021</v>
      </c>
      <c r="F632" s="2">
        <f>DATE(Table1[[#This Row],[Tahun]],Table1[[#This Row],[Bulan]],1)</f>
        <v>44348</v>
      </c>
      <c r="G632">
        <v>969</v>
      </c>
      <c r="H632">
        <v>984</v>
      </c>
      <c r="I632" s="6">
        <f>(Table1[[#This Row],[Aktual]]-Table1[[#This Row],[Target]])</f>
        <v>-15</v>
      </c>
      <c r="J632" s="3">
        <f>(Table1[[#This Row],[Aktual]]-Table1[[#This Row],[Target]])/Table1[[#This Row],[Target]]</f>
        <v>-1.524390243902439E-2</v>
      </c>
      <c r="K632" t="str">
        <f>IF(Table1[[#This Row],[Performance Gap (%)]]&lt;0,"Tidak mencapai target", IF(Table1[[#This Row],[Performance Gap (%)]]=0,"Mencapai target", "Melebihi Target"))</f>
        <v>Tidak mencapai target</v>
      </c>
      <c r="L632">
        <f>VLOOKUP(Table1[[#This Row],[Propinsi]]&amp;"_"&amp;Table1[[#This Row],[Dati 2]]&amp;"_"&amp;Table1[[#This Row],[Tanggal]],Table2[[#All],[Kompetitor area]:[Jumlah Kompetitor]],7,0)</f>
        <v>299</v>
      </c>
      <c r="M632">
        <f>Table1[[#This Row],[Aktual]]-Table1[[#This Row],[Jumlah Kompetitor]]</f>
        <v>670</v>
      </c>
      <c r="N632" t="str">
        <f>IF(Table1[[#This Row],[vs Kompetitor]]&gt;0,"Win", "Lose")</f>
        <v>Win</v>
      </c>
    </row>
    <row r="633" spans="1:14" x14ac:dyDescent="0.25">
      <c r="A633">
        <v>632</v>
      </c>
      <c r="B633" t="s">
        <v>3</v>
      </c>
      <c r="C633" t="s">
        <v>64</v>
      </c>
      <c r="D633">
        <v>6</v>
      </c>
      <c r="E633">
        <v>2021</v>
      </c>
      <c r="F633" s="2">
        <f>DATE(Table1[[#This Row],[Tahun]],Table1[[#This Row],[Bulan]],1)</f>
        <v>44348</v>
      </c>
      <c r="G633">
        <v>754</v>
      </c>
      <c r="H633">
        <v>702</v>
      </c>
      <c r="I633" s="6">
        <f>(Table1[[#This Row],[Aktual]]-Table1[[#This Row],[Target]])</f>
        <v>52</v>
      </c>
      <c r="J633" s="3">
        <f>(Table1[[#This Row],[Aktual]]-Table1[[#This Row],[Target]])/Table1[[#This Row],[Target]]</f>
        <v>7.407407407407407E-2</v>
      </c>
      <c r="K633" t="str">
        <f>IF(Table1[[#This Row],[Performance Gap (%)]]&lt;0,"Tidak mencapai target", IF(Table1[[#This Row],[Performance Gap (%)]]=0,"Mencapai target", "Melebihi Target"))</f>
        <v>Melebihi Target</v>
      </c>
      <c r="L633">
        <f>VLOOKUP(Table1[[#This Row],[Propinsi]]&amp;"_"&amp;Table1[[#This Row],[Dati 2]]&amp;"_"&amp;Table1[[#This Row],[Tanggal]],Table2[[#All],[Kompetitor area]:[Jumlah Kompetitor]],7,0)</f>
        <v>141</v>
      </c>
      <c r="M633">
        <f>Table1[[#This Row],[Aktual]]-Table1[[#This Row],[Jumlah Kompetitor]]</f>
        <v>613</v>
      </c>
      <c r="N633" t="str">
        <f>IF(Table1[[#This Row],[vs Kompetitor]]&gt;0,"Win", "Lose")</f>
        <v>Win</v>
      </c>
    </row>
    <row r="634" spans="1:14" x14ac:dyDescent="0.25">
      <c r="A634">
        <v>633</v>
      </c>
      <c r="B634" t="s">
        <v>3</v>
      </c>
      <c r="C634" t="s">
        <v>65</v>
      </c>
      <c r="D634">
        <v>6</v>
      </c>
      <c r="E634">
        <v>2021</v>
      </c>
      <c r="F634" s="2">
        <f>DATE(Table1[[#This Row],[Tahun]],Table1[[#This Row],[Bulan]],1)</f>
        <v>44348</v>
      </c>
      <c r="G634">
        <v>1233</v>
      </c>
      <c r="H634">
        <v>1120</v>
      </c>
      <c r="I634" s="6">
        <f>(Table1[[#This Row],[Aktual]]-Table1[[#This Row],[Target]])</f>
        <v>113</v>
      </c>
      <c r="J634" s="3">
        <f>(Table1[[#This Row],[Aktual]]-Table1[[#This Row],[Target]])/Table1[[#This Row],[Target]]</f>
        <v>0.10089285714285715</v>
      </c>
      <c r="K634" t="str">
        <f>IF(Table1[[#This Row],[Performance Gap (%)]]&lt;0,"Tidak mencapai target", IF(Table1[[#This Row],[Performance Gap (%)]]=0,"Mencapai target", "Melebihi Target"))</f>
        <v>Melebihi Target</v>
      </c>
      <c r="L634">
        <f>VLOOKUP(Table1[[#This Row],[Propinsi]]&amp;"_"&amp;Table1[[#This Row],[Dati 2]]&amp;"_"&amp;Table1[[#This Row],[Tanggal]],Table2[[#All],[Kompetitor area]:[Jumlah Kompetitor]],7,0)</f>
        <v>181</v>
      </c>
      <c r="M634">
        <f>Table1[[#This Row],[Aktual]]-Table1[[#This Row],[Jumlah Kompetitor]]</f>
        <v>1052</v>
      </c>
      <c r="N634" t="str">
        <f>IF(Table1[[#This Row],[vs Kompetitor]]&gt;0,"Win", "Lose")</f>
        <v>Win</v>
      </c>
    </row>
    <row r="635" spans="1:14" x14ac:dyDescent="0.25">
      <c r="A635">
        <v>634</v>
      </c>
      <c r="B635" t="s">
        <v>3</v>
      </c>
      <c r="C635" t="s">
        <v>66</v>
      </c>
      <c r="D635">
        <v>6</v>
      </c>
      <c r="E635">
        <v>2021</v>
      </c>
      <c r="F635" s="2">
        <f>DATE(Table1[[#This Row],[Tahun]],Table1[[#This Row],[Bulan]],1)</f>
        <v>44348</v>
      </c>
      <c r="G635">
        <v>1113</v>
      </c>
      <c r="H635">
        <v>918</v>
      </c>
      <c r="I635" s="6">
        <f>(Table1[[#This Row],[Aktual]]-Table1[[#This Row],[Target]])</f>
        <v>195</v>
      </c>
      <c r="J635" s="3">
        <f>(Table1[[#This Row],[Aktual]]-Table1[[#This Row],[Target]])/Table1[[#This Row],[Target]]</f>
        <v>0.21241830065359477</v>
      </c>
      <c r="K635" t="str">
        <f>IF(Table1[[#This Row],[Performance Gap (%)]]&lt;0,"Tidak mencapai target", IF(Table1[[#This Row],[Performance Gap (%)]]=0,"Mencapai target", "Melebihi Target"))</f>
        <v>Melebihi Target</v>
      </c>
      <c r="L635">
        <f>VLOOKUP(Table1[[#This Row],[Propinsi]]&amp;"_"&amp;Table1[[#This Row],[Dati 2]]&amp;"_"&amp;Table1[[#This Row],[Tanggal]],Table2[[#All],[Kompetitor area]:[Jumlah Kompetitor]],7,0)</f>
        <v>97</v>
      </c>
      <c r="M635">
        <f>Table1[[#This Row],[Aktual]]-Table1[[#This Row],[Jumlah Kompetitor]]</f>
        <v>1016</v>
      </c>
      <c r="N635" t="str">
        <f>IF(Table1[[#This Row],[vs Kompetitor]]&gt;0,"Win", "Lose")</f>
        <v>Win</v>
      </c>
    </row>
    <row r="636" spans="1:14" x14ac:dyDescent="0.25">
      <c r="A636">
        <v>635</v>
      </c>
      <c r="B636" t="s">
        <v>3</v>
      </c>
      <c r="C636" t="s">
        <v>67</v>
      </c>
      <c r="D636">
        <v>6</v>
      </c>
      <c r="E636">
        <v>2021</v>
      </c>
      <c r="F636" s="2">
        <f>DATE(Table1[[#This Row],[Tahun]],Table1[[#This Row],[Bulan]],1)</f>
        <v>44348</v>
      </c>
      <c r="G636">
        <v>24</v>
      </c>
      <c r="H636">
        <v>20</v>
      </c>
      <c r="I636" s="6">
        <f>(Table1[[#This Row],[Aktual]]-Table1[[#This Row],[Target]])</f>
        <v>4</v>
      </c>
      <c r="J636" s="3">
        <f>(Table1[[#This Row],[Aktual]]-Table1[[#This Row],[Target]])/Table1[[#This Row],[Target]]</f>
        <v>0.2</v>
      </c>
      <c r="K636" t="str">
        <f>IF(Table1[[#This Row],[Performance Gap (%)]]&lt;0,"Tidak mencapai target", IF(Table1[[#This Row],[Performance Gap (%)]]=0,"Mencapai target", "Melebihi Target"))</f>
        <v>Melebihi Target</v>
      </c>
      <c r="L636">
        <f>VLOOKUP(Table1[[#This Row],[Propinsi]]&amp;"_"&amp;Table1[[#This Row],[Dati 2]]&amp;"_"&amp;Table1[[#This Row],[Tanggal]],Table2[[#All],[Kompetitor area]:[Jumlah Kompetitor]],7,0)</f>
        <v>130</v>
      </c>
      <c r="M636">
        <f>Table1[[#This Row],[Aktual]]-Table1[[#This Row],[Jumlah Kompetitor]]</f>
        <v>-106</v>
      </c>
      <c r="N636" t="str">
        <f>IF(Table1[[#This Row],[vs Kompetitor]]&gt;0,"Win", "Lose")</f>
        <v>Lose</v>
      </c>
    </row>
    <row r="637" spans="1:14" x14ac:dyDescent="0.25">
      <c r="A637">
        <v>636</v>
      </c>
      <c r="B637" t="s">
        <v>2</v>
      </c>
      <c r="C637" t="s">
        <v>68</v>
      </c>
      <c r="D637">
        <v>6</v>
      </c>
      <c r="E637">
        <v>2021</v>
      </c>
      <c r="F637" s="2">
        <f>DATE(Table1[[#This Row],[Tahun]],Table1[[#This Row],[Bulan]],1)</f>
        <v>44348</v>
      </c>
      <c r="G637">
        <v>1149</v>
      </c>
      <c r="H637">
        <v>1246</v>
      </c>
      <c r="I637" s="6">
        <f>(Table1[[#This Row],[Aktual]]-Table1[[#This Row],[Target]])</f>
        <v>-97</v>
      </c>
      <c r="J637" s="3">
        <f>(Table1[[#This Row],[Aktual]]-Table1[[#This Row],[Target]])/Table1[[#This Row],[Target]]</f>
        <v>-7.7849117174959875E-2</v>
      </c>
      <c r="K637" t="str">
        <f>IF(Table1[[#This Row],[Performance Gap (%)]]&lt;0,"Tidak mencapai target", IF(Table1[[#This Row],[Performance Gap (%)]]=0,"Mencapai target", "Melebihi Target"))</f>
        <v>Tidak mencapai target</v>
      </c>
      <c r="L637">
        <f>VLOOKUP(Table1[[#This Row],[Propinsi]]&amp;"_"&amp;Table1[[#This Row],[Dati 2]]&amp;"_"&amp;Table1[[#This Row],[Tanggal]],Table2[[#All],[Kompetitor area]:[Jumlah Kompetitor]],7,0)</f>
        <v>168</v>
      </c>
      <c r="M637">
        <f>Table1[[#This Row],[Aktual]]-Table1[[#This Row],[Jumlah Kompetitor]]</f>
        <v>981</v>
      </c>
      <c r="N637" t="str">
        <f>IF(Table1[[#This Row],[vs Kompetitor]]&gt;0,"Win", "Lose")</f>
        <v>Win</v>
      </c>
    </row>
    <row r="638" spans="1:14" x14ac:dyDescent="0.25">
      <c r="A638">
        <v>637</v>
      </c>
      <c r="B638" t="s">
        <v>2</v>
      </c>
      <c r="C638" t="s">
        <v>69</v>
      </c>
      <c r="D638">
        <v>6</v>
      </c>
      <c r="E638">
        <v>2021</v>
      </c>
      <c r="F638" s="2">
        <f>DATE(Table1[[#This Row],[Tahun]],Table1[[#This Row],[Bulan]],1)</f>
        <v>44348</v>
      </c>
      <c r="G638">
        <v>727</v>
      </c>
      <c r="H638">
        <v>564</v>
      </c>
      <c r="I638" s="6">
        <f>(Table1[[#This Row],[Aktual]]-Table1[[#This Row],[Target]])</f>
        <v>163</v>
      </c>
      <c r="J638" s="3">
        <f>(Table1[[#This Row],[Aktual]]-Table1[[#This Row],[Target]])/Table1[[#This Row],[Target]]</f>
        <v>0.28900709219858156</v>
      </c>
      <c r="K638" t="str">
        <f>IF(Table1[[#This Row],[Performance Gap (%)]]&lt;0,"Tidak mencapai target", IF(Table1[[#This Row],[Performance Gap (%)]]=0,"Mencapai target", "Melebihi Target"))</f>
        <v>Melebihi Target</v>
      </c>
      <c r="L638">
        <f>VLOOKUP(Table1[[#This Row],[Propinsi]]&amp;"_"&amp;Table1[[#This Row],[Dati 2]]&amp;"_"&amp;Table1[[#This Row],[Tanggal]],Table2[[#All],[Kompetitor area]:[Jumlah Kompetitor]],7,0)</f>
        <v>72</v>
      </c>
      <c r="M638">
        <f>Table1[[#This Row],[Aktual]]-Table1[[#This Row],[Jumlah Kompetitor]]</f>
        <v>655</v>
      </c>
      <c r="N638" t="str">
        <f>IF(Table1[[#This Row],[vs Kompetitor]]&gt;0,"Win", "Lose")</f>
        <v>Win</v>
      </c>
    </row>
    <row r="639" spans="1:14" x14ac:dyDescent="0.25">
      <c r="A639">
        <v>638</v>
      </c>
      <c r="B639" t="s">
        <v>4</v>
      </c>
      <c r="C639" t="s">
        <v>70</v>
      </c>
      <c r="D639">
        <v>6</v>
      </c>
      <c r="E639">
        <v>2021</v>
      </c>
      <c r="F639" s="2">
        <f>DATE(Table1[[#This Row],[Tahun]],Table1[[#This Row],[Bulan]],1)</f>
        <v>44348</v>
      </c>
      <c r="G639">
        <v>879</v>
      </c>
      <c r="H639">
        <v>919</v>
      </c>
      <c r="I639" s="6">
        <f>(Table1[[#This Row],[Aktual]]-Table1[[#This Row],[Target]])</f>
        <v>-40</v>
      </c>
      <c r="J639" s="3">
        <f>(Table1[[#This Row],[Aktual]]-Table1[[#This Row],[Target]])/Table1[[#This Row],[Target]]</f>
        <v>-4.3525571273122961E-2</v>
      </c>
      <c r="K639" t="str">
        <f>IF(Table1[[#This Row],[Performance Gap (%)]]&lt;0,"Tidak mencapai target", IF(Table1[[#This Row],[Performance Gap (%)]]=0,"Mencapai target", "Melebihi Target"))</f>
        <v>Tidak mencapai target</v>
      </c>
      <c r="L639">
        <f>VLOOKUP(Table1[[#This Row],[Propinsi]]&amp;"_"&amp;Table1[[#This Row],[Dati 2]]&amp;"_"&amp;Table1[[#This Row],[Tanggal]],Table2[[#All],[Kompetitor area]:[Jumlah Kompetitor]],7,0)</f>
        <v>43</v>
      </c>
      <c r="M639">
        <f>Table1[[#This Row],[Aktual]]-Table1[[#This Row],[Jumlah Kompetitor]]</f>
        <v>836</v>
      </c>
      <c r="N639" t="str">
        <f>IF(Table1[[#This Row],[vs Kompetitor]]&gt;0,"Win", "Lose")</f>
        <v>Win</v>
      </c>
    </row>
    <row r="640" spans="1:14" x14ac:dyDescent="0.25">
      <c r="A640">
        <v>639</v>
      </c>
      <c r="B640" t="s">
        <v>4</v>
      </c>
      <c r="C640" t="s">
        <v>71</v>
      </c>
      <c r="D640">
        <v>6</v>
      </c>
      <c r="E640">
        <v>2021</v>
      </c>
      <c r="F640" s="2">
        <f>DATE(Table1[[#This Row],[Tahun]],Table1[[#This Row],[Bulan]],1)</f>
        <v>44348</v>
      </c>
      <c r="G640">
        <v>1464</v>
      </c>
      <c r="H640">
        <v>1502</v>
      </c>
      <c r="I640" s="6">
        <f>(Table1[[#This Row],[Aktual]]-Table1[[#This Row],[Target]])</f>
        <v>-38</v>
      </c>
      <c r="J640" s="3">
        <f>(Table1[[#This Row],[Aktual]]-Table1[[#This Row],[Target]])/Table1[[#This Row],[Target]]</f>
        <v>-2.529960053262317E-2</v>
      </c>
      <c r="K640" t="str">
        <f>IF(Table1[[#This Row],[Performance Gap (%)]]&lt;0,"Tidak mencapai target", IF(Table1[[#This Row],[Performance Gap (%)]]=0,"Mencapai target", "Melebihi Target"))</f>
        <v>Tidak mencapai target</v>
      </c>
      <c r="L640">
        <f>VLOOKUP(Table1[[#This Row],[Propinsi]]&amp;"_"&amp;Table1[[#This Row],[Dati 2]]&amp;"_"&amp;Table1[[#This Row],[Tanggal]],Table2[[#All],[Kompetitor area]:[Jumlah Kompetitor]],7,0)</f>
        <v>192</v>
      </c>
      <c r="M640">
        <f>Table1[[#This Row],[Aktual]]-Table1[[#This Row],[Jumlah Kompetitor]]</f>
        <v>1272</v>
      </c>
      <c r="N640" t="str">
        <f>IF(Table1[[#This Row],[vs Kompetitor]]&gt;0,"Win", "Lose")</f>
        <v>Win</v>
      </c>
    </row>
    <row r="641" spans="1:14" x14ac:dyDescent="0.25">
      <c r="A641">
        <v>640</v>
      </c>
      <c r="B641" t="s">
        <v>4</v>
      </c>
      <c r="C641" t="s">
        <v>72</v>
      </c>
      <c r="D641">
        <v>6</v>
      </c>
      <c r="E641">
        <v>2021</v>
      </c>
      <c r="F641" s="2">
        <f>DATE(Table1[[#This Row],[Tahun]],Table1[[#This Row],[Bulan]],1)</f>
        <v>44348</v>
      </c>
      <c r="G641">
        <v>1361</v>
      </c>
      <c r="H641">
        <v>1246</v>
      </c>
      <c r="I641" s="6">
        <f>(Table1[[#This Row],[Aktual]]-Table1[[#This Row],[Target]])</f>
        <v>115</v>
      </c>
      <c r="J641" s="3">
        <f>(Table1[[#This Row],[Aktual]]-Table1[[#This Row],[Target]])/Table1[[#This Row],[Target]]</f>
        <v>9.2295345104333862E-2</v>
      </c>
      <c r="K641" t="str">
        <f>IF(Table1[[#This Row],[Performance Gap (%)]]&lt;0,"Tidak mencapai target", IF(Table1[[#This Row],[Performance Gap (%)]]=0,"Mencapai target", "Melebihi Target"))</f>
        <v>Melebihi Target</v>
      </c>
      <c r="L641">
        <f>VLOOKUP(Table1[[#This Row],[Propinsi]]&amp;"_"&amp;Table1[[#This Row],[Dati 2]]&amp;"_"&amp;Table1[[#This Row],[Tanggal]],Table2[[#All],[Kompetitor area]:[Jumlah Kompetitor]],7,0)</f>
        <v>322</v>
      </c>
      <c r="M641">
        <f>Table1[[#This Row],[Aktual]]-Table1[[#This Row],[Jumlah Kompetitor]]</f>
        <v>1039</v>
      </c>
      <c r="N641" t="str">
        <f>IF(Table1[[#This Row],[vs Kompetitor]]&gt;0,"Win", "Lose")</f>
        <v>Win</v>
      </c>
    </row>
    <row r="642" spans="1:14" x14ac:dyDescent="0.25">
      <c r="A642">
        <v>641</v>
      </c>
      <c r="B642" t="s">
        <v>4</v>
      </c>
      <c r="C642" t="s">
        <v>73</v>
      </c>
      <c r="D642">
        <v>6</v>
      </c>
      <c r="E642">
        <v>2021</v>
      </c>
      <c r="F642" s="2">
        <f>DATE(Table1[[#This Row],[Tahun]],Table1[[#This Row],[Bulan]],1)</f>
        <v>44348</v>
      </c>
      <c r="G642">
        <v>1407</v>
      </c>
      <c r="H642">
        <v>1460</v>
      </c>
      <c r="I642" s="6">
        <f>(Table1[[#This Row],[Aktual]]-Table1[[#This Row],[Target]])</f>
        <v>-53</v>
      </c>
      <c r="J642" s="3">
        <f>(Table1[[#This Row],[Aktual]]-Table1[[#This Row],[Target]])/Table1[[#This Row],[Target]]</f>
        <v>-3.6301369863013695E-2</v>
      </c>
      <c r="K642" t="str">
        <f>IF(Table1[[#This Row],[Performance Gap (%)]]&lt;0,"Tidak mencapai target", IF(Table1[[#This Row],[Performance Gap (%)]]=0,"Mencapai target", "Melebihi Target"))</f>
        <v>Tidak mencapai target</v>
      </c>
      <c r="L642">
        <f>VLOOKUP(Table1[[#This Row],[Propinsi]]&amp;"_"&amp;Table1[[#This Row],[Dati 2]]&amp;"_"&amp;Table1[[#This Row],[Tanggal]],Table2[[#All],[Kompetitor area]:[Jumlah Kompetitor]],7,0)</f>
        <v>38</v>
      </c>
      <c r="M642">
        <f>Table1[[#This Row],[Aktual]]-Table1[[#This Row],[Jumlah Kompetitor]]</f>
        <v>1369</v>
      </c>
      <c r="N642" t="str">
        <f>IF(Table1[[#This Row],[vs Kompetitor]]&gt;0,"Win", "Lose")</f>
        <v>Win</v>
      </c>
    </row>
    <row r="643" spans="1:14" x14ac:dyDescent="0.25">
      <c r="A643">
        <v>642</v>
      </c>
      <c r="B643" t="s">
        <v>4</v>
      </c>
      <c r="C643" t="s">
        <v>74</v>
      </c>
      <c r="D643">
        <v>6</v>
      </c>
      <c r="E643">
        <v>2021</v>
      </c>
      <c r="F643" s="2">
        <f>DATE(Table1[[#This Row],[Tahun]],Table1[[#This Row],[Bulan]],1)</f>
        <v>44348</v>
      </c>
      <c r="G643">
        <v>1775</v>
      </c>
      <c r="H643">
        <v>1407</v>
      </c>
      <c r="I643" s="6">
        <f>(Table1[[#This Row],[Aktual]]-Table1[[#This Row],[Target]])</f>
        <v>368</v>
      </c>
      <c r="J643" s="3">
        <f>(Table1[[#This Row],[Aktual]]-Table1[[#This Row],[Target]])/Table1[[#This Row],[Target]]</f>
        <v>0.26154939587775411</v>
      </c>
      <c r="K643" t="str">
        <f>IF(Table1[[#This Row],[Performance Gap (%)]]&lt;0,"Tidak mencapai target", IF(Table1[[#This Row],[Performance Gap (%)]]=0,"Mencapai target", "Melebihi Target"))</f>
        <v>Melebihi Target</v>
      </c>
      <c r="L643">
        <f>VLOOKUP(Table1[[#This Row],[Propinsi]]&amp;"_"&amp;Table1[[#This Row],[Dati 2]]&amp;"_"&amp;Table1[[#This Row],[Tanggal]],Table2[[#All],[Kompetitor area]:[Jumlah Kompetitor]],7,0)</f>
        <v>183</v>
      </c>
      <c r="M643">
        <f>Table1[[#This Row],[Aktual]]-Table1[[#This Row],[Jumlah Kompetitor]]</f>
        <v>1592</v>
      </c>
      <c r="N643" t="str">
        <f>IF(Table1[[#This Row],[vs Kompetitor]]&gt;0,"Win", "Lose")</f>
        <v>Win</v>
      </c>
    </row>
    <row r="644" spans="1:14" x14ac:dyDescent="0.25">
      <c r="A644">
        <v>643</v>
      </c>
      <c r="B644" t="s">
        <v>4</v>
      </c>
      <c r="C644" t="s">
        <v>75</v>
      </c>
      <c r="D644">
        <v>6</v>
      </c>
      <c r="E644">
        <v>2021</v>
      </c>
      <c r="F644" s="2">
        <f>DATE(Table1[[#This Row],[Tahun]],Table1[[#This Row],[Bulan]],1)</f>
        <v>44348</v>
      </c>
      <c r="G644">
        <v>491</v>
      </c>
      <c r="H644">
        <v>455</v>
      </c>
      <c r="I644" s="6">
        <f>(Table1[[#This Row],[Aktual]]-Table1[[#This Row],[Target]])</f>
        <v>36</v>
      </c>
      <c r="J644" s="3">
        <f>(Table1[[#This Row],[Aktual]]-Table1[[#This Row],[Target]])/Table1[[#This Row],[Target]]</f>
        <v>7.9120879120879117E-2</v>
      </c>
      <c r="K644" t="str">
        <f>IF(Table1[[#This Row],[Performance Gap (%)]]&lt;0,"Tidak mencapai target", IF(Table1[[#This Row],[Performance Gap (%)]]=0,"Mencapai target", "Melebihi Target"))</f>
        <v>Melebihi Target</v>
      </c>
      <c r="L644">
        <f>VLOOKUP(Table1[[#This Row],[Propinsi]]&amp;"_"&amp;Table1[[#This Row],[Dati 2]]&amp;"_"&amp;Table1[[#This Row],[Tanggal]],Table2[[#All],[Kompetitor area]:[Jumlah Kompetitor]],7,0)</f>
        <v>130</v>
      </c>
      <c r="M644">
        <f>Table1[[#This Row],[Aktual]]-Table1[[#This Row],[Jumlah Kompetitor]]</f>
        <v>361</v>
      </c>
      <c r="N644" t="str">
        <f>IF(Table1[[#This Row],[vs Kompetitor]]&gt;0,"Win", "Lose")</f>
        <v>Win</v>
      </c>
    </row>
    <row r="645" spans="1:14" x14ac:dyDescent="0.25">
      <c r="A645">
        <v>644</v>
      </c>
      <c r="B645" t="s">
        <v>4</v>
      </c>
      <c r="C645" t="s">
        <v>76</v>
      </c>
      <c r="D645">
        <v>6</v>
      </c>
      <c r="E645">
        <v>2021</v>
      </c>
      <c r="F645" s="2">
        <f>DATE(Table1[[#This Row],[Tahun]],Table1[[#This Row],[Bulan]],1)</f>
        <v>44348</v>
      </c>
      <c r="G645">
        <v>553</v>
      </c>
      <c r="H645">
        <v>493</v>
      </c>
      <c r="I645" s="6">
        <f>(Table1[[#This Row],[Aktual]]-Table1[[#This Row],[Target]])</f>
        <v>60</v>
      </c>
      <c r="J645" s="3">
        <f>(Table1[[#This Row],[Aktual]]-Table1[[#This Row],[Target]])/Table1[[#This Row],[Target]]</f>
        <v>0.12170385395537525</v>
      </c>
      <c r="K645" t="str">
        <f>IF(Table1[[#This Row],[Performance Gap (%)]]&lt;0,"Tidak mencapai target", IF(Table1[[#This Row],[Performance Gap (%)]]=0,"Mencapai target", "Melebihi Target"))</f>
        <v>Melebihi Target</v>
      </c>
      <c r="L645">
        <f>VLOOKUP(Table1[[#This Row],[Propinsi]]&amp;"_"&amp;Table1[[#This Row],[Dati 2]]&amp;"_"&amp;Table1[[#This Row],[Tanggal]],Table2[[#All],[Kompetitor area]:[Jumlah Kompetitor]],7,0)</f>
        <v>81</v>
      </c>
      <c r="M645">
        <f>Table1[[#This Row],[Aktual]]-Table1[[#This Row],[Jumlah Kompetitor]]</f>
        <v>472</v>
      </c>
      <c r="N645" t="str">
        <f>IF(Table1[[#This Row],[vs Kompetitor]]&gt;0,"Win", "Lose")</f>
        <v>Win</v>
      </c>
    </row>
    <row r="646" spans="1:14" x14ac:dyDescent="0.25">
      <c r="A646">
        <v>645</v>
      </c>
      <c r="B646" t="s">
        <v>4</v>
      </c>
      <c r="C646" t="s">
        <v>77</v>
      </c>
      <c r="D646">
        <v>6</v>
      </c>
      <c r="E646">
        <v>2021</v>
      </c>
      <c r="F646" s="2">
        <f>DATE(Table1[[#This Row],[Tahun]],Table1[[#This Row],[Bulan]],1)</f>
        <v>44348</v>
      </c>
      <c r="G646">
        <v>628</v>
      </c>
      <c r="H646">
        <v>624</v>
      </c>
      <c r="I646" s="6">
        <f>(Table1[[#This Row],[Aktual]]-Table1[[#This Row],[Target]])</f>
        <v>4</v>
      </c>
      <c r="J646" s="3">
        <f>(Table1[[#This Row],[Aktual]]-Table1[[#This Row],[Target]])/Table1[[#This Row],[Target]]</f>
        <v>6.41025641025641E-3</v>
      </c>
      <c r="K646" t="str">
        <f>IF(Table1[[#This Row],[Performance Gap (%)]]&lt;0,"Tidak mencapai target", IF(Table1[[#This Row],[Performance Gap (%)]]=0,"Mencapai target", "Melebihi Target"))</f>
        <v>Melebihi Target</v>
      </c>
      <c r="L646">
        <f>VLOOKUP(Table1[[#This Row],[Propinsi]]&amp;"_"&amp;Table1[[#This Row],[Dati 2]]&amp;"_"&amp;Table1[[#This Row],[Tanggal]],Table2[[#All],[Kompetitor area]:[Jumlah Kompetitor]],7,0)</f>
        <v>154</v>
      </c>
      <c r="M646">
        <f>Table1[[#This Row],[Aktual]]-Table1[[#This Row],[Jumlah Kompetitor]]</f>
        <v>474</v>
      </c>
      <c r="N646" t="str">
        <f>IF(Table1[[#This Row],[vs Kompetitor]]&gt;0,"Win", "Lose")</f>
        <v>Win</v>
      </c>
    </row>
    <row r="647" spans="1:14" x14ac:dyDescent="0.25">
      <c r="A647">
        <v>646</v>
      </c>
      <c r="B647" t="s">
        <v>4</v>
      </c>
      <c r="C647" t="s">
        <v>78</v>
      </c>
      <c r="D647">
        <v>6</v>
      </c>
      <c r="E647">
        <v>2021</v>
      </c>
      <c r="F647" s="2">
        <f>DATE(Table1[[#This Row],[Tahun]],Table1[[#This Row],[Bulan]],1)</f>
        <v>44348</v>
      </c>
      <c r="G647">
        <v>937</v>
      </c>
      <c r="H647">
        <v>853</v>
      </c>
      <c r="I647" s="6">
        <f>(Table1[[#This Row],[Aktual]]-Table1[[#This Row],[Target]])</f>
        <v>84</v>
      </c>
      <c r="J647" s="3">
        <f>(Table1[[#This Row],[Aktual]]-Table1[[#This Row],[Target]])/Table1[[#This Row],[Target]]</f>
        <v>9.8475967174677603E-2</v>
      </c>
      <c r="K647" t="str">
        <f>IF(Table1[[#This Row],[Performance Gap (%)]]&lt;0,"Tidak mencapai target", IF(Table1[[#This Row],[Performance Gap (%)]]=0,"Mencapai target", "Melebihi Target"))</f>
        <v>Melebihi Target</v>
      </c>
      <c r="L647">
        <f>VLOOKUP(Table1[[#This Row],[Propinsi]]&amp;"_"&amp;Table1[[#This Row],[Dati 2]]&amp;"_"&amp;Table1[[#This Row],[Tanggal]],Table2[[#All],[Kompetitor area]:[Jumlah Kompetitor]],7,0)</f>
        <v>47</v>
      </c>
      <c r="M647">
        <f>Table1[[#This Row],[Aktual]]-Table1[[#This Row],[Jumlah Kompetitor]]</f>
        <v>890</v>
      </c>
      <c r="N647" t="str">
        <f>IF(Table1[[#This Row],[vs Kompetitor]]&gt;0,"Win", "Lose")</f>
        <v>Win</v>
      </c>
    </row>
    <row r="648" spans="1:14" x14ac:dyDescent="0.25">
      <c r="A648">
        <v>647</v>
      </c>
      <c r="B648" t="s">
        <v>2</v>
      </c>
      <c r="C648" t="s">
        <v>79</v>
      </c>
      <c r="D648">
        <v>6</v>
      </c>
      <c r="E648">
        <v>2021</v>
      </c>
      <c r="F648" s="2">
        <f>DATE(Table1[[#This Row],[Tahun]],Table1[[#This Row],[Bulan]],1)</f>
        <v>44348</v>
      </c>
      <c r="G648">
        <v>474</v>
      </c>
      <c r="H648">
        <v>367</v>
      </c>
      <c r="I648" s="6">
        <f>(Table1[[#This Row],[Aktual]]-Table1[[#This Row],[Target]])</f>
        <v>107</v>
      </c>
      <c r="J648" s="3">
        <f>(Table1[[#This Row],[Aktual]]-Table1[[#This Row],[Target]])/Table1[[#This Row],[Target]]</f>
        <v>0.29155313351498635</v>
      </c>
      <c r="K648" t="str">
        <f>IF(Table1[[#This Row],[Performance Gap (%)]]&lt;0,"Tidak mencapai target", IF(Table1[[#This Row],[Performance Gap (%)]]=0,"Mencapai target", "Melebihi Target"))</f>
        <v>Melebihi Target</v>
      </c>
      <c r="L648">
        <f>VLOOKUP(Table1[[#This Row],[Propinsi]]&amp;"_"&amp;Table1[[#This Row],[Dati 2]]&amp;"_"&amp;Table1[[#This Row],[Tanggal]],Table2[[#All],[Kompetitor area]:[Jumlah Kompetitor]],7,0)</f>
        <v>33</v>
      </c>
      <c r="M648">
        <f>Table1[[#This Row],[Aktual]]-Table1[[#This Row],[Jumlah Kompetitor]]</f>
        <v>441</v>
      </c>
      <c r="N648" t="str">
        <f>IF(Table1[[#This Row],[vs Kompetitor]]&gt;0,"Win", "Lose")</f>
        <v>Win</v>
      </c>
    </row>
    <row r="649" spans="1:14" x14ac:dyDescent="0.25">
      <c r="A649">
        <v>648</v>
      </c>
      <c r="B649" t="s">
        <v>2</v>
      </c>
      <c r="C649" t="s">
        <v>80</v>
      </c>
      <c r="D649">
        <v>6</v>
      </c>
      <c r="E649">
        <v>2021</v>
      </c>
      <c r="F649" s="2">
        <f>DATE(Table1[[#This Row],[Tahun]],Table1[[#This Row],[Bulan]],1)</f>
        <v>44348</v>
      </c>
      <c r="G649">
        <v>677</v>
      </c>
      <c r="H649">
        <v>584</v>
      </c>
      <c r="I649" s="6">
        <f>(Table1[[#This Row],[Aktual]]-Table1[[#This Row],[Target]])</f>
        <v>93</v>
      </c>
      <c r="J649" s="3">
        <f>(Table1[[#This Row],[Aktual]]-Table1[[#This Row],[Target]])/Table1[[#This Row],[Target]]</f>
        <v>0.15924657534246575</v>
      </c>
      <c r="K649" t="str">
        <f>IF(Table1[[#This Row],[Performance Gap (%)]]&lt;0,"Tidak mencapai target", IF(Table1[[#This Row],[Performance Gap (%)]]=0,"Mencapai target", "Melebihi Target"))</f>
        <v>Melebihi Target</v>
      </c>
      <c r="L649">
        <f>VLOOKUP(Table1[[#This Row],[Propinsi]]&amp;"_"&amp;Table1[[#This Row],[Dati 2]]&amp;"_"&amp;Table1[[#This Row],[Tanggal]],Table2[[#All],[Kompetitor area]:[Jumlah Kompetitor]],7,0)</f>
        <v>76</v>
      </c>
      <c r="M649">
        <f>Table1[[#This Row],[Aktual]]-Table1[[#This Row],[Jumlah Kompetitor]]</f>
        <v>601</v>
      </c>
      <c r="N649" t="str">
        <f>IF(Table1[[#This Row],[vs Kompetitor]]&gt;0,"Win", "Lose")</f>
        <v>Win</v>
      </c>
    </row>
    <row r="650" spans="1:14" x14ac:dyDescent="0.25">
      <c r="A650">
        <v>649</v>
      </c>
      <c r="B650" t="s">
        <v>2</v>
      </c>
      <c r="C650" t="s">
        <v>81</v>
      </c>
      <c r="D650">
        <v>6</v>
      </c>
      <c r="E650">
        <v>2021</v>
      </c>
      <c r="F650" s="2">
        <f>DATE(Table1[[#This Row],[Tahun]],Table1[[#This Row],[Bulan]],1)</f>
        <v>44348</v>
      </c>
      <c r="G650">
        <v>1102</v>
      </c>
      <c r="H650">
        <v>1048</v>
      </c>
      <c r="I650" s="6">
        <f>(Table1[[#This Row],[Aktual]]-Table1[[#This Row],[Target]])</f>
        <v>54</v>
      </c>
      <c r="J650" s="3">
        <f>(Table1[[#This Row],[Aktual]]-Table1[[#This Row],[Target]])/Table1[[#This Row],[Target]]</f>
        <v>5.1526717557251911E-2</v>
      </c>
      <c r="K650" t="str">
        <f>IF(Table1[[#This Row],[Performance Gap (%)]]&lt;0,"Tidak mencapai target", IF(Table1[[#This Row],[Performance Gap (%)]]=0,"Mencapai target", "Melebihi Target"))</f>
        <v>Melebihi Target</v>
      </c>
      <c r="L650">
        <f>VLOOKUP(Table1[[#This Row],[Propinsi]]&amp;"_"&amp;Table1[[#This Row],[Dati 2]]&amp;"_"&amp;Table1[[#This Row],[Tanggal]],Table2[[#All],[Kompetitor area]:[Jumlah Kompetitor]],7,0)</f>
        <v>30</v>
      </c>
      <c r="M650">
        <f>Table1[[#This Row],[Aktual]]-Table1[[#This Row],[Jumlah Kompetitor]]</f>
        <v>1072</v>
      </c>
      <c r="N650" t="str">
        <f>IF(Table1[[#This Row],[vs Kompetitor]]&gt;0,"Win", "Lose")</f>
        <v>Win</v>
      </c>
    </row>
    <row r="651" spans="1:14" x14ac:dyDescent="0.25">
      <c r="A651">
        <v>650</v>
      </c>
      <c r="B651" t="s">
        <v>2</v>
      </c>
      <c r="C651" t="s">
        <v>82</v>
      </c>
      <c r="D651">
        <v>6</v>
      </c>
      <c r="E651">
        <v>2021</v>
      </c>
      <c r="F651" s="2">
        <f>DATE(Table1[[#This Row],[Tahun]],Table1[[#This Row],[Bulan]],1)</f>
        <v>44348</v>
      </c>
      <c r="G651">
        <v>271</v>
      </c>
      <c r="H651">
        <v>252</v>
      </c>
      <c r="I651" s="6">
        <f>(Table1[[#This Row],[Aktual]]-Table1[[#This Row],[Target]])</f>
        <v>19</v>
      </c>
      <c r="J651" s="3">
        <f>(Table1[[#This Row],[Aktual]]-Table1[[#This Row],[Target]])/Table1[[#This Row],[Target]]</f>
        <v>7.5396825396825393E-2</v>
      </c>
      <c r="K651" t="str">
        <f>IF(Table1[[#This Row],[Performance Gap (%)]]&lt;0,"Tidak mencapai target", IF(Table1[[#This Row],[Performance Gap (%)]]=0,"Mencapai target", "Melebihi Target"))</f>
        <v>Melebihi Target</v>
      </c>
      <c r="L651">
        <f>VLOOKUP(Table1[[#This Row],[Propinsi]]&amp;"_"&amp;Table1[[#This Row],[Dati 2]]&amp;"_"&amp;Table1[[#This Row],[Tanggal]],Table2[[#All],[Kompetitor area]:[Jumlah Kompetitor]],7,0)</f>
        <v>34</v>
      </c>
      <c r="M651">
        <f>Table1[[#This Row],[Aktual]]-Table1[[#This Row],[Jumlah Kompetitor]]</f>
        <v>237</v>
      </c>
      <c r="N651" t="str">
        <f>IF(Table1[[#This Row],[vs Kompetitor]]&gt;0,"Win", "Lose")</f>
        <v>Win</v>
      </c>
    </row>
    <row r="652" spans="1:14" x14ac:dyDescent="0.25">
      <c r="A652">
        <v>651</v>
      </c>
      <c r="B652" t="s">
        <v>4</v>
      </c>
      <c r="C652" t="s">
        <v>83</v>
      </c>
      <c r="D652">
        <v>6</v>
      </c>
      <c r="E652">
        <v>2021</v>
      </c>
      <c r="F652" s="2">
        <f>DATE(Table1[[#This Row],[Tahun]],Table1[[#This Row],[Bulan]],1)</f>
        <v>44348</v>
      </c>
      <c r="G652">
        <v>147</v>
      </c>
      <c r="H652">
        <v>131</v>
      </c>
      <c r="I652" s="6">
        <f>(Table1[[#This Row],[Aktual]]-Table1[[#This Row],[Target]])</f>
        <v>16</v>
      </c>
      <c r="J652" s="3">
        <f>(Table1[[#This Row],[Aktual]]-Table1[[#This Row],[Target]])/Table1[[#This Row],[Target]]</f>
        <v>0.12213740458015267</v>
      </c>
      <c r="K652" t="str">
        <f>IF(Table1[[#This Row],[Performance Gap (%)]]&lt;0,"Tidak mencapai target", IF(Table1[[#This Row],[Performance Gap (%)]]=0,"Mencapai target", "Melebihi Target"))</f>
        <v>Melebihi Target</v>
      </c>
      <c r="L652">
        <f>VLOOKUP(Table1[[#This Row],[Propinsi]]&amp;"_"&amp;Table1[[#This Row],[Dati 2]]&amp;"_"&amp;Table1[[#This Row],[Tanggal]],Table2[[#All],[Kompetitor area]:[Jumlah Kompetitor]],7,0)</f>
        <v>35</v>
      </c>
      <c r="M652">
        <f>Table1[[#This Row],[Aktual]]-Table1[[#This Row],[Jumlah Kompetitor]]</f>
        <v>112</v>
      </c>
      <c r="N652" t="str">
        <f>IF(Table1[[#This Row],[vs Kompetitor]]&gt;0,"Win", "Lose")</f>
        <v>Win</v>
      </c>
    </row>
    <row r="653" spans="1:14" x14ac:dyDescent="0.25">
      <c r="A653">
        <v>652</v>
      </c>
      <c r="B653" t="s">
        <v>4</v>
      </c>
      <c r="C653" t="s">
        <v>84</v>
      </c>
      <c r="D653">
        <v>6</v>
      </c>
      <c r="E653">
        <v>2021</v>
      </c>
      <c r="F653" s="2">
        <f>DATE(Table1[[#This Row],[Tahun]],Table1[[#This Row],[Bulan]],1)</f>
        <v>44348</v>
      </c>
      <c r="G653">
        <v>2091</v>
      </c>
      <c r="H653">
        <v>1688</v>
      </c>
      <c r="I653" s="6">
        <f>(Table1[[#This Row],[Aktual]]-Table1[[#This Row],[Target]])</f>
        <v>403</v>
      </c>
      <c r="J653" s="3">
        <f>(Table1[[#This Row],[Aktual]]-Table1[[#This Row],[Target]])/Table1[[#This Row],[Target]]</f>
        <v>0.23874407582938389</v>
      </c>
      <c r="K653" t="str">
        <f>IF(Table1[[#This Row],[Performance Gap (%)]]&lt;0,"Tidak mencapai target", IF(Table1[[#This Row],[Performance Gap (%)]]=0,"Mencapai target", "Melebihi Target"))</f>
        <v>Melebihi Target</v>
      </c>
      <c r="L653">
        <f>VLOOKUP(Table1[[#This Row],[Propinsi]]&amp;"_"&amp;Table1[[#This Row],[Dati 2]]&amp;"_"&amp;Table1[[#This Row],[Tanggal]],Table2[[#All],[Kompetitor area]:[Jumlah Kompetitor]],7,0)</f>
        <v>185</v>
      </c>
      <c r="M653">
        <f>Table1[[#This Row],[Aktual]]-Table1[[#This Row],[Jumlah Kompetitor]]</f>
        <v>1906</v>
      </c>
      <c r="N653" t="str">
        <f>IF(Table1[[#This Row],[vs Kompetitor]]&gt;0,"Win", "Lose")</f>
        <v>Win</v>
      </c>
    </row>
    <row r="654" spans="1:14" x14ac:dyDescent="0.25">
      <c r="A654">
        <v>653</v>
      </c>
      <c r="B654" t="s">
        <v>4</v>
      </c>
      <c r="C654" t="s">
        <v>85</v>
      </c>
      <c r="D654">
        <v>6</v>
      </c>
      <c r="E654">
        <v>2021</v>
      </c>
      <c r="F654" s="2">
        <f>DATE(Table1[[#This Row],[Tahun]],Table1[[#This Row],[Bulan]],1)</f>
        <v>44348</v>
      </c>
      <c r="G654">
        <v>1047</v>
      </c>
      <c r="H654">
        <v>882</v>
      </c>
      <c r="I654" s="6">
        <f>(Table1[[#This Row],[Aktual]]-Table1[[#This Row],[Target]])</f>
        <v>165</v>
      </c>
      <c r="J654" s="3">
        <f>(Table1[[#This Row],[Aktual]]-Table1[[#This Row],[Target]])/Table1[[#This Row],[Target]]</f>
        <v>0.1870748299319728</v>
      </c>
      <c r="K654" t="str">
        <f>IF(Table1[[#This Row],[Performance Gap (%)]]&lt;0,"Tidak mencapai target", IF(Table1[[#This Row],[Performance Gap (%)]]=0,"Mencapai target", "Melebihi Target"))</f>
        <v>Melebihi Target</v>
      </c>
      <c r="L654">
        <f>VLOOKUP(Table1[[#This Row],[Propinsi]]&amp;"_"&amp;Table1[[#This Row],[Dati 2]]&amp;"_"&amp;Table1[[#This Row],[Tanggal]],Table2[[#All],[Kompetitor area]:[Jumlah Kompetitor]],7,0)</f>
        <v>119</v>
      </c>
      <c r="M654">
        <f>Table1[[#This Row],[Aktual]]-Table1[[#This Row],[Jumlah Kompetitor]]</f>
        <v>928</v>
      </c>
      <c r="N654" t="str">
        <f>IF(Table1[[#This Row],[vs Kompetitor]]&gt;0,"Win", "Lose")</f>
        <v>Win</v>
      </c>
    </row>
    <row r="655" spans="1:14" x14ac:dyDescent="0.25">
      <c r="A655">
        <v>654</v>
      </c>
      <c r="B655" t="s">
        <v>4</v>
      </c>
      <c r="C655" t="s">
        <v>86</v>
      </c>
      <c r="D655">
        <v>6</v>
      </c>
      <c r="E655">
        <v>2021</v>
      </c>
      <c r="F655" s="2">
        <f>DATE(Table1[[#This Row],[Tahun]],Table1[[#This Row],[Bulan]],1)</f>
        <v>44348</v>
      </c>
      <c r="G655">
        <v>218</v>
      </c>
      <c r="H655">
        <v>191</v>
      </c>
      <c r="I655" s="6">
        <f>(Table1[[#This Row],[Aktual]]-Table1[[#This Row],[Target]])</f>
        <v>27</v>
      </c>
      <c r="J655" s="3">
        <f>(Table1[[#This Row],[Aktual]]-Table1[[#This Row],[Target]])/Table1[[#This Row],[Target]]</f>
        <v>0.14136125654450263</v>
      </c>
      <c r="K655" t="str">
        <f>IF(Table1[[#This Row],[Performance Gap (%)]]&lt;0,"Tidak mencapai target", IF(Table1[[#This Row],[Performance Gap (%)]]=0,"Mencapai target", "Melebihi Target"))</f>
        <v>Melebihi Target</v>
      </c>
      <c r="L655">
        <f>VLOOKUP(Table1[[#This Row],[Propinsi]]&amp;"_"&amp;Table1[[#This Row],[Dati 2]]&amp;"_"&amp;Table1[[#This Row],[Tanggal]],Table2[[#All],[Kompetitor area]:[Jumlah Kompetitor]],7,0)</f>
        <v>149</v>
      </c>
      <c r="M655">
        <f>Table1[[#This Row],[Aktual]]-Table1[[#This Row],[Jumlah Kompetitor]]</f>
        <v>69</v>
      </c>
      <c r="N655" t="str">
        <f>IF(Table1[[#This Row],[vs Kompetitor]]&gt;0,"Win", "Lose")</f>
        <v>Win</v>
      </c>
    </row>
    <row r="656" spans="1:14" x14ac:dyDescent="0.25">
      <c r="A656">
        <v>655</v>
      </c>
      <c r="B656" t="s">
        <v>4</v>
      </c>
      <c r="C656" t="s">
        <v>87</v>
      </c>
      <c r="D656">
        <v>6</v>
      </c>
      <c r="E656">
        <v>2021</v>
      </c>
      <c r="F656" s="2">
        <f>DATE(Table1[[#This Row],[Tahun]],Table1[[#This Row],[Bulan]],1)</f>
        <v>44348</v>
      </c>
      <c r="G656">
        <v>1256</v>
      </c>
      <c r="H656">
        <v>1303</v>
      </c>
      <c r="I656" s="6">
        <f>(Table1[[#This Row],[Aktual]]-Table1[[#This Row],[Target]])</f>
        <v>-47</v>
      </c>
      <c r="J656" s="3">
        <f>(Table1[[#This Row],[Aktual]]-Table1[[#This Row],[Target]])/Table1[[#This Row],[Target]]</f>
        <v>-3.6070606293169612E-2</v>
      </c>
      <c r="K656" t="str">
        <f>IF(Table1[[#This Row],[Performance Gap (%)]]&lt;0,"Tidak mencapai target", IF(Table1[[#This Row],[Performance Gap (%)]]=0,"Mencapai target", "Melebihi Target"))</f>
        <v>Tidak mencapai target</v>
      </c>
      <c r="L656">
        <f>VLOOKUP(Table1[[#This Row],[Propinsi]]&amp;"_"&amp;Table1[[#This Row],[Dati 2]]&amp;"_"&amp;Table1[[#This Row],[Tanggal]],Table2[[#All],[Kompetitor area]:[Jumlah Kompetitor]],7,0)</f>
        <v>134</v>
      </c>
      <c r="M656">
        <f>Table1[[#This Row],[Aktual]]-Table1[[#This Row],[Jumlah Kompetitor]]</f>
        <v>1122</v>
      </c>
      <c r="N656" t="str">
        <f>IF(Table1[[#This Row],[vs Kompetitor]]&gt;0,"Win", "Lose")</f>
        <v>Win</v>
      </c>
    </row>
    <row r="657" spans="1:14" x14ac:dyDescent="0.25">
      <c r="A657">
        <v>656</v>
      </c>
      <c r="B657" t="s">
        <v>4</v>
      </c>
      <c r="C657" t="s">
        <v>88</v>
      </c>
      <c r="D657">
        <v>6</v>
      </c>
      <c r="E657">
        <v>2021</v>
      </c>
      <c r="F657" s="2">
        <f>DATE(Table1[[#This Row],[Tahun]],Table1[[#This Row],[Bulan]],1)</f>
        <v>44348</v>
      </c>
      <c r="G657">
        <v>920</v>
      </c>
      <c r="H657">
        <v>851</v>
      </c>
      <c r="I657" s="6">
        <f>(Table1[[#This Row],[Aktual]]-Table1[[#This Row],[Target]])</f>
        <v>69</v>
      </c>
      <c r="J657" s="3">
        <f>(Table1[[#This Row],[Aktual]]-Table1[[#This Row],[Target]])/Table1[[#This Row],[Target]]</f>
        <v>8.1081081081081086E-2</v>
      </c>
      <c r="K657" t="str">
        <f>IF(Table1[[#This Row],[Performance Gap (%)]]&lt;0,"Tidak mencapai target", IF(Table1[[#This Row],[Performance Gap (%)]]=0,"Mencapai target", "Melebihi Target"))</f>
        <v>Melebihi Target</v>
      </c>
      <c r="L657">
        <f>VLOOKUP(Table1[[#This Row],[Propinsi]]&amp;"_"&amp;Table1[[#This Row],[Dati 2]]&amp;"_"&amp;Table1[[#This Row],[Tanggal]],Table2[[#All],[Kompetitor area]:[Jumlah Kompetitor]],7,0)</f>
        <v>95</v>
      </c>
      <c r="M657">
        <f>Table1[[#This Row],[Aktual]]-Table1[[#This Row],[Jumlah Kompetitor]]</f>
        <v>825</v>
      </c>
      <c r="N657" t="str">
        <f>IF(Table1[[#This Row],[vs Kompetitor]]&gt;0,"Win", "Lose")</f>
        <v>Win</v>
      </c>
    </row>
    <row r="658" spans="1:14" x14ac:dyDescent="0.25">
      <c r="A658">
        <v>657</v>
      </c>
      <c r="B658" t="s">
        <v>4</v>
      </c>
      <c r="C658" t="s">
        <v>89</v>
      </c>
      <c r="D658">
        <v>6</v>
      </c>
      <c r="E658">
        <v>2021</v>
      </c>
      <c r="F658" s="2">
        <f>DATE(Table1[[#This Row],[Tahun]],Table1[[#This Row],[Bulan]],1)</f>
        <v>44348</v>
      </c>
      <c r="G658">
        <v>556</v>
      </c>
      <c r="H658">
        <v>542</v>
      </c>
      <c r="I658" s="6">
        <f>(Table1[[#This Row],[Aktual]]-Table1[[#This Row],[Target]])</f>
        <v>14</v>
      </c>
      <c r="J658" s="3">
        <f>(Table1[[#This Row],[Aktual]]-Table1[[#This Row],[Target]])/Table1[[#This Row],[Target]]</f>
        <v>2.5830258302583026E-2</v>
      </c>
      <c r="K658" t="str">
        <f>IF(Table1[[#This Row],[Performance Gap (%)]]&lt;0,"Tidak mencapai target", IF(Table1[[#This Row],[Performance Gap (%)]]=0,"Mencapai target", "Melebihi Target"))</f>
        <v>Melebihi Target</v>
      </c>
      <c r="L658">
        <f>VLOOKUP(Table1[[#This Row],[Propinsi]]&amp;"_"&amp;Table1[[#This Row],[Dati 2]]&amp;"_"&amp;Table1[[#This Row],[Tanggal]],Table2[[#All],[Kompetitor area]:[Jumlah Kompetitor]],7,0)</f>
        <v>122</v>
      </c>
      <c r="M658">
        <f>Table1[[#This Row],[Aktual]]-Table1[[#This Row],[Jumlah Kompetitor]]</f>
        <v>434</v>
      </c>
      <c r="N658" t="str">
        <f>IF(Table1[[#This Row],[vs Kompetitor]]&gt;0,"Win", "Lose")</f>
        <v>Win</v>
      </c>
    </row>
    <row r="659" spans="1:14" x14ac:dyDescent="0.25">
      <c r="A659">
        <v>658</v>
      </c>
      <c r="B659" t="s">
        <v>4</v>
      </c>
      <c r="C659" t="s">
        <v>90</v>
      </c>
      <c r="D659">
        <v>6</v>
      </c>
      <c r="E659">
        <v>2021</v>
      </c>
      <c r="F659" s="2">
        <f>DATE(Table1[[#This Row],[Tahun]],Table1[[#This Row],[Bulan]],1)</f>
        <v>44348</v>
      </c>
      <c r="G659">
        <v>596</v>
      </c>
      <c r="H659">
        <v>516</v>
      </c>
      <c r="I659" s="6">
        <f>(Table1[[#This Row],[Aktual]]-Table1[[#This Row],[Target]])</f>
        <v>80</v>
      </c>
      <c r="J659" s="3">
        <f>(Table1[[#This Row],[Aktual]]-Table1[[#This Row],[Target]])/Table1[[#This Row],[Target]]</f>
        <v>0.15503875968992248</v>
      </c>
      <c r="K659" t="str">
        <f>IF(Table1[[#This Row],[Performance Gap (%)]]&lt;0,"Tidak mencapai target", IF(Table1[[#This Row],[Performance Gap (%)]]=0,"Mencapai target", "Melebihi Target"))</f>
        <v>Melebihi Target</v>
      </c>
      <c r="L659">
        <f>VLOOKUP(Table1[[#This Row],[Propinsi]]&amp;"_"&amp;Table1[[#This Row],[Dati 2]]&amp;"_"&amp;Table1[[#This Row],[Tanggal]],Table2[[#All],[Kompetitor area]:[Jumlah Kompetitor]],7,0)</f>
        <v>110</v>
      </c>
      <c r="M659">
        <f>Table1[[#This Row],[Aktual]]-Table1[[#This Row],[Jumlah Kompetitor]]</f>
        <v>486</v>
      </c>
      <c r="N659" t="str">
        <f>IF(Table1[[#This Row],[vs Kompetitor]]&gt;0,"Win", "Lose")</f>
        <v>Win</v>
      </c>
    </row>
    <row r="660" spans="1:14" x14ac:dyDescent="0.25">
      <c r="A660">
        <v>659</v>
      </c>
      <c r="B660" t="s">
        <v>4</v>
      </c>
      <c r="C660" t="s">
        <v>91</v>
      </c>
      <c r="D660">
        <v>6</v>
      </c>
      <c r="E660">
        <v>2021</v>
      </c>
      <c r="F660" s="2">
        <f>DATE(Table1[[#This Row],[Tahun]],Table1[[#This Row],[Bulan]],1)</f>
        <v>44348</v>
      </c>
      <c r="G660">
        <v>493</v>
      </c>
      <c r="H660">
        <v>476</v>
      </c>
      <c r="I660" s="6">
        <f>(Table1[[#This Row],[Aktual]]-Table1[[#This Row],[Target]])</f>
        <v>17</v>
      </c>
      <c r="J660" s="3">
        <f>(Table1[[#This Row],[Aktual]]-Table1[[#This Row],[Target]])/Table1[[#This Row],[Target]]</f>
        <v>3.5714285714285712E-2</v>
      </c>
      <c r="K660" t="str">
        <f>IF(Table1[[#This Row],[Performance Gap (%)]]&lt;0,"Tidak mencapai target", IF(Table1[[#This Row],[Performance Gap (%)]]=0,"Mencapai target", "Melebihi Target"))</f>
        <v>Melebihi Target</v>
      </c>
      <c r="L660">
        <f>VLOOKUP(Table1[[#This Row],[Propinsi]]&amp;"_"&amp;Table1[[#This Row],[Dati 2]]&amp;"_"&amp;Table1[[#This Row],[Tanggal]],Table2[[#All],[Kompetitor area]:[Jumlah Kompetitor]],7,0)</f>
        <v>127</v>
      </c>
      <c r="M660">
        <f>Table1[[#This Row],[Aktual]]-Table1[[#This Row],[Jumlah Kompetitor]]</f>
        <v>366</v>
      </c>
      <c r="N660" t="str">
        <f>IF(Table1[[#This Row],[vs Kompetitor]]&gt;0,"Win", "Lose")</f>
        <v>Win</v>
      </c>
    </row>
    <row r="661" spans="1:14" x14ac:dyDescent="0.25">
      <c r="A661">
        <v>660</v>
      </c>
      <c r="B661" t="s">
        <v>4</v>
      </c>
      <c r="C661" t="s">
        <v>92</v>
      </c>
      <c r="D661">
        <v>6</v>
      </c>
      <c r="E661">
        <v>2021</v>
      </c>
      <c r="F661" s="2">
        <f>DATE(Table1[[#This Row],[Tahun]],Table1[[#This Row],[Bulan]],1)</f>
        <v>44348</v>
      </c>
      <c r="G661">
        <v>646</v>
      </c>
      <c r="H661">
        <v>660</v>
      </c>
      <c r="I661" s="6">
        <f>(Table1[[#This Row],[Aktual]]-Table1[[#This Row],[Target]])</f>
        <v>-14</v>
      </c>
      <c r="J661" s="3">
        <f>(Table1[[#This Row],[Aktual]]-Table1[[#This Row],[Target]])/Table1[[#This Row],[Target]]</f>
        <v>-2.1212121212121213E-2</v>
      </c>
      <c r="K661" t="str">
        <f>IF(Table1[[#This Row],[Performance Gap (%)]]&lt;0,"Tidak mencapai target", IF(Table1[[#This Row],[Performance Gap (%)]]=0,"Mencapai target", "Melebihi Target"))</f>
        <v>Tidak mencapai target</v>
      </c>
      <c r="L661">
        <f>VLOOKUP(Table1[[#This Row],[Propinsi]]&amp;"_"&amp;Table1[[#This Row],[Dati 2]]&amp;"_"&amp;Table1[[#This Row],[Tanggal]],Table2[[#All],[Kompetitor area]:[Jumlah Kompetitor]],7,0)</f>
        <v>117</v>
      </c>
      <c r="M661">
        <f>Table1[[#This Row],[Aktual]]-Table1[[#This Row],[Jumlah Kompetitor]]</f>
        <v>529</v>
      </c>
      <c r="N661" t="str">
        <f>IF(Table1[[#This Row],[vs Kompetitor]]&gt;0,"Win", "Lose")</f>
        <v>Win</v>
      </c>
    </row>
    <row r="662" spans="1:14" x14ac:dyDescent="0.25">
      <c r="A662">
        <v>661</v>
      </c>
      <c r="B662" t="s">
        <v>4</v>
      </c>
      <c r="C662" t="s">
        <v>93</v>
      </c>
      <c r="D662">
        <v>6</v>
      </c>
      <c r="E662">
        <v>2021</v>
      </c>
      <c r="F662" s="2">
        <f>DATE(Table1[[#This Row],[Tahun]],Table1[[#This Row],[Bulan]],1)</f>
        <v>44348</v>
      </c>
      <c r="G662">
        <v>378</v>
      </c>
      <c r="H662">
        <v>377</v>
      </c>
      <c r="I662" s="6">
        <f>(Table1[[#This Row],[Aktual]]-Table1[[#This Row],[Target]])</f>
        <v>1</v>
      </c>
      <c r="J662" s="3">
        <f>(Table1[[#This Row],[Aktual]]-Table1[[#This Row],[Target]])/Table1[[#This Row],[Target]]</f>
        <v>2.6525198938992041E-3</v>
      </c>
      <c r="K662" t="str">
        <f>IF(Table1[[#This Row],[Performance Gap (%)]]&lt;0,"Tidak mencapai target", IF(Table1[[#This Row],[Performance Gap (%)]]=0,"Mencapai target", "Melebihi Target"))</f>
        <v>Melebihi Target</v>
      </c>
      <c r="L662">
        <f>VLOOKUP(Table1[[#This Row],[Propinsi]]&amp;"_"&amp;Table1[[#This Row],[Dati 2]]&amp;"_"&amp;Table1[[#This Row],[Tanggal]],Table2[[#All],[Kompetitor area]:[Jumlah Kompetitor]],7,0)</f>
        <v>56</v>
      </c>
      <c r="M662">
        <f>Table1[[#This Row],[Aktual]]-Table1[[#This Row],[Jumlah Kompetitor]]</f>
        <v>322</v>
      </c>
      <c r="N662" t="str">
        <f>IF(Table1[[#This Row],[vs Kompetitor]]&gt;0,"Win", "Lose")</f>
        <v>Win</v>
      </c>
    </row>
    <row r="663" spans="1:14" x14ac:dyDescent="0.25">
      <c r="A663">
        <v>662</v>
      </c>
      <c r="B663" t="s">
        <v>4</v>
      </c>
      <c r="C663" t="s">
        <v>94</v>
      </c>
      <c r="D663">
        <v>6</v>
      </c>
      <c r="E663">
        <v>2021</v>
      </c>
      <c r="F663" s="2">
        <f>DATE(Table1[[#This Row],[Tahun]],Table1[[#This Row],[Bulan]],1)</f>
        <v>44348</v>
      </c>
      <c r="G663">
        <v>90</v>
      </c>
      <c r="H663">
        <v>89</v>
      </c>
      <c r="I663" s="6">
        <f>(Table1[[#This Row],[Aktual]]-Table1[[#This Row],[Target]])</f>
        <v>1</v>
      </c>
      <c r="J663" s="3">
        <f>(Table1[[#This Row],[Aktual]]-Table1[[#This Row],[Target]])/Table1[[#This Row],[Target]]</f>
        <v>1.1235955056179775E-2</v>
      </c>
      <c r="K663" t="str">
        <f>IF(Table1[[#This Row],[Performance Gap (%)]]&lt;0,"Tidak mencapai target", IF(Table1[[#This Row],[Performance Gap (%)]]=0,"Mencapai target", "Melebihi Target"))</f>
        <v>Melebihi Target</v>
      </c>
      <c r="L663">
        <f>VLOOKUP(Table1[[#This Row],[Propinsi]]&amp;"_"&amp;Table1[[#This Row],[Dati 2]]&amp;"_"&amp;Table1[[#This Row],[Tanggal]],Table2[[#All],[Kompetitor area]:[Jumlah Kompetitor]],7,0)</f>
        <v>65</v>
      </c>
      <c r="M663">
        <f>Table1[[#This Row],[Aktual]]-Table1[[#This Row],[Jumlah Kompetitor]]</f>
        <v>25</v>
      </c>
      <c r="N663" t="str">
        <f>IF(Table1[[#This Row],[vs Kompetitor]]&gt;0,"Win", "Lose")</f>
        <v>Win</v>
      </c>
    </row>
    <row r="664" spans="1:14" x14ac:dyDescent="0.25">
      <c r="A664">
        <v>663</v>
      </c>
      <c r="B664" t="s">
        <v>5</v>
      </c>
      <c r="C664" t="s">
        <v>95</v>
      </c>
      <c r="D664">
        <v>6</v>
      </c>
      <c r="E664">
        <v>2021</v>
      </c>
      <c r="F664" s="2">
        <f>DATE(Table1[[#This Row],[Tahun]],Table1[[#This Row],[Bulan]],1)</f>
        <v>44348</v>
      </c>
      <c r="G664">
        <v>681</v>
      </c>
      <c r="H664">
        <v>655</v>
      </c>
      <c r="I664" s="6">
        <f>(Table1[[#This Row],[Aktual]]-Table1[[#This Row],[Target]])</f>
        <v>26</v>
      </c>
      <c r="J664" s="3">
        <f>(Table1[[#This Row],[Aktual]]-Table1[[#This Row],[Target]])/Table1[[#This Row],[Target]]</f>
        <v>3.9694656488549619E-2</v>
      </c>
      <c r="K664" t="str">
        <f>IF(Table1[[#This Row],[Performance Gap (%)]]&lt;0,"Tidak mencapai target", IF(Table1[[#This Row],[Performance Gap (%)]]=0,"Mencapai target", "Melebihi Target"))</f>
        <v>Melebihi Target</v>
      </c>
      <c r="L664">
        <f>VLOOKUP(Table1[[#This Row],[Propinsi]]&amp;"_"&amp;Table1[[#This Row],[Dati 2]]&amp;"_"&amp;Table1[[#This Row],[Tanggal]],Table2[[#All],[Kompetitor area]:[Jumlah Kompetitor]],7,0)</f>
        <v>43</v>
      </c>
      <c r="M664">
        <f>Table1[[#This Row],[Aktual]]-Table1[[#This Row],[Jumlah Kompetitor]]</f>
        <v>638</v>
      </c>
      <c r="N664" t="str">
        <f>IF(Table1[[#This Row],[vs Kompetitor]]&gt;0,"Win", "Lose")</f>
        <v>Win</v>
      </c>
    </row>
    <row r="665" spans="1:14" x14ac:dyDescent="0.25">
      <c r="A665">
        <v>664</v>
      </c>
      <c r="B665" t="s">
        <v>5</v>
      </c>
      <c r="C665" t="s">
        <v>96</v>
      </c>
      <c r="D665">
        <v>6</v>
      </c>
      <c r="E665">
        <v>2021</v>
      </c>
      <c r="F665" s="2">
        <f>DATE(Table1[[#This Row],[Tahun]],Table1[[#This Row],[Bulan]],1)</f>
        <v>44348</v>
      </c>
      <c r="G665">
        <v>137</v>
      </c>
      <c r="H665">
        <v>125</v>
      </c>
      <c r="I665" s="6">
        <f>(Table1[[#This Row],[Aktual]]-Table1[[#This Row],[Target]])</f>
        <v>12</v>
      </c>
      <c r="J665" s="3">
        <f>(Table1[[#This Row],[Aktual]]-Table1[[#This Row],[Target]])/Table1[[#This Row],[Target]]</f>
        <v>9.6000000000000002E-2</v>
      </c>
      <c r="K665" t="str">
        <f>IF(Table1[[#This Row],[Performance Gap (%)]]&lt;0,"Tidak mencapai target", IF(Table1[[#This Row],[Performance Gap (%)]]=0,"Mencapai target", "Melebihi Target"))</f>
        <v>Melebihi Target</v>
      </c>
      <c r="L665">
        <f>VLOOKUP(Table1[[#This Row],[Propinsi]]&amp;"_"&amp;Table1[[#This Row],[Dati 2]]&amp;"_"&amp;Table1[[#This Row],[Tanggal]],Table2[[#All],[Kompetitor area]:[Jumlah Kompetitor]],7,0)</f>
        <v>68</v>
      </c>
      <c r="M665">
        <f>Table1[[#This Row],[Aktual]]-Table1[[#This Row],[Jumlah Kompetitor]]</f>
        <v>69</v>
      </c>
      <c r="N665" t="str">
        <f>IF(Table1[[#This Row],[vs Kompetitor]]&gt;0,"Win", "Lose")</f>
        <v>Win</v>
      </c>
    </row>
    <row r="666" spans="1:14" x14ac:dyDescent="0.25">
      <c r="A666">
        <v>665</v>
      </c>
      <c r="B666" t="s">
        <v>5</v>
      </c>
      <c r="C666" t="s">
        <v>97</v>
      </c>
      <c r="D666">
        <v>6</v>
      </c>
      <c r="E666">
        <v>2021</v>
      </c>
      <c r="F666" s="2">
        <f>DATE(Table1[[#This Row],[Tahun]],Table1[[#This Row],[Bulan]],1)</f>
        <v>44348</v>
      </c>
      <c r="G666">
        <v>151</v>
      </c>
      <c r="H666">
        <v>141</v>
      </c>
      <c r="I666" s="6">
        <f>(Table1[[#This Row],[Aktual]]-Table1[[#This Row],[Target]])</f>
        <v>10</v>
      </c>
      <c r="J666" s="3">
        <f>(Table1[[#This Row],[Aktual]]-Table1[[#This Row],[Target]])/Table1[[#This Row],[Target]]</f>
        <v>7.0921985815602842E-2</v>
      </c>
      <c r="K666" t="str">
        <f>IF(Table1[[#This Row],[Performance Gap (%)]]&lt;0,"Tidak mencapai target", IF(Table1[[#This Row],[Performance Gap (%)]]=0,"Mencapai target", "Melebihi Target"))</f>
        <v>Melebihi Target</v>
      </c>
      <c r="L666">
        <f>VLOOKUP(Table1[[#This Row],[Propinsi]]&amp;"_"&amp;Table1[[#This Row],[Dati 2]]&amp;"_"&amp;Table1[[#This Row],[Tanggal]],Table2[[#All],[Kompetitor area]:[Jumlah Kompetitor]],7,0)</f>
        <v>102</v>
      </c>
      <c r="M666">
        <f>Table1[[#This Row],[Aktual]]-Table1[[#This Row],[Jumlah Kompetitor]]</f>
        <v>49</v>
      </c>
      <c r="N666" t="str">
        <f>IF(Table1[[#This Row],[vs Kompetitor]]&gt;0,"Win", "Lose")</f>
        <v>Win</v>
      </c>
    </row>
    <row r="667" spans="1:14" x14ac:dyDescent="0.25">
      <c r="A667">
        <v>666</v>
      </c>
      <c r="B667" t="s">
        <v>5</v>
      </c>
      <c r="C667" t="s">
        <v>98</v>
      </c>
      <c r="D667">
        <v>6</v>
      </c>
      <c r="E667">
        <v>2021</v>
      </c>
      <c r="F667" s="2">
        <f>DATE(Table1[[#This Row],[Tahun]],Table1[[#This Row],[Bulan]],1)</f>
        <v>44348</v>
      </c>
      <c r="G667">
        <v>463</v>
      </c>
      <c r="H667">
        <v>482</v>
      </c>
      <c r="I667" s="6">
        <f>(Table1[[#This Row],[Aktual]]-Table1[[#This Row],[Target]])</f>
        <v>-19</v>
      </c>
      <c r="J667" s="3">
        <f>(Table1[[#This Row],[Aktual]]-Table1[[#This Row],[Target]])/Table1[[#This Row],[Target]]</f>
        <v>-3.9419087136929459E-2</v>
      </c>
      <c r="K667" t="str">
        <f>IF(Table1[[#This Row],[Performance Gap (%)]]&lt;0,"Tidak mencapai target", IF(Table1[[#This Row],[Performance Gap (%)]]=0,"Mencapai target", "Melebihi Target"))</f>
        <v>Tidak mencapai target</v>
      </c>
      <c r="L667">
        <f>VLOOKUP(Table1[[#This Row],[Propinsi]]&amp;"_"&amp;Table1[[#This Row],[Dati 2]]&amp;"_"&amp;Table1[[#This Row],[Tanggal]],Table2[[#All],[Kompetitor area]:[Jumlah Kompetitor]],7,0)</f>
        <v>67</v>
      </c>
      <c r="M667">
        <f>Table1[[#This Row],[Aktual]]-Table1[[#This Row],[Jumlah Kompetitor]]</f>
        <v>396</v>
      </c>
      <c r="N667" t="str">
        <f>IF(Table1[[#This Row],[vs Kompetitor]]&gt;0,"Win", "Lose")</f>
        <v>Win</v>
      </c>
    </row>
    <row r="668" spans="1:14" x14ac:dyDescent="0.25">
      <c r="A668">
        <v>667</v>
      </c>
      <c r="B668" t="s">
        <v>5</v>
      </c>
      <c r="C668" t="s">
        <v>99</v>
      </c>
      <c r="D668">
        <v>6</v>
      </c>
      <c r="E668">
        <v>2021</v>
      </c>
      <c r="F668" s="2">
        <f>DATE(Table1[[#This Row],[Tahun]],Table1[[#This Row],[Bulan]],1)</f>
        <v>44348</v>
      </c>
      <c r="G668">
        <v>684</v>
      </c>
      <c r="H668">
        <v>643</v>
      </c>
      <c r="I668" s="6">
        <f>(Table1[[#This Row],[Aktual]]-Table1[[#This Row],[Target]])</f>
        <v>41</v>
      </c>
      <c r="J668" s="3">
        <f>(Table1[[#This Row],[Aktual]]-Table1[[#This Row],[Target]])/Table1[[#This Row],[Target]]</f>
        <v>6.3763608087091764E-2</v>
      </c>
      <c r="K668" t="str">
        <f>IF(Table1[[#This Row],[Performance Gap (%)]]&lt;0,"Tidak mencapai target", IF(Table1[[#This Row],[Performance Gap (%)]]=0,"Mencapai target", "Melebihi Target"))</f>
        <v>Melebihi Target</v>
      </c>
      <c r="L668">
        <f>VLOOKUP(Table1[[#This Row],[Propinsi]]&amp;"_"&amp;Table1[[#This Row],[Dati 2]]&amp;"_"&amp;Table1[[#This Row],[Tanggal]],Table2[[#All],[Kompetitor area]:[Jumlah Kompetitor]],7,0)</f>
        <v>67</v>
      </c>
      <c r="M668">
        <f>Table1[[#This Row],[Aktual]]-Table1[[#This Row],[Jumlah Kompetitor]]</f>
        <v>617</v>
      </c>
      <c r="N668" t="str">
        <f>IF(Table1[[#This Row],[vs Kompetitor]]&gt;0,"Win", "Lose")</f>
        <v>Win</v>
      </c>
    </row>
    <row r="669" spans="1:14" x14ac:dyDescent="0.25">
      <c r="A669">
        <v>668</v>
      </c>
      <c r="B669" t="s">
        <v>5</v>
      </c>
      <c r="C669" t="s">
        <v>100</v>
      </c>
      <c r="D669">
        <v>6</v>
      </c>
      <c r="E669">
        <v>2021</v>
      </c>
      <c r="F669" s="2">
        <f>DATE(Table1[[#This Row],[Tahun]],Table1[[#This Row],[Bulan]],1)</f>
        <v>44348</v>
      </c>
      <c r="G669">
        <v>210</v>
      </c>
      <c r="H669">
        <v>198</v>
      </c>
      <c r="I669" s="6">
        <f>(Table1[[#This Row],[Aktual]]-Table1[[#This Row],[Target]])</f>
        <v>12</v>
      </c>
      <c r="J669" s="3">
        <f>(Table1[[#This Row],[Aktual]]-Table1[[#This Row],[Target]])/Table1[[#This Row],[Target]]</f>
        <v>6.0606060606060608E-2</v>
      </c>
      <c r="K669" t="str">
        <f>IF(Table1[[#This Row],[Performance Gap (%)]]&lt;0,"Tidak mencapai target", IF(Table1[[#This Row],[Performance Gap (%)]]=0,"Mencapai target", "Melebihi Target"))</f>
        <v>Melebihi Target</v>
      </c>
      <c r="L669">
        <f>VLOOKUP(Table1[[#This Row],[Propinsi]]&amp;"_"&amp;Table1[[#This Row],[Dati 2]]&amp;"_"&amp;Table1[[#This Row],[Tanggal]],Table2[[#All],[Kompetitor area]:[Jumlah Kompetitor]],7,0)</f>
        <v>152</v>
      </c>
      <c r="M669">
        <f>Table1[[#This Row],[Aktual]]-Table1[[#This Row],[Jumlah Kompetitor]]</f>
        <v>58</v>
      </c>
      <c r="N669" t="str">
        <f>IF(Table1[[#This Row],[vs Kompetitor]]&gt;0,"Win", "Lose")</f>
        <v>Win</v>
      </c>
    </row>
    <row r="670" spans="1:14" x14ac:dyDescent="0.25">
      <c r="A670">
        <v>669</v>
      </c>
      <c r="B670" t="s">
        <v>5</v>
      </c>
      <c r="C670" t="s">
        <v>101</v>
      </c>
      <c r="D670">
        <v>6</v>
      </c>
      <c r="E670">
        <v>2021</v>
      </c>
      <c r="F670" s="2">
        <f>DATE(Table1[[#This Row],[Tahun]],Table1[[#This Row],[Bulan]],1)</f>
        <v>44348</v>
      </c>
      <c r="G670">
        <v>1096</v>
      </c>
      <c r="H670">
        <v>951</v>
      </c>
      <c r="I670" s="6">
        <f>(Table1[[#This Row],[Aktual]]-Table1[[#This Row],[Target]])</f>
        <v>145</v>
      </c>
      <c r="J670" s="3">
        <f>(Table1[[#This Row],[Aktual]]-Table1[[#This Row],[Target]])/Table1[[#This Row],[Target]]</f>
        <v>0.15247108307045215</v>
      </c>
      <c r="K670" t="str">
        <f>IF(Table1[[#This Row],[Performance Gap (%)]]&lt;0,"Tidak mencapai target", IF(Table1[[#This Row],[Performance Gap (%)]]=0,"Mencapai target", "Melebihi Target"))</f>
        <v>Melebihi Target</v>
      </c>
      <c r="L670">
        <f>VLOOKUP(Table1[[#This Row],[Propinsi]]&amp;"_"&amp;Table1[[#This Row],[Dati 2]]&amp;"_"&amp;Table1[[#This Row],[Tanggal]],Table2[[#All],[Kompetitor area]:[Jumlah Kompetitor]],7,0)</f>
        <v>103</v>
      </c>
      <c r="M670">
        <f>Table1[[#This Row],[Aktual]]-Table1[[#This Row],[Jumlah Kompetitor]]</f>
        <v>993</v>
      </c>
      <c r="N670" t="str">
        <f>IF(Table1[[#This Row],[vs Kompetitor]]&gt;0,"Win", "Lose")</f>
        <v>Win</v>
      </c>
    </row>
    <row r="671" spans="1:14" x14ac:dyDescent="0.25">
      <c r="A671">
        <v>670</v>
      </c>
      <c r="B671" t="s">
        <v>5</v>
      </c>
      <c r="C671" t="s">
        <v>102</v>
      </c>
      <c r="D671">
        <v>6</v>
      </c>
      <c r="E671">
        <v>2021</v>
      </c>
      <c r="F671" s="2">
        <f>DATE(Table1[[#This Row],[Tahun]],Table1[[#This Row],[Bulan]],1)</f>
        <v>44348</v>
      </c>
      <c r="G671">
        <v>771</v>
      </c>
      <c r="H671">
        <v>687</v>
      </c>
      <c r="I671" s="6">
        <f>(Table1[[#This Row],[Aktual]]-Table1[[#This Row],[Target]])</f>
        <v>84</v>
      </c>
      <c r="J671" s="3">
        <f>(Table1[[#This Row],[Aktual]]-Table1[[#This Row],[Target]])/Table1[[#This Row],[Target]]</f>
        <v>0.1222707423580786</v>
      </c>
      <c r="K671" t="str">
        <f>IF(Table1[[#This Row],[Performance Gap (%)]]&lt;0,"Tidak mencapai target", IF(Table1[[#This Row],[Performance Gap (%)]]=0,"Mencapai target", "Melebihi Target"))</f>
        <v>Melebihi Target</v>
      </c>
      <c r="L671">
        <f>VLOOKUP(Table1[[#This Row],[Propinsi]]&amp;"_"&amp;Table1[[#This Row],[Dati 2]]&amp;"_"&amp;Table1[[#This Row],[Tanggal]],Table2[[#All],[Kompetitor area]:[Jumlah Kompetitor]],7,0)</f>
        <v>143</v>
      </c>
      <c r="M671">
        <f>Table1[[#This Row],[Aktual]]-Table1[[#This Row],[Jumlah Kompetitor]]</f>
        <v>628</v>
      </c>
      <c r="N671" t="str">
        <f>IF(Table1[[#This Row],[vs Kompetitor]]&gt;0,"Win", "Lose")</f>
        <v>Win</v>
      </c>
    </row>
    <row r="672" spans="1:14" x14ac:dyDescent="0.25">
      <c r="A672">
        <v>671</v>
      </c>
      <c r="B672" t="s">
        <v>5</v>
      </c>
      <c r="C672" t="s">
        <v>103</v>
      </c>
      <c r="D672">
        <v>6</v>
      </c>
      <c r="E672">
        <v>2021</v>
      </c>
      <c r="F672" s="2">
        <f>DATE(Table1[[#This Row],[Tahun]],Table1[[#This Row],[Bulan]],1)</f>
        <v>44348</v>
      </c>
      <c r="G672">
        <v>1637</v>
      </c>
      <c r="H672">
        <v>1419</v>
      </c>
      <c r="I672" s="6">
        <f>(Table1[[#This Row],[Aktual]]-Table1[[#This Row],[Target]])</f>
        <v>218</v>
      </c>
      <c r="J672" s="3">
        <f>(Table1[[#This Row],[Aktual]]-Table1[[#This Row],[Target]])/Table1[[#This Row],[Target]]</f>
        <v>0.15362931642001409</v>
      </c>
      <c r="K672" t="str">
        <f>IF(Table1[[#This Row],[Performance Gap (%)]]&lt;0,"Tidak mencapai target", IF(Table1[[#This Row],[Performance Gap (%)]]=0,"Mencapai target", "Melebihi Target"))</f>
        <v>Melebihi Target</v>
      </c>
      <c r="L672">
        <f>VLOOKUP(Table1[[#This Row],[Propinsi]]&amp;"_"&amp;Table1[[#This Row],[Dati 2]]&amp;"_"&amp;Table1[[#This Row],[Tanggal]],Table2[[#All],[Kompetitor area]:[Jumlah Kompetitor]],7,0)</f>
        <v>81</v>
      </c>
      <c r="M672">
        <f>Table1[[#This Row],[Aktual]]-Table1[[#This Row],[Jumlah Kompetitor]]</f>
        <v>1556</v>
      </c>
      <c r="N672" t="str">
        <f>IF(Table1[[#This Row],[vs Kompetitor]]&gt;0,"Win", "Lose")</f>
        <v>Win</v>
      </c>
    </row>
    <row r="673" spans="1:14" x14ac:dyDescent="0.25">
      <c r="A673">
        <v>672</v>
      </c>
      <c r="B673" t="s">
        <v>5</v>
      </c>
      <c r="C673" t="s">
        <v>104</v>
      </c>
      <c r="D673">
        <v>6</v>
      </c>
      <c r="E673">
        <v>2021</v>
      </c>
      <c r="F673" s="2">
        <f>DATE(Table1[[#This Row],[Tahun]],Table1[[#This Row],[Bulan]],1)</f>
        <v>44348</v>
      </c>
      <c r="G673">
        <v>1638</v>
      </c>
      <c r="H673">
        <v>1415</v>
      </c>
      <c r="I673" s="6">
        <f>(Table1[[#This Row],[Aktual]]-Table1[[#This Row],[Target]])</f>
        <v>223</v>
      </c>
      <c r="J673" s="3">
        <f>(Table1[[#This Row],[Aktual]]-Table1[[#This Row],[Target]])/Table1[[#This Row],[Target]]</f>
        <v>0.15759717314487631</v>
      </c>
      <c r="K673" t="str">
        <f>IF(Table1[[#This Row],[Performance Gap (%)]]&lt;0,"Tidak mencapai target", IF(Table1[[#This Row],[Performance Gap (%)]]=0,"Mencapai target", "Melebihi Target"))</f>
        <v>Melebihi Target</v>
      </c>
      <c r="L673">
        <f>VLOOKUP(Table1[[#This Row],[Propinsi]]&amp;"_"&amp;Table1[[#This Row],[Dati 2]]&amp;"_"&amp;Table1[[#This Row],[Tanggal]],Table2[[#All],[Kompetitor area]:[Jumlah Kompetitor]],7,0)</f>
        <v>144</v>
      </c>
      <c r="M673">
        <f>Table1[[#This Row],[Aktual]]-Table1[[#This Row],[Jumlah Kompetitor]]</f>
        <v>1494</v>
      </c>
      <c r="N673" t="str">
        <f>IF(Table1[[#This Row],[vs Kompetitor]]&gt;0,"Win", "Lose")</f>
        <v>Win</v>
      </c>
    </row>
    <row r="674" spans="1:14" x14ac:dyDescent="0.25">
      <c r="A674">
        <v>673</v>
      </c>
      <c r="B674" t="s">
        <v>5</v>
      </c>
      <c r="C674" t="s">
        <v>105</v>
      </c>
      <c r="D674">
        <v>6</v>
      </c>
      <c r="E674">
        <v>2021</v>
      </c>
      <c r="F674" s="2">
        <f>DATE(Table1[[#This Row],[Tahun]],Table1[[#This Row],[Bulan]],1)</f>
        <v>44348</v>
      </c>
      <c r="G674">
        <v>623</v>
      </c>
      <c r="H674">
        <v>476</v>
      </c>
      <c r="I674" s="6">
        <f>(Table1[[#This Row],[Aktual]]-Table1[[#This Row],[Target]])</f>
        <v>147</v>
      </c>
      <c r="J674" s="3">
        <f>(Table1[[#This Row],[Aktual]]-Table1[[#This Row],[Target]])/Table1[[#This Row],[Target]]</f>
        <v>0.30882352941176472</v>
      </c>
      <c r="K674" t="str">
        <f>IF(Table1[[#This Row],[Performance Gap (%)]]&lt;0,"Tidak mencapai target", IF(Table1[[#This Row],[Performance Gap (%)]]=0,"Mencapai target", "Melebihi Target"))</f>
        <v>Melebihi Target</v>
      </c>
      <c r="L674">
        <f>VLOOKUP(Table1[[#This Row],[Propinsi]]&amp;"_"&amp;Table1[[#This Row],[Dati 2]]&amp;"_"&amp;Table1[[#This Row],[Tanggal]],Table2[[#All],[Kompetitor area]:[Jumlah Kompetitor]],7,0)</f>
        <v>86</v>
      </c>
      <c r="M674">
        <f>Table1[[#This Row],[Aktual]]-Table1[[#This Row],[Jumlah Kompetitor]]</f>
        <v>537</v>
      </c>
      <c r="N674" t="str">
        <f>IF(Table1[[#This Row],[vs Kompetitor]]&gt;0,"Win", "Lose")</f>
        <v>Win</v>
      </c>
    </row>
    <row r="675" spans="1:14" x14ac:dyDescent="0.25">
      <c r="A675">
        <v>674</v>
      </c>
      <c r="B675" t="s">
        <v>5</v>
      </c>
      <c r="C675" t="s">
        <v>106</v>
      </c>
      <c r="D675">
        <v>6</v>
      </c>
      <c r="E675">
        <v>2021</v>
      </c>
      <c r="F675" s="2">
        <f>DATE(Table1[[#This Row],[Tahun]],Table1[[#This Row],[Bulan]],1)</f>
        <v>44348</v>
      </c>
      <c r="G675">
        <v>487</v>
      </c>
      <c r="H675">
        <v>485</v>
      </c>
      <c r="I675" s="6">
        <f>(Table1[[#This Row],[Aktual]]-Table1[[#This Row],[Target]])</f>
        <v>2</v>
      </c>
      <c r="J675" s="3">
        <f>(Table1[[#This Row],[Aktual]]-Table1[[#This Row],[Target]])/Table1[[#This Row],[Target]]</f>
        <v>4.1237113402061857E-3</v>
      </c>
      <c r="K675" t="str">
        <f>IF(Table1[[#This Row],[Performance Gap (%)]]&lt;0,"Tidak mencapai target", IF(Table1[[#This Row],[Performance Gap (%)]]=0,"Mencapai target", "Melebihi Target"))</f>
        <v>Melebihi Target</v>
      </c>
      <c r="L675">
        <f>VLOOKUP(Table1[[#This Row],[Propinsi]]&amp;"_"&amp;Table1[[#This Row],[Dati 2]]&amp;"_"&amp;Table1[[#This Row],[Tanggal]],Table2[[#All],[Kompetitor area]:[Jumlah Kompetitor]],7,0)</f>
        <v>70</v>
      </c>
      <c r="M675">
        <f>Table1[[#This Row],[Aktual]]-Table1[[#This Row],[Jumlah Kompetitor]]</f>
        <v>417</v>
      </c>
      <c r="N675" t="str">
        <f>IF(Table1[[#This Row],[vs Kompetitor]]&gt;0,"Win", "Lose")</f>
        <v>Win</v>
      </c>
    </row>
    <row r="676" spans="1:14" x14ac:dyDescent="0.25">
      <c r="A676">
        <v>675</v>
      </c>
      <c r="B676" t="s">
        <v>5</v>
      </c>
      <c r="C676" t="s">
        <v>107</v>
      </c>
      <c r="D676">
        <v>6</v>
      </c>
      <c r="E676">
        <v>2021</v>
      </c>
      <c r="F676" s="2">
        <f>DATE(Table1[[#This Row],[Tahun]],Table1[[#This Row],[Bulan]],1)</f>
        <v>44348</v>
      </c>
      <c r="G676">
        <v>567</v>
      </c>
      <c r="H676">
        <v>510</v>
      </c>
      <c r="I676" s="6">
        <f>(Table1[[#This Row],[Aktual]]-Table1[[#This Row],[Target]])</f>
        <v>57</v>
      </c>
      <c r="J676" s="3">
        <f>(Table1[[#This Row],[Aktual]]-Table1[[#This Row],[Target]])/Table1[[#This Row],[Target]]</f>
        <v>0.11176470588235295</v>
      </c>
      <c r="K676" t="str">
        <f>IF(Table1[[#This Row],[Performance Gap (%)]]&lt;0,"Tidak mencapai target", IF(Table1[[#This Row],[Performance Gap (%)]]=0,"Mencapai target", "Melebihi Target"))</f>
        <v>Melebihi Target</v>
      </c>
      <c r="L676">
        <f>VLOOKUP(Table1[[#This Row],[Propinsi]]&amp;"_"&amp;Table1[[#This Row],[Dati 2]]&amp;"_"&amp;Table1[[#This Row],[Tanggal]],Table2[[#All],[Kompetitor area]:[Jumlah Kompetitor]],7,0)</f>
        <v>116</v>
      </c>
      <c r="M676">
        <f>Table1[[#This Row],[Aktual]]-Table1[[#This Row],[Jumlah Kompetitor]]</f>
        <v>451</v>
      </c>
      <c r="N676" t="str">
        <f>IF(Table1[[#This Row],[vs Kompetitor]]&gt;0,"Win", "Lose")</f>
        <v>Win</v>
      </c>
    </row>
    <row r="677" spans="1:14" x14ac:dyDescent="0.25">
      <c r="A677">
        <v>676</v>
      </c>
      <c r="B677" t="s">
        <v>5</v>
      </c>
      <c r="C677" t="s">
        <v>108</v>
      </c>
      <c r="D677">
        <v>6</v>
      </c>
      <c r="E677">
        <v>2021</v>
      </c>
      <c r="F677" s="2">
        <f>DATE(Table1[[#This Row],[Tahun]],Table1[[#This Row],[Bulan]],1)</f>
        <v>44348</v>
      </c>
      <c r="G677">
        <v>1200</v>
      </c>
      <c r="H677">
        <v>1012</v>
      </c>
      <c r="I677" s="6">
        <f>(Table1[[#This Row],[Aktual]]-Table1[[#This Row],[Target]])</f>
        <v>188</v>
      </c>
      <c r="J677" s="3">
        <f>(Table1[[#This Row],[Aktual]]-Table1[[#This Row],[Target]])/Table1[[#This Row],[Target]]</f>
        <v>0.1857707509881423</v>
      </c>
      <c r="K677" t="str">
        <f>IF(Table1[[#This Row],[Performance Gap (%)]]&lt;0,"Tidak mencapai target", IF(Table1[[#This Row],[Performance Gap (%)]]=0,"Mencapai target", "Melebihi Target"))</f>
        <v>Melebihi Target</v>
      </c>
      <c r="L677">
        <f>VLOOKUP(Table1[[#This Row],[Propinsi]]&amp;"_"&amp;Table1[[#This Row],[Dati 2]]&amp;"_"&amp;Table1[[#This Row],[Tanggal]],Table2[[#All],[Kompetitor area]:[Jumlah Kompetitor]],7,0)</f>
        <v>83</v>
      </c>
      <c r="M677">
        <f>Table1[[#This Row],[Aktual]]-Table1[[#This Row],[Jumlah Kompetitor]]</f>
        <v>1117</v>
      </c>
      <c r="N677" t="str">
        <f>IF(Table1[[#This Row],[vs Kompetitor]]&gt;0,"Win", "Lose")</f>
        <v>Win</v>
      </c>
    </row>
    <row r="678" spans="1:14" x14ac:dyDescent="0.25">
      <c r="A678">
        <v>677</v>
      </c>
      <c r="B678" t="s">
        <v>5</v>
      </c>
      <c r="C678" t="s">
        <v>109</v>
      </c>
      <c r="D678">
        <v>6</v>
      </c>
      <c r="E678">
        <v>2021</v>
      </c>
      <c r="F678" s="2">
        <f>DATE(Table1[[#This Row],[Tahun]],Table1[[#This Row],[Bulan]],1)</f>
        <v>44348</v>
      </c>
      <c r="G678">
        <v>966</v>
      </c>
      <c r="H678">
        <v>962</v>
      </c>
      <c r="I678" s="6">
        <f>(Table1[[#This Row],[Aktual]]-Table1[[#This Row],[Target]])</f>
        <v>4</v>
      </c>
      <c r="J678" s="3">
        <f>(Table1[[#This Row],[Aktual]]-Table1[[#This Row],[Target]])/Table1[[#This Row],[Target]]</f>
        <v>4.1580041580041582E-3</v>
      </c>
      <c r="K678" t="str">
        <f>IF(Table1[[#This Row],[Performance Gap (%)]]&lt;0,"Tidak mencapai target", IF(Table1[[#This Row],[Performance Gap (%)]]=0,"Mencapai target", "Melebihi Target"))</f>
        <v>Melebihi Target</v>
      </c>
      <c r="L678">
        <f>VLOOKUP(Table1[[#This Row],[Propinsi]]&amp;"_"&amp;Table1[[#This Row],[Dati 2]]&amp;"_"&amp;Table1[[#This Row],[Tanggal]],Table2[[#All],[Kompetitor area]:[Jumlah Kompetitor]],7,0)</f>
        <v>168</v>
      </c>
      <c r="M678">
        <f>Table1[[#This Row],[Aktual]]-Table1[[#This Row],[Jumlah Kompetitor]]</f>
        <v>798</v>
      </c>
      <c r="N678" t="str">
        <f>IF(Table1[[#This Row],[vs Kompetitor]]&gt;0,"Win", "Lose")</f>
        <v>Win</v>
      </c>
    </row>
    <row r="679" spans="1:14" x14ac:dyDescent="0.25">
      <c r="A679">
        <v>678</v>
      </c>
      <c r="B679" t="s">
        <v>5</v>
      </c>
      <c r="C679" t="s">
        <v>110</v>
      </c>
      <c r="D679">
        <v>6</v>
      </c>
      <c r="E679">
        <v>2021</v>
      </c>
      <c r="F679" s="2">
        <f>DATE(Table1[[#This Row],[Tahun]],Table1[[#This Row],[Bulan]],1)</f>
        <v>44348</v>
      </c>
      <c r="G679">
        <v>630</v>
      </c>
      <c r="H679">
        <v>643</v>
      </c>
      <c r="I679" s="6">
        <f>(Table1[[#This Row],[Aktual]]-Table1[[#This Row],[Target]])</f>
        <v>-13</v>
      </c>
      <c r="J679" s="3">
        <f>(Table1[[#This Row],[Aktual]]-Table1[[#This Row],[Target]])/Table1[[#This Row],[Target]]</f>
        <v>-2.0217729393468119E-2</v>
      </c>
      <c r="K679" t="str">
        <f>IF(Table1[[#This Row],[Performance Gap (%)]]&lt;0,"Tidak mencapai target", IF(Table1[[#This Row],[Performance Gap (%)]]=0,"Mencapai target", "Melebihi Target"))</f>
        <v>Tidak mencapai target</v>
      </c>
      <c r="L679">
        <f>VLOOKUP(Table1[[#This Row],[Propinsi]]&amp;"_"&amp;Table1[[#This Row],[Dati 2]]&amp;"_"&amp;Table1[[#This Row],[Tanggal]],Table2[[#All],[Kompetitor area]:[Jumlah Kompetitor]],7,0)</f>
        <v>72</v>
      </c>
      <c r="M679">
        <f>Table1[[#This Row],[Aktual]]-Table1[[#This Row],[Jumlah Kompetitor]]</f>
        <v>558</v>
      </c>
      <c r="N679" t="str">
        <f>IF(Table1[[#This Row],[vs Kompetitor]]&gt;0,"Win", "Lose")</f>
        <v>Win</v>
      </c>
    </row>
    <row r="680" spans="1:14" x14ac:dyDescent="0.25">
      <c r="A680">
        <v>679</v>
      </c>
      <c r="B680" t="s">
        <v>5</v>
      </c>
      <c r="C680" t="s">
        <v>111</v>
      </c>
      <c r="D680">
        <v>6</v>
      </c>
      <c r="E680">
        <v>2021</v>
      </c>
      <c r="F680" s="2">
        <f>DATE(Table1[[#This Row],[Tahun]],Table1[[#This Row],[Bulan]],1)</f>
        <v>44348</v>
      </c>
      <c r="G680">
        <v>498</v>
      </c>
      <c r="H680">
        <v>573</v>
      </c>
      <c r="I680" s="6">
        <f>(Table1[[#This Row],[Aktual]]-Table1[[#This Row],[Target]])</f>
        <v>-75</v>
      </c>
      <c r="J680" s="3">
        <f>(Table1[[#This Row],[Aktual]]-Table1[[#This Row],[Target]])/Table1[[#This Row],[Target]]</f>
        <v>-0.13089005235602094</v>
      </c>
      <c r="K680" t="str">
        <f>IF(Table1[[#This Row],[Performance Gap (%)]]&lt;0,"Tidak mencapai target", IF(Table1[[#This Row],[Performance Gap (%)]]=0,"Mencapai target", "Melebihi Target"))</f>
        <v>Tidak mencapai target</v>
      </c>
      <c r="L680">
        <f>VLOOKUP(Table1[[#This Row],[Propinsi]]&amp;"_"&amp;Table1[[#This Row],[Dati 2]]&amp;"_"&amp;Table1[[#This Row],[Tanggal]],Table2[[#All],[Kompetitor area]:[Jumlah Kompetitor]],7,0)</f>
        <v>85</v>
      </c>
      <c r="M680">
        <f>Table1[[#This Row],[Aktual]]-Table1[[#This Row],[Jumlah Kompetitor]]</f>
        <v>413</v>
      </c>
      <c r="N680" t="str">
        <f>IF(Table1[[#This Row],[vs Kompetitor]]&gt;0,"Win", "Lose")</f>
        <v>Win</v>
      </c>
    </row>
    <row r="681" spans="1:14" x14ac:dyDescent="0.25">
      <c r="A681">
        <v>680</v>
      </c>
      <c r="B681" t="s">
        <v>5</v>
      </c>
      <c r="C681" t="s">
        <v>112</v>
      </c>
      <c r="D681">
        <v>6</v>
      </c>
      <c r="E681">
        <v>2021</v>
      </c>
      <c r="F681" s="2">
        <f>DATE(Table1[[#This Row],[Tahun]],Table1[[#This Row],[Bulan]],1)</f>
        <v>44348</v>
      </c>
      <c r="G681">
        <v>336</v>
      </c>
      <c r="H681">
        <v>289</v>
      </c>
      <c r="I681" s="6">
        <f>(Table1[[#This Row],[Aktual]]-Table1[[#This Row],[Target]])</f>
        <v>47</v>
      </c>
      <c r="J681" s="3">
        <f>(Table1[[#This Row],[Aktual]]-Table1[[#This Row],[Target]])/Table1[[#This Row],[Target]]</f>
        <v>0.16262975778546712</v>
      </c>
      <c r="K681" t="str">
        <f>IF(Table1[[#This Row],[Performance Gap (%)]]&lt;0,"Tidak mencapai target", IF(Table1[[#This Row],[Performance Gap (%)]]=0,"Mencapai target", "Melebihi Target"))</f>
        <v>Melebihi Target</v>
      </c>
      <c r="L681">
        <f>VLOOKUP(Table1[[#This Row],[Propinsi]]&amp;"_"&amp;Table1[[#This Row],[Dati 2]]&amp;"_"&amp;Table1[[#This Row],[Tanggal]],Table2[[#All],[Kompetitor area]:[Jumlah Kompetitor]],7,0)</f>
        <v>52</v>
      </c>
      <c r="M681">
        <f>Table1[[#This Row],[Aktual]]-Table1[[#This Row],[Jumlah Kompetitor]]</f>
        <v>284</v>
      </c>
      <c r="N681" t="str">
        <f>IF(Table1[[#This Row],[vs Kompetitor]]&gt;0,"Win", "Lose")</f>
        <v>Win</v>
      </c>
    </row>
    <row r="682" spans="1:14" x14ac:dyDescent="0.25">
      <c r="A682">
        <v>681</v>
      </c>
      <c r="B682" t="s">
        <v>5</v>
      </c>
      <c r="C682" t="s">
        <v>113</v>
      </c>
      <c r="D682">
        <v>6</v>
      </c>
      <c r="E682">
        <v>2021</v>
      </c>
      <c r="F682" s="2">
        <f>DATE(Table1[[#This Row],[Tahun]],Table1[[#This Row],[Bulan]],1)</f>
        <v>44348</v>
      </c>
      <c r="G682">
        <v>753</v>
      </c>
      <c r="H682">
        <v>703</v>
      </c>
      <c r="I682" s="6">
        <f>(Table1[[#This Row],[Aktual]]-Table1[[#This Row],[Target]])</f>
        <v>50</v>
      </c>
      <c r="J682" s="3">
        <f>(Table1[[#This Row],[Aktual]]-Table1[[#This Row],[Target]])/Table1[[#This Row],[Target]]</f>
        <v>7.1123755334281655E-2</v>
      </c>
      <c r="K682" t="str">
        <f>IF(Table1[[#This Row],[Performance Gap (%)]]&lt;0,"Tidak mencapai target", IF(Table1[[#This Row],[Performance Gap (%)]]=0,"Mencapai target", "Melebihi Target"))</f>
        <v>Melebihi Target</v>
      </c>
      <c r="L682">
        <f>VLOOKUP(Table1[[#This Row],[Propinsi]]&amp;"_"&amp;Table1[[#This Row],[Dati 2]]&amp;"_"&amp;Table1[[#This Row],[Tanggal]],Table2[[#All],[Kompetitor area]:[Jumlah Kompetitor]],7,0)</f>
        <v>15</v>
      </c>
      <c r="M682">
        <f>Table1[[#This Row],[Aktual]]-Table1[[#This Row],[Jumlah Kompetitor]]</f>
        <v>738</v>
      </c>
      <c r="N682" t="str">
        <f>IF(Table1[[#This Row],[vs Kompetitor]]&gt;0,"Win", "Lose")</f>
        <v>Win</v>
      </c>
    </row>
    <row r="683" spans="1:14" x14ac:dyDescent="0.25">
      <c r="A683">
        <v>682</v>
      </c>
      <c r="B683" t="s">
        <v>5</v>
      </c>
      <c r="C683" t="s">
        <v>114</v>
      </c>
      <c r="D683">
        <v>6</v>
      </c>
      <c r="E683">
        <v>2021</v>
      </c>
      <c r="F683" s="2">
        <f>DATE(Table1[[#This Row],[Tahun]],Table1[[#This Row],[Bulan]],1)</f>
        <v>44348</v>
      </c>
      <c r="G683">
        <v>520</v>
      </c>
      <c r="H683">
        <v>566</v>
      </c>
      <c r="I683" s="6">
        <f>(Table1[[#This Row],[Aktual]]-Table1[[#This Row],[Target]])</f>
        <v>-46</v>
      </c>
      <c r="J683" s="3">
        <f>(Table1[[#This Row],[Aktual]]-Table1[[#This Row],[Target]])/Table1[[#This Row],[Target]]</f>
        <v>-8.1272084805653705E-2</v>
      </c>
      <c r="K683" t="str">
        <f>IF(Table1[[#This Row],[Performance Gap (%)]]&lt;0,"Tidak mencapai target", IF(Table1[[#This Row],[Performance Gap (%)]]=0,"Mencapai target", "Melebihi Target"))</f>
        <v>Tidak mencapai target</v>
      </c>
      <c r="L683">
        <f>VLOOKUP(Table1[[#This Row],[Propinsi]]&amp;"_"&amp;Table1[[#This Row],[Dati 2]]&amp;"_"&amp;Table1[[#This Row],[Tanggal]],Table2[[#All],[Kompetitor area]:[Jumlah Kompetitor]],7,0)</f>
        <v>42</v>
      </c>
      <c r="M683">
        <f>Table1[[#This Row],[Aktual]]-Table1[[#This Row],[Jumlah Kompetitor]]</f>
        <v>478</v>
      </c>
      <c r="N683" t="str">
        <f>IF(Table1[[#This Row],[vs Kompetitor]]&gt;0,"Win", "Lose")</f>
        <v>Win</v>
      </c>
    </row>
    <row r="684" spans="1:14" x14ac:dyDescent="0.25">
      <c r="A684">
        <v>683</v>
      </c>
      <c r="B684" t="s">
        <v>5</v>
      </c>
      <c r="C684" t="s">
        <v>115</v>
      </c>
      <c r="D684">
        <v>6</v>
      </c>
      <c r="E684">
        <v>2021</v>
      </c>
      <c r="F684" s="2">
        <f>DATE(Table1[[#This Row],[Tahun]],Table1[[#This Row],[Bulan]],1)</f>
        <v>44348</v>
      </c>
      <c r="G684">
        <v>556</v>
      </c>
      <c r="H684">
        <v>506</v>
      </c>
      <c r="I684" s="6">
        <f>(Table1[[#This Row],[Aktual]]-Table1[[#This Row],[Target]])</f>
        <v>50</v>
      </c>
      <c r="J684" s="3">
        <f>(Table1[[#This Row],[Aktual]]-Table1[[#This Row],[Target]])/Table1[[#This Row],[Target]]</f>
        <v>9.8814229249011856E-2</v>
      </c>
      <c r="K684" t="str">
        <f>IF(Table1[[#This Row],[Performance Gap (%)]]&lt;0,"Tidak mencapai target", IF(Table1[[#This Row],[Performance Gap (%)]]=0,"Mencapai target", "Melebihi Target"))</f>
        <v>Melebihi Target</v>
      </c>
      <c r="L684">
        <f>VLOOKUP(Table1[[#This Row],[Propinsi]]&amp;"_"&amp;Table1[[#This Row],[Dati 2]]&amp;"_"&amp;Table1[[#This Row],[Tanggal]],Table2[[#All],[Kompetitor area]:[Jumlah Kompetitor]],7,0)</f>
        <v>27</v>
      </c>
      <c r="M684">
        <f>Table1[[#This Row],[Aktual]]-Table1[[#This Row],[Jumlah Kompetitor]]</f>
        <v>529</v>
      </c>
      <c r="N684" t="str">
        <f>IF(Table1[[#This Row],[vs Kompetitor]]&gt;0,"Win", "Lose")</f>
        <v>Win</v>
      </c>
    </row>
    <row r="685" spans="1:14" x14ac:dyDescent="0.25">
      <c r="A685">
        <v>684</v>
      </c>
      <c r="B685" t="s">
        <v>5</v>
      </c>
      <c r="C685" t="s">
        <v>116</v>
      </c>
      <c r="D685">
        <v>6</v>
      </c>
      <c r="E685">
        <v>2021</v>
      </c>
      <c r="F685" s="2">
        <f>DATE(Table1[[#This Row],[Tahun]],Table1[[#This Row],[Bulan]],1)</f>
        <v>44348</v>
      </c>
      <c r="G685">
        <v>1021</v>
      </c>
      <c r="H685">
        <v>811</v>
      </c>
      <c r="I685" s="6">
        <f>(Table1[[#This Row],[Aktual]]-Table1[[#This Row],[Target]])</f>
        <v>210</v>
      </c>
      <c r="J685" s="3">
        <f>(Table1[[#This Row],[Aktual]]-Table1[[#This Row],[Target]])/Table1[[#This Row],[Target]]</f>
        <v>0.25893958076448831</v>
      </c>
      <c r="K685" t="str">
        <f>IF(Table1[[#This Row],[Performance Gap (%)]]&lt;0,"Tidak mencapai target", IF(Table1[[#This Row],[Performance Gap (%)]]=0,"Mencapai target", "Melebihi Target"))</f>
        <v>Melebihi Target</v>
      </c>
      <c r="L685">
        <f>VLOOKUP(Table1[[#This Row],[Propinsi]]&amp;"_"&amp;Table1[[#This Row],[Dati 2]]&amp;"_"&amp;Table1[[#This Row],[Tanggal]],Table2[[#All],[Kompetitor area]:[Jumlah Kompetitor]],7,0)</f>
        <v>59</v>
      </c>
      <c r="M685">
        <f>Table1[[#This Row],[Aktual]]-Table1[[#This Row],[Jumlah Kompetitor]]</f>
        <v>962</v>
      </c>
      <c r="N685" t="str">
        <f>IF(Table1[[#This Row],[vs Kompetitor]]&gt;0,"Win", "Lose")</f>
        <v>Win</v>
      </c>
    </row>
    <row r="686" spans="1:14" x14ac:dyDescent="0.25">
      <c r="A686">
        <v>685</v>
      </c>
      <c r="B686" t="s">
        <v>5</v>
      </c>
      <c r="C686" t="s">
        <v>117</v>
      </c>
      <c r="D686">
        <v>6</v>
      </c>
      <c r="E686">
        <v>2021</v>
      </c>
      <c r="F686" s="2">
        <f>DATE(Table1[[#This Row],[Tahun]],Table1[[#This Row],[Bulan]],1)</f>
        <v>44348</v>
      </c>
      <c r="G686">
        <v>1145</v>
      </c>
      <c r="H686">
        <v>1021</v>
      </c>
      <c r="I686" s="6">
        <f>(Table1[[#This Row],[Aktual]]-Table1[[#This Row],[Target]])</f>
        <v>124</v>
      </c>
      <c r="J686" s="3">
        <f>(Table1[[#This Row],[Aktual]]-Table1[[#This Row],[Target]])/Table1[[#This Row],[Target]]</f>
        <v>0.12144955925563174</v>
      </c>
      <c r="K686" t="str">
        <f>IF(Table1[[#This Row],[Performance Gap (%)]]&lt;0,"Tidak mencapai target", IF(Table1[[#This Row],[Performance Gap (%)]]=0,"Mencapai target", "Melebihi Target"))</f>
        <v>Melebihi Target</v>
      </c>
      <c r="L686">
        <f>VLOOKUP(Table1[[#This Row],[Propinsi]]&amp;"_"&amp;Table1[[#This Row],[Dati 2]]&amp;"_"&amp;Table1[[#This Row],[Tanggal]],Table2[[#All],[Kompetitor area]:[Jumlah Kompetitor]],7,0)</f>
        <v>16</v>
      </c>
      <c r="M686">
        <f>Table1[[#This Row],[Aktual]]-Table1[[#This Row],[Jumlah Kompetitor]]</f>
        <v>1129</v>
      </c>
      <c r="N686" t="str">
        <f>IF(Table1[[#This Row],[vs Kompetitor]]&gt;0,"Win", "Lose")</f>
        <v>Win</v>
      </c>
    </row>
    <row r="687" spans="1:14" x14ac:dyDescent="0.25">
      <c r="A687">
        <v>686</v>
      </c>
      <c r="B687" t="s">
        <v>5</v>
      </c>
      <c r="C687" t="s">
        <v>118</v>
      </c>
      <c r="D687">
        <v>6</v>
      </c>
      <c r="E687">
        <v>2021</v>
      </c>
      <c r="F687" s="2">
        <f>DATE(Table1[[#This Row],[Tahun]],Table1[[#This Row],[Bulan]],1)</f>
        <v>44348</v>
      </c>
      <c r="G687">
        <v>737</v>
      </c>
      <c r="H687">
        <v>628</v>
      </c>
      <c r="I687" s="6">
        <f>(Table1[[#This Row],[Aktual]]-Table1[[#This Row],[Target]])</f>
        <v>109</v>
      </c>
      <c r="J687" s="3">
        <f>(Table1[[#This Row],[Aktual]]-Table1[[#This Row],[Target]])/Table1[[#This Row],[Target]]</f>
        <v>0.17356687898089171</v>
      </c>
      <c r="K687" t="str">
        <f>IF(Table1[[#This Row],[Performance Gap (%)]]&lt;0,"Tidak mencapai target", IF(Table1[[#This Row],[Performance Gap (%)]]=0,"Mencapai target", "Melebihi Target"))</f>
        <v>Melebihi Target</v>
      </c>
      <c r="L687">
        <f>VLOOKUP(Table1[[#This Row],[Propinsi]]&amp;"_"&amp;Table1[[#This Row],[Dati 2]]&amp;"_"&amp;Table1[[#This Row],[Tanggal]],Table2[[#All],[Kompetitor area]:[Jumlah Kompetitor]],7,0)</f>
        <v>143</v>
      </c>
      <c r="M687">
        <f>Table1[[#This Row],[Aktual]]-Table1[[#This Row],[Jumlah Kompetitor]]</f>
        <v>594</v>
      </c>
      <c r="N687" t="str">
        <f>IF(Table1[[#This Row],[vs Kompetitor]]&gt;0,"Win", "Lose")</f>
        <v>Win</v>
      </c>
    </row>
    <row r="688" spans="1:14" x14ac:dyDescent="0.25">
      <c r="A688">
        <v>687</v>
      </c>
      <c r="B688" t="s">
        <v>5</v>
      </c>
      <c r="C688" t="s">
        <v>119</v>
      </c>
      <c r="D688">
        <v>6</v>
      </c>
      <c r="E688">
        <v>2021</v>
      </c>
      <c r="F688" s="2">
        <f>DATE(Table1[[#This Row],[Tahun]],Table1[[#This Row],[Bulan]],1)</f>
        <v>44348</v>
      </c>
      <c r="G688">
        <v>790</v>
      </c>
      <c r="H688">
        <v>783</v>
      </c>
      <c r="I688" s="6">
        <f>(Table1[[#This Row],[Aktual]]-Table1[[#This Row],[Target]])</f>
        <v>7</v>
      </c>
      <c r="J688" s="3">
        <f>(Table1[[#This Row],[Aktual]]-Table1[[#This Row],[Target]])/Table1[[#This Row],[Target]]</f>
        <v>8.9399744572158362E-3</v>
      </c>
      <c r="K688" t="str">
        <f>IF(Table1[[#This Row],[Performance Gap (%)]]&lt;0,"Tidak mencapai target", IF(Table1[[#This Row],[Performance Gap (%)]]=0,"Mencapai target", "Melebihi Target"))</f>
        <v>Melebihi Target</v>
      </c>
      <c r="L688">
        <f>VLOOKUP(Table1[[#This Row],[Propinsi]]&amp;"_"&amp;Table1[[#This Row],[Dati 2]]&amp;"_"&amp;Table1[[#This Row],[Tanggal]],Table2[[#All],[Kompetitor area]:[Jumlah Kompetitor]],7,0)</f>
        <v>97</v>
      </c>
      <c r="M688">
        <f>Table1[[#This Row],[Aktual]]-Table1[[#This Row],[Jumlah Kompetitor]]</f>
        <v>693</v>
      </c>
      <c r="N688" t="str">
        <f>IF(Table1[[#This Row],[vs Kompetitor]]&gt;0,"Win", "Lose")</f>
        <v>Win</v>
      </c>
    </row>
    <row r="689" spans="1:14" x14ac:dyDescent="0.25">
      <c r="A689">
        <v>688</v>
      </c>
      <c r="B689" t="s">
        <v>5</v>
      </c>
      <c r="C689" t="s">
        <v>120</v>
      </c>
      <c r="D689">
        <v>6</v>
      </c>
      <c r="E689">
        <v>2021</v>
      </c>
      <c r="F689" s="2">
        <f>DATE(Table1[[#This Row],[Tahun]],Table1[[#This Row],[Bulan]],1)</f>
        <v>44348</v>
      </c>
      <c r="G689">
        <v>692</v>
      </c>
      <c r="H689">
        <v>637</v>
      </c>
      <c r="I689" s="6">
        <f>(Table1[[#This Row],[Aktual]]-Table1[[#This Row],[Target]])</f>
        <v>55</v>
      </c>
      <c r="J689" s="3">
        <f>(Table1[[#This Row],[Aktual]]-Table1[[#This Row],[Target]])/Table1[[#This Row],[Target]]</f>
        <v>8.6342229199372053E-2</v>
      </c>
      <c r="K689" t="str">
        <f>IF(Table1[[#This Row],[Performance Gap (%)]]&lt;0,"Tidak mencapai target", IF(Table1[[#This Row],[Performance Gap (%)]]=0,"Mencapai target", "Melebihi Target"))</f>
        <v>Melebihi Target</v>
      </c>
      <c r="L689">
        <f>VLOOKUP(Table1[[#This Row],[Propinsi]]&amp;"_"&amp;Table1[[#This Row],[Dati 2]]&amp;"_"&amp;Table1[[#This Row],[Tanggal]],Table2[[#All],[Kompetitor area]:[Jumlah Kompetitor]],7,0)</f>
        <v>54</v>
      </c>
      <c r="M689">
        <f>Table1[[#This Row],[Aktual]]-Table1[[#This Row],[Jumlah Kompetitor]]</f>
        <v>638</v>
      </c>
      <c r="N689" t="str">
        <f>IF(Table1[[#This Row],[vs Kompetitor]]&gt;0,"Win", "Lose")</f>
        <v>Win</v>
      </c>
    </row>
    <row r="690" spans="1:14" x14ac:dyDescent="0.25">
      <c r="A690">
        <v>689</v>
      </c>
      <c r="B690" t="s">
        <v>5</v>
      </c>
      <c r="C690" t="s">
        <v>121</v>
      </c>
      <c r="D690">
        <v>6</v>
      </c>
      <c r="E690">
        <v>2021</v>
      </c>
      <c r="F690" s="2">
        <f>DATE(Table1[[#This Row],[Tahun]],Table1[[#This Row],[Bulan]],1)</f>
        <v>44348</v>
      </c>
      <c r="G690">
        <v>846</v>
      </c>
      <c r="H690">
        <v>945</v>
      </c>
      <c r="I690" s="6">
        <f>(Table1[[#This Row],[Aktual]]-Table1[[#This Row],[Target]])</f>
        <v>-99</v>
      </c>
      <c r="J690" s="3">
        <f>(Table1[[#This Row],[Aktual]]-Table1[[#This Row],[Target]])/Table1[[#This Row],[Target]]</f>
        <v>-0.10476190476190476</v>
      </c>
      <c r="K690" t="str">
        <f>IF(Table1[[#This Row],[Performance Gap (%)]]&lt;0,"Tidak mencapai target", IF(Table1[[#This Row],[Performance Gap (%)]]=0,"Mencapai target", "Melebihi Target"))</f>
        <v>Tidak mencapai target</v>
      </c>
      <c r="L690">
        <f>VLOOKUP(Table1[[#This Row],[Propinsi]]&amp;"_"&amp;Table1[[#This Row],[Dati 2]]&amp;"_"&amp;Table1[[#This Row],[Tanggal]],Table2[[#All],[Kompetitor area]:[Jumlah Kompetitor]],7,0)</f>
        <v>852</v>
      </c>
      <c r="M690">
        <f>Table1[[#This Row],[Aktual]]-Table1[[#This Row],[Jumlah Kompetitor]]</f>
        <v>-6</v>
      </c>
      <c r="N690" t="str">
        <f>IF(Table1[[#This Row],[vs Kompetitor]]&gt;0,"Win", "Lose")</f>
        <v>Lose</v>
      </c>
    </row>
    <row r="691" spans="1:14" x14ac:dyDescent="0.25">
      <c r="A691">
        <v>690</v>
      </c>
      <c r="B691" t="s">
        <v>5</v>
      </c>
      <c r="C691" t="s">
        <v>122</v>
      </c>
      <c r="D691">
        <v>6</v>
      </c>
      <c r="E691">
        <v>2021</v>
      </c>
      <c r="F691" s="2">
        <f>DATE(Table1[[#This Row],[Tahun]],Table1[[#This Row],[Bulan]],1)</f>
        <v>44348</v>
      </c>
      <c r="G691">
        <v>559</v>
      </c>
      <c r="H691">
        <v>497</v>
      </c>
      <c r="I691" s="6">
        <f>(Table1[[#This Row],[Aktual]]-Table1[[#This Row],[Target]])</f>
        <v>62</v>
      </c>
      <c r="J691" s="3">
        <f>(Table1[[#This Row],[Aktual]]-Table1[[#This Row],[Target]])/Table1[[#This Row],[Target]]</f>
        <v>0.12474849094567404</v>
      </c>
      <c r="K691" t="str">
        <f>IF(Table1[[#This Row],[Performance Gap (%)]]&lt;0,"Tidak mencapai target", IF(Table1[[#This Row],[Performance Gap (%)]]=0,"Mencapai target", "Melebihi Target"))</f>
        <v>Melebihi Target</v>
      </c>
      <c r="L691">
        <f>VLOOKUP(Table1[[#This Row],[Propinsi]]&amp;"_"&amp;Table1[[#This Row],[Dati 2]]&amp;"_"&amp;Table1[[#This Row],[Tanggal]],Table2[[#All],[Kompetitor area]:[Jumlah Kompetitor]],7,0)</f>
        <v>492</v>
      </c>
      <c r="M691">
        <f>Table1[[#This Row],[Aktual]]-Table1[[#This Row],[Jumlah Kompetitor]]</f>
        <v>67</v>
      </c>
      <c r="N691" t="str">
        <f>IF(Table1[[#This Row],[vs Kompetitor]]&gt;0,"Win", "Lose")</f>
        <v>Win</v>
      </c>
    </row>
    <row r="692" spans="1:14" x14ac:dyDescent="0.25">
      <c r="A692">
        <v>691</v>
      </c>
      <c r="B692" t="s">
        <v>5</v>
      </c>
      <c r="C692" t="s">
        <v>123</v>
      </c>
      <c r="D692">
        <v>6</v>
      </c>
      <c r="E692">
        <v>2021</v>
      </c>
      <c r="F692" s="2">
        <f>DATE(Table1[[#This Row],[Tahun]],Table1[[#This Row],[Bulan]],1)</f>
        <v>44348</v>
      </c>
      <c r="G692">
        <v>578</v>
      </c>
      <c r="H692">
        <v>487</v>
      </c>
      <c r="I692" s="6">
        <f>(Table1[[#This Row],[Aktual]]-Table1[[#This Row],[Target]])</f>
        <v>91</v>
      </c>
      <c r="J692" s="3">
        <f>(Table1[[#This Row],[Aktual]]-Table1[[#This Row],[Target]])/Table1[[#This Row],[Target]]</f>
        <v>0.18685831622176591</v>
      </c>
      <c r="K692" t="str">
        <f>IF(Table1[[#This Row],[Performance Gap (%)]]&lt;0,"Tidak mencapai target", IF(Table1[[#This Row],[Performance Gap (%)]]=0,"Mencapai target", "Melebihi Target"))</f>
        <v>Melebihi Target</v>
      </c>
      <c r="L692">
        <f>VLOOKUP(Table1[[#This Row],[Propinsi]]&amp;"_"&amp;Table1[[#This Row],[Dati 2]]&amp;"_"&amp;Table1[[#This Row],[Tanggal]],Table2[[#All],[Kompetitor area]:[Jumlah Kompetitor]],7,0)</f>
        <v>506</v>
      </c>
      <c r="M692">
        <f>Table1[[#This Row],[Aktual]]-Table1[[#This Row],[Jumlah Kompetitor]]</f>
        <v>72</v>
      </c>
      <c r="N692" t="str">
        <f>IF(Table1[[#This Row],[vs Kompetitor]]&gt;0,"Win", "Lose")</f>
        <v>Win</v>
      </c>
    </row>
    <row r="693" spans="1:14" x14ac:dyDescent="0.25">
      <c r="A693">
        <v>692</v>
      </c>
      <c r="B693" t="s">
        <v>5</v>
      </c>
      <c r="C693" t="s">
        <v>124</v>
      </c>
      <c r="D693">
        <v>6</v>
      </c>
      <c r="E693">
        <v>2021</v>
      </c>
      <c r="F693" s="2">
        <f>DATE(Table1[[#This Row],[Tahun]],Table1[[#This Row],[Bulan]],1)</f>
        <v>44348</v>
      </c>
      <c r="G693">
        <v>661</v>
      </c>
      <c r="H693">
        <v>587</v>
      </c>
      <c r="I693" s="6">
        <f>(Table1[[#This Row],[Aktual]]-Table1[[#This Row],[Target]])</f>
        <v>74</v>
      </c>
      <c r="J693" s="3">
        <f>(Table1[[#This Row],[Aktual]]-Table1[[#This Row],[Target]])/Table1[[#This Row],[Target]]</f>
        <v>0.12606473594548551</v>
      </c>
      <c r="K693" t="str">
        <f>IF(Table1[[#This Row],[Performance Gap (%)]]&lt;0,"Tidak mencapai target", IF(Table1[[#This Row],[Performance Gap (%)]]=0,"Mencapai target", "Melebihi Target"))</f>
        <v>Melebihi Target</v>
      </c>
      <c r="L693">
        <f>VLOOKUP(Table1[[#This Row],[Propinsi]]&amp;"_"&amp;Table1[[#This Row],[Dati 2]]&amp;"_"&amp;Table1[[#This Row],[Tanggal]],Table2[[#All],[Kompetitor area]:[Jumlah Kompetitor]],7,0)</f>
        <v>580</v>
      </c>
      <c r="M693">
        <f>Table1[[#This Row],[Aktual]]-Table1[[#This Row],[Jumlah Kompetitor]]</f>
        <v>81</v>
      </c>
      <c r="N693" t="str">
        <f>IF(Table1[[#This Row],[vs Kompetitor]]&gt;0,"Win", "Lose")</f>
        <v>Win</v>
      </c>
    </row>
    <row r="694" spans="1:14" x14ac:dyDescent="0.25">
      <c r="A694">
        <v>693</v>
      </c>
      <c r="B694" t="s">
        <v>5</v>
      </c>
      <c r="C694" t="s">
        <v>125</v>
      </c>
      <c r="D694">
        <v>6</v>
      </c>
      <c r="E694">
        <v>2021</v>
      </c>
      <c r="F694" s="2">
        <f>DATE(Table1[[#This Row],[Tahun]],Table1[[#This Row],[Bulan]],1)</f>
        <v>44348</v>
      </c>
      <c r="G694">
        <v>456</v>
      </c>
      <c r="H694">
        <v>391</v>
      </c>
      <c r="I694" s="6">
        <f>(Table1[[#This Row],[Aktual]]-Table1[[#This Row],[Target]])</f>
        <v>65</v>
      </c>
      <c r="J694" s="3">
        <f>(Table1[[#This Row],[Aktual]]-Table1[[#This Row],[Target]])/Table1[[#This Row],[Target]]</f>
        <v>0.16624040920716113</v>
      </c>
      <c r="K694" t="str">
        <f>IF(Table1[[#This Row],[Performance Gap (%)]]&lt;0,"Tidak mencapai target", IF(Table1[[#This Row],[Performance Gap (%)]]=0,"Mencapai target", "Melebihi Target"))</f>
        <v>Melebihi Target</v>
      </c>
      <c r="L694">
        <f>VLOOKUP(Table1[[#This Row],[Propinsi]]&amp;"_"&amp;Table1[[#This Row],[Dati 2]]&amp;"_"&amp;Table1[[#This Row],[Tanggal]],Table2[[#All],[Kompetitor area]:[Jumlah Kompetitor]],7,0)</f>
        <v>403</v>
      </c>
      <c r="M694">
        <f>Table1[[#This Row],[Aktual]]-Table1[[#This Row],[Jumlah Kompetitor]]</f>
        <v>53</v>
      </c>
      <c r="N694" t="str">
        <f>IF(Table1[[#This Row],[vs Kompetitor]]&gt;0,"Win", "Lose")</f>
        <v>Win</v>
      </c>
    </row>
    <row r="695" spans="1:14" x14ac:dyDescent="0.25">
      <c r="A695">
        <v>694</v>
      </c>
      <c r="B695" t="s">
        <v>7</v>
      </c>
      <c r="C695" t="s">
        <v>126</v>
      </c>
      <c r="D695">
        <v>6</v>
      </c>
      <c r="E695">
        <v>2021</v>
      </c>
      <c r="F695" s="2">
        <f>DATE(Table1[[#This Row],[Tahun]],Table1[[#This Row],[Bulan]],1)</f>
        <v>44348</v>
      </c>
      <c r="G695">
        <v>924</v>
      </c>
      <c r="H695">
        <v>948</v>
      </c>
      <c r="I695" s="6">
        <f>(Table1[[#This Row],[Aktual]]-Table1[[#This Row],[Target]])</f>
        <v>-24</v>
      </c>
      <c r="J695" s="3">
        <f>(Table1[[#This Row],[Aktual]]-Table1[[#This Row],[Target]])/Table1[[#This Row],[Target]]</f>
        <v>-2.5316455696202531E-2</v>
      </c>
      <c r="K695" t="str">
        <f>IF(Table1[[#This Row],[Performance Gap (%)]]&lt;0,"Tidak mencapai target", IF(Table1[[#This Row],[Performance Gap (%)]]=0,"Mencapai target", "Melebihi Target"))</f>
        <v>Tidak mencapai target</v>
      </c>
      <c r="L695">
        <f>VLOOKUP(Table1[[#This Row],[Propinsi]]&amp;"_"&amp;Table1[[#This Row],[Dati 2]]&amp;"_"&amp;Table1[[#This Row],[Tanggal]],Table2[[#All],[Kompetitor area]:[Jumlah Kompetitor]],7,0)</f>
        <v>952</v>
      </c>
      <c r="M695">
        <f>Table1[[#This Row],[Aktual]]-Table1[[#This Row],[Jumlah Kompetitor]]</f>
        <v>-28</v>
      </c>
      <c r="N695" t="str">
        <f>IF(Table1[[#This Row],[vs Kompetitor]]&gt;0,"Win", "Lose")</f>
        <v>Lose</v>
      </c>
    </row>
    <row r="696" spans="1:14" x14ac:dyDescent="0.25">
      <c r="A696">
        <v>695</v>
      </c>
      <c r="B696" t="s">
        <v>7</v>
      </c>
      <c r="C696" t="s">
        <v>127</v>
      </c>
      <c r="D696">
        <v>6</v>
      </c>
      <c r="E696">
        <v>2021</v>
      </c>
      <c r="F696" s="2">
        <f>DATE(Table1[[#This Row],[Tahun]],Table1[[#This Row],[Bulan]],1)</f>
        <v>44348</v>
      </c>
      <c r="G696">
        <v>685</v>
      </c>
      <c r="H696">
        <v>598</v>
      </c>
      <c r="I696" s="6">
        <f>(Table1[[#This Row],[Aktual]]-Table1[[#This Row],[Target]])</f>
        <v>87</v>
      </c>
      <c r="J696" s="3">
        <f>(Table1[[#This Row],[Aktual]]-Table1[[#This Row],[Target]])/Table1[[#This Row],[Target]]</f>
        <v>0.14548494983277591</v>
      </c>
      <c r="K696" t="str">
        <f>IF(Table1[[#This Row],[Performance Gap (%)]]&lt;0,"Tidak mencapai target", IF(Table1[[#This Row],[Performance Gap (%)]]=0,"Mencapai target", "Melebihi Target"))</f>
        <v>Melebihi Target</v>
      </c>
      <c r="L696">
        <f>VLOOKUP(Table1[[#This Row],[Propinsi]]&amp;"_"&amp;Table1[[#This Row],[Dati 2]]&amp;"_"&amp;Table1[[#This Row],[Tanggal]],Table2[[#All],[Kompetitor area]:[Jumlah Kompetitor]],7,0)</f>
        <v>613</v>
      </c>
      <c r="M696">
        <f>Table1[[#This Row],[Aktual]]-Table1[[#This Row],[Jumlah Kompetitor]]</f>
        <v>72</v>
      </c>
      <c r="N696" t="str">
        <f>IF(Table1[[#This Row],[vs Kompetitor]]&gt;0,"Win", "Lose")</f>
        <v>Win</v>
      </c>
    </row>
    <row r="697" spans="1:14" x14ac:dyDescent="0.25">
      <c r="A697">
        <v>696</v>
      </c>
      <c r="B697" t="s">
        <v>7</v>
      </c>
      <c r="C697" t="s">
        <v>128</v>
      </c>
      <c r="D697">
        <v>6</v>
      </c>
      <c r="E697">
        <v>2021</v>
      </c>
      <c r="F697" s="2">
        <f>DATE(Table1[[#This Row],[Tahun]],Table1[[#This Row],[Bulan]],1)</f>
        <v>44348</v>
      </c>
      <c r="G697">
        <v>475</v>
      </c>
      <c r="H697">
        <v>416</v>
      </c>
      <c r="I697" s="6">
        <f>(Table1[[#This Row],[Aktual]]-Table1[[#This Row],[Target]])</f>
        <v>59</v>
      </c>
      <c r="J697" s="3">
        <f>(Table1[[#This Row],[Aktual]]-Table1[[#This Row],[Target]])/Table1[[#This Row],[Target]]</f>
        <v>0.14182692307692307</v>
      </c>
      <c r="K697" t="str">
        <f>IF(Table1[[#This Row],[Performance Gap (%)]]&lt;0,"Tidak mencapai target", IF(Table1[[#This Row],[Performance Gap (%)]]=0,"Mencapai target", "Melebihi Target"))</f>
        <v>Melebihi Target</v>
      </c>
      <c r="L697">
        <f>VLOOKUP(Table1[[#This Row],[Propinsi]]&amp;"_"&amp;Table1[[#This Row],[Dati 2]]&amp;"_"&amp;Table1[[#This Row],[Tanggal]],Table2[[#All],[Kompetitor area]:[Jumlah Kompetitor]],7,0)</f>
        <v>440</v>
      </c>
      <c r="M697">
        <f>Table1[[#This Row],[Aktual]]-Table1[[#This Row],[Jumlah Kompetitor]]</f>
        <v>35</v>
      </c>
      <c r="N697" t="str">
        <f>IF(Table1[[#This Row],[vs Kompetitor]]&gt;0,"Win", "Lose")</f>
        <v>Win</v>
      </c>
    </row>
    <row r="698" spans="1:14" x14ac:dyDescent="0.25">
      <c r="A698">
        <v>697</v>
      </c>
      <c r="B698" t="s">
        <v>7</v>
      </c>
      <c r="C698" t="s">
        <v>129</v>
      </c>
      <c r="D698">
        <v>6</v>
      </c>
      <c r="E698">
        <v>2021</v>
      </c>
      <c r="F698" s="2">
        <f>DATE(Table1[[#This Row],[Tahun]],Table1[[#This Row],[Bulan]],1)</f>
        <v>44348</v>
      </c>
      <c r="G698">
        <v>243</v>
      </c>
      <c r="H698">
        <v>241</v>
      </c>
      <c r="I698" s="6">
        <f>(Table1[[#This Row],[Aktual]]-Table1[[#This Row],[Target]])</f>
        <v>2</v>
      </c>
      <c r="J698" s="3">
        <f>(Table1[[#This Row],[Aktual]]-Table1[[#This Row],[Target]])/Table1[[#This Row],[Target]]</f>
        <v>8.2987551867219917E-3</v>
      </c>
      <c r="K698" t="str">
        <f>IF(Table1[[#This Row],[Performance Gap (%)]]&lt;0,"Tidak mencapai target", IF(Table1[[#This Row],[Performance Gap (%)]]=0,"Mencapai target", "Melebihi Target"))</f>
        <v>Melebihi Target</v>
      </c>
      <c r="L698">
        <f>VLOOKUP(Table1[[#This Row],[Propinsi]]&amp;"_"&amp;Table1[[#This Row],[Dati 2]]&amp;"_"&amp;Table1[[#This Row],[Tanggal]],Table2[[#All],[Kompetitor area]:[Jumlah Kompetitor]],7,0)</f>
        <v>244</v>
      </c>
      <c r="M698">
        <f>Table1[[#This Row],[Aktual]]-Table1[[#This Row],[Jumlah Kompetitor]]</f>
        <v>-1</v>
      </c>
      <c r="N698" t="str">
        <f>IF(Table1[[#This Row],[vs Kompetitor]]&gt;0,"Win", "Lose")</f>
        <v>Lose</v>
      </c>
    </row>
    <row r="699" spans="1:14" x14ac:dyDescent="0.25">
      <c r="A699">
        <v>698</v>
      </c>
      <c r="B699" t="s">
        <v>7</v>
      </c>
      <c r="C699" t="s">
        <v>130</v>
      </c>
      <c r="D699">
        <v>6</v>
      </c>
      <c r="E699">
        <v>2021</v>
      </c>
      <c r="F699" s="2">
        <f>DATE(Table1[[#This Row],[Tahun]],Table1[[#This Row],[Bulan]],1)</f>
        <v>44348</v>
      </c>
      <c r="G699">
        <v>139</v>
      </c>
      <c r="H699">
        <v>152</v>
      </c>
      <c r="I699" s="6">
        <f>(Table1[[#This Row],[Aktual]]-Table1[[#This Row],[Target]])</f>
        <v>-13</v>
      </c>
      <c r="J699" s="3">
        <f>(Table1[[#This Row],[Aktual]]-Table1[[#This Row],[Target]])/Table1[[#This Row],[Target]]</f>
        <v>-8.5526315789473686E-2</v>
      </c>
      <c r="K699" t="str">
        <f>IF(Table1[[#This Row],[Performance Gap (%)]]&lt;0,"Tidak mencapai target", IF(Table1[[#This Row],[Performance Gap (%)]]=0,"Mencapai target", "Melebihi Target"))</f>
        <v>Tidak mencapai target</v>
      </c>
      <c r="L699">
        <f>VLOOKUP(Table1[[#This Row],[Propinsi]]&amp;"_"&amp;Table1[[#This Row],[Dati 2]]&amp;"_"&amp;Table1[[#This Row],[Tanggal]],Table2[[#All],[Kompetitor area]:[Jumlah Kompetitor]],7,0)</f>
        <v>158</v>
      </c>
      <c r="M699">
        <f>Table1[[#This Row],[Aktual]]-Table1[[#This Row],[Jumlah Kompetitor]]</f>
        <v>-19</v>
      </c>
      <c r="N699" t="str">
        <f>IF(Table1[[#This Row],[vs Kompetitor]]&gt;0,"Win", "Lose")</f>
        <v>Lose</v>
      </c>
    </row>
    <row r="700" spans="1:14" x14ac:dyDescent="0.25">
      <c r="A700">
        <v>699</v>
      </c>
      <c r="B700" t="s">
        <v>7</v>
      </c>
      <c r="C700" t="s">
        <v>131</v>
      </c>
      <c r="D700">
        <v>6</v>
      </c>
      <c r="E700">
        <v>2021</v>
      </c>
      <c r="F700" s="2">
        <f>DATE(Table1[[#This Row],[Tahun]],Table1[[#This Row],[Bulan]],1)</f>
        <v>44348</v>
      </c>
      <c r="G700">
        <v>158</v>
      </c>
      <c r="H700">
        <v>152</v>
      </c>
      <c r="I700" s="6">
        <f>(Table1[[#This Row],[Aktual]]-Table1[[#This Row],[Target]])</f>
        <v>6</v>
      </c>
      <c r="J700" s="3">
        <f>(Table1[[#This Row],[Aktual]]-Table1[[#This Row],[Target]])/Table1[[#This Row],[Target]]</f>
        <v>3.9473684210526314E-2</v>
      </c>
      <c r="K700" t="str">
        <f>IF(Table1[[#This Row],[Performance Gap (%)]]&lt;0,"Tidak mencapai target", IF(Table1[[#This Row],[Performance Gap (%)]]=0,"Mencapai target", "Melebihi Target"))</f>
        <v>Melebihi Target</v>
      </c>
      <c r="L700">
        <f>VLOOKUP(Table1[[#This Row],[Propinsi]]&amp;"_"&amp;Table1[[#This Row],[Dati 2]]&amp;"_"&amp;Table1[[#This Row],[Tanggal]],Table2[[#All],[Kompetitor area]:[Jumlah Kompetitor]],7,0)</f>
        <v>143</v>
      </c>
      <c r="M700">
        <f>Table1[[#This Row],[Aktual]]-Table1[[#This Row],[Jumlah Kompetitor]]</f>
        <v>15</v>
      </c>
      <c r="N700" t="str">
        <f>IF(Table1[[#This Row],[vs Kompetitor]]&gt;0,"Win", "Lose")</f>
        <v>Win</v>
      </c>
    </row>
    <row r="701" spans="1:14" x14ac:dyDescent="0.25">
      <c r="A701">
        <v>700</v>
      </c>
      <c r="B701" t="s">
        <v>7</v>
      </c>
      <c r="C701" t="s">
        <v>132</v>
      </c>
      <c r="D701">
        <v>6</v>
      </c>
      <c r="E701">
        <v>2021</v>
      </c>
      <c r="F701" s="2">
        <f>DATE(Table1[[#This Row],[Tahun]],Table1[[#This Row],[Bulan]],1)</f>
        <v>44348</v>
      </c>
      <c r="G701">
        <v>214</v>
      </c>
      <c r="H701">
        <v>174</v>
      </c>
      <c r="I701" s="6">
        <f>(Table1[[#This Row],[Aktual]]-Table1[[#This Row],[Target]])</f>
        <v>40</v>
      </c>
      <c r="J701" s="3">
        <f>(Table1[[#This Row],[Aktual]]-Table1[[#This Row],[Target]])/Table1[[#This Row],[Target]]</f>
        <v>0.22988505747126436</v>
      </c>
      <c r="K701" t="str">
        <f>IF(Table1[[#This Row],[Performance Gap (%)]]&lt;0,"Tidak mencapai target", IF(Table1[[#This Row],[Performance Gap (%)]]=0,"Mencapai target", "Melebihi Target"))</f>
        <v>Melebihi Target</v>
      </c>
      <c r="L701">
        <f>VLOOKUP(Table1[[#This Row],[Propinsi]]&amp;"_"&amp;Table1[[#This Row],[Dati 2]]&amp;"_"&amp;Table1[[#This Row],[Tanggal]],Table2[[#All],[Kompetitor area]:[Jumlah Kompetitor]],7,0)</f>
        <v>206</v>
      </c>
      <c r="M701">
        <f>Table1[[#This Row],[Aktual]]-Table1[[#This Row],[Jumlah Kompetitor]]</f>
        <v>8</v>
      </c>
      <c r="N701" t="str">
        <f>IF(Table1[[#This Row],[vs Kompetitor]]&gt;0,"Win", "Lose")</f>
        <v>Win</v>
      </c>
    </row>
    <row r="702" spans="1:14" x14ac:dyDescent="0.25">
      <c r="A702">
        <v>701</v>
      </c>
      <c r="B702" t="s">
        <v>7</v>
      </c>
      <c r="C702" t="s">
        <v>133</v>
      </c>
      <c r="D702">
        <v>6</v>
      </c>
      <c r="E702">
        <v>2021</v>
      </c>
      <c r="F702" s="2">
        <f>DATE(Table1[[#This Row],[Tahun]],Table1[[#This Row],[Bulan]],1)</f>
        <v>44348</v>
      </c>
      <c r="G702">
        <v>241</v>
      </c>
      <c r="H702">
        <v>184</v>
      </c>
      <c r="I702" s="6">
        <f>(Table1[[#This Row],[Aktual]]-Table1[[#This Row],[Target]])</f>
        <v>57</v>
      </c>
      <c r="J702" s="3">
        <f>(Table1[[#This Row],[Aktual]]-Table1[[#This Row],[Target]])/Table1[[#This Row],[Target]]</f>
        <v>0.30978260869565216</v>
      </c>
      <c r="K702" t="str">
        <f>IF(Table1[[#This Row],[Performance Gap (%)]]&lt;0,"Tidak mencapai target", IF(Table1[[#This Row],[Performance Gap (%)]]=0,"Mencapai target", "Melebihi Target"))</f>
        <v>Melebihi Target</v>
      </c>
      <c r="L702">
        <f>VLOOKUP(Table1[[#This Row],[Propinsi]]&amp;"_"&amp;Table1[[#This Row],[Dati 2]]&amp;"_"&amp;Table1[[#This Row],[Tanggal]],Table2[[#All],[Kompetitor area]:[Jumlah Kompetitor]],7,0)</f>
        <v>193</v>
      </c>
      <c r="M702">
        <f>Table1[[#This Row],[Aktual]]-Table1[[#This Row],[Jumlah Kompetitor]]</f>
        <v>48</v>
      </c>
      <c r="N702" t="str">
        <f>IF(Table1[[#This Row],[vs Kompetitor]]&gt;0,"Win", "Lose")</f>
        <v>Win</v>
      </c>
    </row>
    <row r="703" spans="1:14" x14ac:dyDescent="0.25">
      <c r="A703">
        <v>702</v>
      </c>
      <c r="B703" t="s">
        <v>7</v>
      </c>
      <c r="C703" t="s">
        <v>134</v>
      </c>
      <c r="D703">
        <v>6</v>
      </c>
      <c r="E703">
        <v>2021</v>
      </c>
      <c r="F703" s="2">
        <f>DATE(Table1[[#This Row],[Tahun]],Table1[[#This Row],[Bulan]],1)</f>
        <v>44348</v>
      </c>
      <c r="G703">
        <v>92</v>
      </c>
      <c r="H703">
        <v>100</v>
      </c>
      <c r="I703" s="6">
        <f>(Table1[[#This Row],[Aktual]]-Table1[[#This Row],[Target]])</f>
        <v>-8</v>
      </c>
      <c r="J703" s="3">
        <f>(Table1[[#This Row],[Aktual]]-Table1[[#This Row],[Target]])/Table1[[#This Row],[Target]]</f>
        <v>-0.08</v>
      </c>
      <c r="K703" t="str">
        <f>IF(Table1[[#This Row],[Performance Gap (%)]]&lt;0,"Tidak mencapai target", IF(Table1[[#This Row],[Performance Gap (%)]]=0,"Mencapai target", "Melebihi Target"))</f>
        <v>Tidak mencapai target</v>
      </c>
      <c r="L703">
        <f>VLOOKUP(Table1[[#This Row],[Propinsi]]&amp;"_"&amp;Table1[[#This Row],[Dati 2]]&amp;"_"&amp;Table1[[#This Row],[Tanggal]],Table2[[#All],[Kompetitor area]:[Jumlah Kompetitor]],7,0)</f>
        <v>106</v>
      </c>
      <c r="M703">
        <f>Table1[[#This Row],[Aktual]]-Table1[[#This Row],[Jumlah Kompetitor]]</f>
        <v>-14</v>
      </c>
      <c r="N703" t="str">
        <f>IF(Table1[[#This Row],[vs Kompetitor]]&gt;0,"Win", "Lose")</f>
        <v>Lose</v>
      </c>
    </row>
    <row r="704" spans="1:14" x14ac:dyDescent="0.25">
      <c r="A704">
        <v>703</v>
      </c>
      <c r="B704" t="s">
        <v>7</v>
      </c>
      <c r="C704" t="s">
        <v>135</v>
      </c>
      <c r="D704">
        <v>6</v>
      </c>
      <c r="E704">
        <v>2021</v>
      </c>
      <c r="F704" s="2">
        <f>DATE(Table1[[#This Row],[Tahun]],Table1[[#This Row],[Bulan]],1)</f>
        <v>44348</v>
      </c>
      <c r="G704">
        <v>330</v>
      </c>
      <c r="H704">
        <v>271</v>
      </c>
      <c r="I704" s="6">
        <f>(Table1[[#This Row],[Aktual]]-Table1[[#This Row],[Target]])</f>
        <v>59</v>
      </c>
      <c r="J704" s="3">
        <f>(Table1[[#This Row],[Aktual]]-Table1[[#This Row],[Target]])/Table1[[#This Row],[Target]]</f>
        <v>0.21771217712177121</v>
      </c>
      <c r="K704" t="str">
        <f>IF(Table1[[#This Row],[Performance Gap (%)]]&lt;0,"Tidak mencapai target", IF(Table1[[#This Row],[Performance Gap (%)]]=0,"Mencapai target", "Melebihi Target"))</f>
        <v>Melebihi Target</v>
      </c>
      <c r="L704">
        <f>VLOOKUP(Table1[[#This Row],[Propinsi]]&amp;"_"&amp;Table1[[#This Row],[Dati 2]]&amp;"_"&amp;Table1[[#This Row],[Tanggal]],Table2[[#All],[Kompetitor area]:[Jumlah Kompetitor]],7,0)</f>
        <v>285</v>
      </c>
      <c r="M704">
        <f>Table1[[#This Row],[Aktual]]-Table1[[#This Row],[Jumlah Kompetitor]]</f>
        <v>45</v>
      </c>
      <c r="N704" t="str">
        <f>IF(Table1[[#This Row],[vs Kompetitor]]&gt;0,"Win", "Lose")</f>
        <v>Win</v>
      </c>
    </row>
    <row r="705" spans="1:14" x14ac:dyDescent="0.25">
      <c r="A705">
        <v>704</v>
      </c>
      <c r="B705" t="s">
        <v>7</v>
      </c>
      <c r="C705" t="s">
        <v>136</v>
      </c>
      <c r="D705">
        <v>6</v>
      </c>
      <c r="E705">
        <v>2021</v>
      </c>
      <c r="F705" s="2">
        <f>DATE(Table1[[#This Row],[Tahun]],Table1[[#This Row],[Bulan]],1)</f>
        <v>44348</v>
      </c>
      <c r="G705">
        <v>140</v>
      </c>
      <c r="H705">
        <v>120</v>
      </c>
      <c r="I705" s="6">
        <f>(Table1[[#This Row],[Aktual]]-Table1[[#This Row],[Target]])</f>
        <v>20</v>
      </c>
      <c r="J705" s="3">
        <f>(Table1[[#This Row],[Aktual]]-Table1[[#This Row],[Target]])/Table1[[#This Row],[Target]]</f>
        <v>0.16666666666666666</v>
      </c>
      <c r="K705" t="str">
        <f>IF(Table1[[#This Row],[Performance Gap (%)]]&lt;0,"Tidak mencapai target", IF(Table1[[#This Row],[Performance Gap (%)]]=0,"Mencapai target", "Melebihi Target"))</f>
        <v>Melebihi Target</v>
      </c>
      <c r="L705">
        <f>VLOOKUP(Table1[[#This Row],[Propinsi]]&amp;"_"&amp;Table1[[#This Row],[Dati 2]]&amp;"_"&amp;Table1[[#This Row],[Tanggal]],Table2[[#All],[Kompetitor area]:[Jumlah Kompetitor]],7,0)</f>
        <v>145</v>
      </c>
      <c r="M705">
        <f>Table1[[#This Row],[Aktual]]-Table1[[#This Row],[Jumlah Kompetitor]]</f>
        <v>-5</v>
      </c>
      <c r="N705" t="str">
        <f>IF(Table1[[#This Row],[vs Kompetitor]]&gt;0,"Win", "Lose")</f>
        <v>Lose</v>
      </c>
    </row>
    <row r="706" spans="1:14" x14ac:dyDescent="0.25">
      <c r="A706">
        <v>705</v>
      </c>
      <c r="B706" t="s">
        <v>7</v>
      </c>
      <c r="C706" t="s">
        <v>137</v>
      </c>
      <c r="D706">
        <v>6</v>
      </c>
      <c r="E706">
        <v>2021</v>
      </c>
      <c r="F706" s="2">
        <f>DATE(Table1[[#This Row],[Tahun]],Table1[[#This Row],[Bulan]],1)</f>
        <v>44348</v>
      </c>
      <c r="G706">
        <v>96</v>
      </c>
      <c r="H706">
        <v>79</v>
      </c>
      <c r="I706" s="6">
        <f>(Table1[[#This Row],[Aktual]]-Table1[[#This Row],[Target]])</f>
        <v>17</v>
      </c>
      <c r="J706" s="3">
        <f>(Table1[[#This Row],[Aktual]]-Table1[[#This Row],[Target]])/Table1[[#This Row],[Target]]</f>
        <v>0.21518987341772153</v>
      </c>
      <c r="K706" t="str">
        <f>IF(Table1[[#This Row],[Performance Gap (%)]]&lt;0,"Tidak mencapai target", IF(Table1[[#This Row],[Performance Gap (%)]]=0,"Mencapai target", "Melebihi Target"))</f>
        <v>Melebihi Target</v>
      </c>
      <c r="L706">
        <f>VLOOKUP(Table1[[#This Row],[Propinsi]]&amp;"_"&amp;Table1[[#This Row],[Dati 2]]&amp;"_"&amp;Table1[[#This Row],[Tanggal]],Table2[[#All],[Kompetitor area]:[Jumlah Kompetitor]],7,0)</f>
        <v>94</v>
      </c>
      <c r="M706">
        <f>Table1[[#This Row],[Aktual]]-Table1[[#This Row],[Jumlah Kompetitor]]</f>
        <v>2</v>
      </c>
      <c r="N706" t="str">
        <f>IF(Table1[[#This Row],[vs Kompetitor]]&gt;0,"Win", "Lose")</f>
        <v>Win</v>
      </c>
    </row>
    <row r="707" spans="1:14" x14ac:dyDescent="0.25">
      <c r="A707">
        <v>706</v>
      </c>
      <c r="B707" t="s">
        <v>7</v>
      </c>
      <c r="C707" t="s">
        <v>138</v>
      </c>
      <c r="D707">
        <v>6</v>
      </c>
      <c r="E707">
        <v>2021</v>
      </c>
      <c r="F707" s="2">
        <f>DATE(Table1[[#This Row],[Tahun]],Table1[[#This Row],[Bulan]],1)</f>
        <v>44348</v>
      </c>
      <c r="G707">
        <v>192</v>
      </c>
      <c r="H707">
        <v>148</v>
      </c>
      <c r="I707" s="6">
        <f>(Table1[[#This Row],[Aktual]]-Table1[[#This Row],[Target]])</f>
        <v>44</v>
      </c>
      <c r="J707" s="3">
        <f>(Table1[[#This Row],[Aktual]]-Table1[[#This Row],[Target]])/Table1[[#This Row],[Target]]</f>
        <v>0.29729729729729731</v>
      </c>
      <c r="K707" t="str">
        <f>IF(Table1[[#This Row],[Performance Gap (%)]]&lt;0,"Tidak mencapai target", IF(Table1[[#This Row],[Performance Gap (%)]]=0,"Mencapai target", "Melebihi Target"))</f>
        <v>Melebihi Target</v>
      </c>
      <c r="L707">
        <f>VLOOKUP(Table1[[#This Row],[Propinsi]]&amp;"_"&amp;Table1[[#This Row],[Dati 2]]&amp;"_"&amp;Table1[[#This Row],[Tanggal]],Table2[[#All],[Kompetitor area]:[Jumlah Kompetitor]],7,0)</f>
        <v>175</v>
      </c>
      <c r="M707">
        <f>Table1[[#This Row],[Aktual]]-Table1[[#This Row],[Jumlah Kompetitor]]</f>
        <v>17</v>
      </c>
      <c r="N707" t="str">
        <f>IF(Table1[[#This Row],[vs Kompetitor]]&gt;0,"Win", "Lose")</f>
        <v>Win</v>
      </c>
    </row>
    <row r="708" spans="1:14" x14ac:dyDescent="0.25">
      <c r="A708">
        <v>707</v>
      </c>
      <c r="B708" t="s">
        <v>7</v>
      </c>
      <c r="C708" t="s">
        <v>139</v>
      </c>
      <c r="D708">
        <v>6</v>
      </c>
      <c r="E708">
        <v>2021</v>
      </c>
      <c r="F708" s="2">
        <f>DATE(Table1[[#This Row],[Tahun]],Table1[[#This Row],[Bulan]],1)</f>
        <v>44348</v>
      </c>
      <c r="G708">
        <v>224</v>
      </c>
      <c r="H708">
        <v>233</v>
      </c>
      <c r="I708" s="6">
        <f>(Table1[[#This Row],[Aktual]]-Table1[[#This Row],[Target]])</f>
        <v>-9</v>
      </c>
      <c r="J708" s="3">
        <f>(Table1[[#This Row],[Aktual]]-Table1[[#This Row],[Target]])/Table1[[#This Row],[Target]]</f>
        <v>-3.8626609442060089E-2</v>
      </c>
      <c r="K708" t="str">
        <f>IF(Table1[[#This Row],[Performance Gap (%)]]&lt;0,"Tidak mencapai target", IF(Table1[[#This Row],[Performance Gap (%)]]=0,"Mencapai target", "Melebihi Target"))</f>
        <v>Tidak mencapai target</v>
      </c>
      <c r="L708">
        <f>VLOOKUP(Table1[[#This Row],[Propinsi]]&amp;"_"&amp;Table1[[#This Row],[Dati 2]]&amp;"_"&amp;Table1[[#This Row],[Tanggal]],Table2[[#All],[Kompetitor area]:[Jumlah Kompetitor]],7,0)</f>
        <v>226</v>
      </c>
      <c r="M708">
        <f>Table1[[#This Row],[Aktual]]-Table1[[#This Row],[Jumlah Kompetitor]]</f>
        <v>-2</v>
      </c>
      <c r="N708" t="str">
        <f>IF(Table1[[#This Row],[vs Kompetitor]]&gt;0,"Win", "Lose")</f>
        <v>Lose</v>
      </c>
    </row>
    <row r="709" spans="1:14" x14ac:dyDescent="0.25">
      <c r="A709">
        <v>708</v>
      </c>
      <c r="B709" t="s">
        <v>7</v>
      </c>
      <c r="C709" t="s">
        <v>140</v>
      </c>
      <c r="D709">
        <v>6</v>
      </c>
      <c r="E709">
        <v>2021</v>
      </c>
      <c r="F709" s="2">
        <f>DATE(Table1[[#This Row],[Tahun]],Table1[[#This Row],[Bulan]],1)</f>
        <v>44348</v>
      </c>
      <c r="G709">
        <v>211</v>
      </c>
      <c r="H709">
        <v>166</v>
      </c>
      <c r="I709" s="6">
        <f>(Table1[[#This Row],[Aktual]]-Table1[[#This Row],[Target]])</f>
        <v>45</v>
      </c>
      <c r="J709" s="3">
        <f>(Table1[[#This Row],[Aktual]]-Table1[[#This Row],[Target]])/Table1[[#This Row],[Target]]</f>
        <v>0.27108433734939757</v>
      </c>
      <c r="K709" t="str">
        <f>IF(Table1[[#This Row],[Performance Gap (%)]]&lt;0,"Tidak mencapai target", IF(Table1[[#This Row],[Performance Gap (%)]]=0,"Mencapai target", "Melebihi Target"))</f>
        <v>Melebihi Target</v>
      </c>
      <c r="L709">
        <f>VLOOKUP(Table1[[#This Row],[Propinsi]]&amp;"_"&amp;Table1[[#This Row],[Dati 2]]&amp;"_"&amp;Table1[[#This Row],[Tanggal]],Table2[[#All],[Kompetitor area]:[Jumlah Kompetitor]],7,0)</f>
        <v>190</v>
      </c>
      <c r="M709">
        <f>Table1[[#This Row],[Aktual]]-Table1[[#This Row],[Jumlah Kompetitor]]</f>
        <v>21</v>
      </c>
      <c r="N709" t="str">
        <f>IF(Table1[[#This Row],[vs Kompetitor]]&gt;0,"Win", "Lose")</f>
        <v>Win</v>
      </c>
    </row>
    <row r="710" spans="1:14" x14ac:dyDescent="0.25">
      <c r="A710">
        <v>709</v>
      </c>
      <c r="B710" t="s">
        <v>7</v>
      </c>
      <c r="C710" t="s">
        <v>141</v>
      </c>
      <c r="D710">
        <v>6</v>
      </c>
      <c r="E710">
        <v>2021</v>
      </c>
      <c r="F710" s="2">
        <f>DATE(Table1[[#This Row],[Tahun]],Table1[[#This Row],[Bulan]],1)</f>
        <v>44348</v>
      </c>
      <c r="G710">
        <v>124</v>
      </c>
      <c r="H710">
        <v>126</v>
      </c>
      <c r="I710" s="6">
        <f>(Table1[[#This Row],[Aktual]]-Table1[[#This Row],[Target]])</f>
        <v>-2</v>
      </c>
      <c r="J710" s="3">
        <f>(Table1[[#This Row],[Aktual]]-Table1[[#This Row],[Target]])/Table1[[#This Row],[Target]]</f>
        <v>-1.5873015873015872E-2</v>
      </c>
      <c r="K710" t="str">
        <f>IF(Table1[[#This Row],[Performance Gap (%)]]&lt;0,"Tidak mencapai target", IF(Table1[[#This Row],[Performance Gap (%)]]=0,"Mencapai target", "Melebihi Target"))</f>
        <v>Tidak mencapai target</v>
      </c>
      <c r="L710">
        <f>VLOOKUP(Table1[[#This Row],[Propinsi]]&amp;"_"&amp;Table1[[#This Row],[Dati 2]]&amp;"_"&amp;Table1[[#This Row],[Tanggal]],Table2[[#All],[Kompetitor area]:[Jumlah Kompetitor]],7,0)</f>
        <v>129</v>
      </c>
      <c r="M710">
        <f>Table1[[#This Row],[Aktual]]-Table1[[#This Row],[Jumlah Kompetitor]]</f>
        <v>-5</v>
      </c>
      <c r="N710" t="str">
        <f>IF(Table1[[#This Row],[vs Kompetitor]]&gt;0,"Win", "Lose")</f>
        <v>Lose</v>
      </c>
    </row>
    <row r="711" spans="1:14" x14ac:dyDescent="0.25">
      <c r="A711">
        <v>710</v>
      </c>
      <c r="B711" t="s">
        <v>7</v>
      </c>
      <c r="C711" t="s">
        <v>142</v>
      </c>
      <c r="D711">
        <v>6</v>
      </c>
      <c r="E711">
        <v>2021</v>
      </c>
      <c r="F711" s="2">
        <f>DATE(Table1[[#This Row],[Tahun]],Table1[[#This Row],[Bulan]],1)</f>
        <v>44348</v>
      </c>
      <c r="G711">
        <v>147</v>
      </c>
      <c r="H711">
        <v>143</v>
      </c>
      <c r="I711" s="6">
        <f>(Table1[[#This Row],[Aktual]]-Table1[[#This Row],[Target]])</f>
        <v>4</v>
      </c>
      <c r="J711" s="3">
        <f>(Table1[[#This Row],[Aktual]]-Table1[[#This Row],[Target]])/Table1[[#This Row],[Target]]</f>
        <v>2.7972027972027972E-2</v>
      </c>
      <c r="K711" t="str">
        <f>IF(Table1[[#This Row],[Performance Gap (%)]]&lt;0,"Tidak mencapai target", IF(Table1[[#This Row],[Performance Gap (%)]]=0,"Mencapai target", "Melebihi Target"))</f>
        <v>Melebihi Target</v>
      </c>
      <c r="L711">
        <f>VLOOKUP(Table1[[#This Row],[Propinsi]]&amp;"_"&amp;Table1[[#This Row],[Dati 2]]&amp;"_"&amp;Table1[[#This Row],[Tanggal]],Table2[[#All],[Kompetitor area]:[Jumlah Kompetitor]],7,0)</f>
        <v>145</v>
      </c>
      <c r="M711">
        <f>Table1[[#This Row],[Aktual]]-Table1[[#This Row],[Jumlah Kompetitor]]</f>
        <v>2</v>
      </c>
      <c r="N711" t="str">
        <f>IF(Table1[[#This Row],[vs Kompetitor]]&gt;0,"Win", "Lose")</f>
        <v>Win</v>
      </c>
    </row>
    <row r="712" spans="1:14" x14ac:dyDescent="0.25">
      <c r="A712">
        <v>711</v>
      </c>
      <c r="B712" t="s">
        <v>7</v>
      </c>
      <c r="C712" t="s">
        <v>143</v>
      </c>
      <c r="D712">
        <v>6</v>
      </c>
      <c r="E712">
        <v>2021</v>
      </c>
      <c r="F712" s="2">
        <f>DATE(Table1[[#This Row],[Tahun]],Table1[[#This Row],[Bulan]],1)</f>
        <v>44348</v>
      </c>
      <c r="G712">
        <v>178</v>
      </c>
      <c r="H712">
        <v>167</v>
      </c>
      <c r="I712" s="6">
        <f>(Table1[[#This Row],[Aktual]]-Table1[[#This Row],[Target]])</f>
        <v>11</v>
      </c>
      <c r="J712" s="3">
        <f>(Table1[[#This Row],[Aktual]]-Table1[[#This Row],[Target]])/Table1[[#This Row],[Target]]</f>
        <v>6.5868263473053898E-2</v>
      </c>
      <c r="K712" t="str">
        <f>IF(Table1[[#This Row],[Performance Gap (%)]]&lt;0,"Tidak mencapai target", IF(Table1[[#This Row],[Performance Gap (%)]]=0,"Mencapai target", "Melebihi Target"))</f>
        <v>Melebihi Target</v>
      </c>
      <c r="L712">
        <f>VLOOKUP(Table1[[#This Row],[Propinsi]]&amp;"_"&amp;Table1[[#This Row],[Dati 2]]&amp;"_"&amp;Table1[[#This Row],[Tanggal]],Table2[[#All],[Kompetitor area]:[Jumlah Kompetitor]],7,0)</f>
        <v>186</v>
      </c>
      <c r="M712">
        <f>Table1[[#This Row],[Aktual]]-Table1[[#This Row],[Jumlah Kompetitor]]</f>
        <v>-8</v>
      </c>
      <c r="N712" t="str">
        <f>IF(Table1[[#This Row],[vs Kompetitor]]&gt;0,"Win", "Lose")</f>
        <v>Lose</v>
      </c>
    </row>
    <row r="713" spans="1:14" x14ac:dyDescent="0.25">
      <c r="A713">
        <v>712</v>
      </c>
      <c r="B713" t="s">
        <v>7</v>
      </c>
      <c r="C713" t="s">
        <v>144</v>
      </c>
      <c r="D713">
        <v>6</v>
      </c>
      <c r="E713">
        <v>2021</v>
      </c>
      <c r="F713" s="2">
        <f>DATE(Table1[[#This Row],[Tahun]],Table1[[#This Row],[Bulan]],1)</f>
        <v>44348</v>
      </c>
      <c r="G713">
        <v>97</v>
      </c>
      <c r="H713">
        <v>99</v>
      </c>
      <c r="I713" s="6">
        <f>(Table1[[#This Row],[Aktual]]-Table1[[#This Row],[Target]])</f>
        <v>-2</v>
      </c>
      <c r="J713" s="3">
        <f>(Table1[[#This Row],[Aktual]]-Table1[[#This Row],[Target]])/Table1[[#This Row],[Target]]</f>
        <v>-2.0202020202020204E-2</v>
      </c>
      <c r="K713" t="str">
        <f>IF(Table1[[#This Row],[Performance Gap (%)]]&lt;0,"Tidak mencapai target", IF(Table1[[#This Row],[Performance Gap (%)]]=0,"Mencapai target", "Melebihi Target"))</f>
        <v>Tidak mencapai target</v>
      </c>
      <c r="L713">
        <f>VLOOKUP(Table1[[#This Row],[Propinsi]]&amp;"_"&amp;Table1[[#This Row],[Dati 2]]&amp;"_"&amp;Table1[[#This Row],[Tanggal]],Table2[[#All],[Kompetitor area]:[Jumlah Kompetitor]],7,0)</f>
        <v>97</v>
      </c>
      <c r="M713">
        <f>Table1[[#This Row],[Aktual]]-Table1[[#This Row],[Jumlah Kompetitor]]</f>
        <v>0</v>
      </c>
      <c r="N713" t="str">
        <f>IF(Table1[[#This Row],[vs Kompetitor]]&gt;0,"Win", "Lose")</f>
        <v>Lose</v>
      </c>
    </row>
    <row r="714" spans="1:14" x14ac:dyDescent="0.25">
      <c r="A714">
        <v>713</v>
      </c>
      <c r="B714" t="s">
        <v>7</v>
      </c>
      <c r="C714" t="s">
        <v>145</v>
      </c>
      <c r="D714">
        <v>6</v>
      </c>
      <c r="E714">
        <v>2021</v>
      </c>
      <c r="F714" s="2">
        <f>DATE(Table1[[#This Row],[Tahun]],Table1[[#This Row],[Bulan]],1)</f>
        <v>44348</v>
      </c>
      <c r="G714">
        <v>101</v>
      </c>
      <c r="H714">
        <v>113</v>
      </c>
      <c r="I714" s="6">
        <f>(Table1[[#This Row],[Aktual]]-Table1[[#This Row],[Target]])</f>
        <v>-12</v>
      </c>
      <c r="J714" s="3">
        <f>(Table1[[#This Row],[Aktual]]-Table1[[#This Row],[Target]])/Table1[[#This Row],[Target]]</f>
        <v>-0.10619469026548672</v>
      </c>
      <c r="K714" t="str">
        <f>IF(Table1[[#This Row],[Performance Gap (%)]]&lt;0,"Tidak mencapai target", IF(Table1[[#This Row],[Performance Gap (%)]]=0,"Mencapai target", "Melebihi Target"))</f>
        <v>Tidak mencapai target</v>
      </c>
      <c r="L714">
        <f>VLOOKUP(Table1[[#This Row],[Propinsi]]&amp;"_"&amp;Table1[[#This Row],[Dati 2]]&amp;"_"&amp;Table1[[#This Row],[Tanggal]],Table2[[#All],[Kompetitor area]:[Jumlah Kompetitor]],7,0)</f>
        <v>119</v>
      </c>
      <c r="M714">
        <f>Table1[[#This Row],[Aktual]]-Table1[[#This Row],[Jumlah Kompetitor]]</f>
        <v>-18</v>
      </c>
      <c r="N714" t="str">
        <f>IF(Table1[[#This Row],[vs Kompetitor]]&gt;0,"Win", "Lose")</f>
        <v>Lose</v>
      </c>
    </row>
    <row r="715" spans="1:14" x14ac:dyDescent="0.25">
      <c r="A715">
        <v>714</v>
      </c>
      <c r="B715" t="s">
        <v>7</v>
      </c>
      <c r="C715" t="s">
        <v>146</v>
      </c>
      <c r="D715">
        <v>6</v>
      </c>
      <c r="E715">
        <v>2021</v>
      </c>
      <c r="F715" s="2">
        <f>DATE(Table1[[#This Row],[Tahun]],Table1[[#This Row],[Bulan]],1)</f>
        <v>44348</v>
      </c>
      <c r="G715">
        <v>251</v>
      </c>
      <c r="H715">
        <v>195</v>
      </c>
      <c r="I715" s="6">
        <f>(Table1[[#This Row],[Aktual]]-Table1[[#This Row],[Target]])</f>
        <v>56</v>
      </c>
      <c r="J715" s="3">
        <f>(Table1[[#This Row],[Aktual]]-Table1[[#This Row],[Target]])/Table1[[#This Row],[Target]]</f>
        <v>0.28717948717948716</v>
      </c>
      <c r="K715" t="str">
        <f>IF(Table1[[#This Row],[Performance Gap (%)]]&lt;0,"Tidak mencapai target", IF(Table1[[#This Row],[Performance Gap (%)]]=0,"Mencapai target", "Melebihi Target"))</f>
        <v>Melebihi Target</v>
      </c>
      <c r="L715">
        <f>VLOOKUP(Table1[[#This Row],[Propinsi]]&amp;"_"&amp;Table1[[#This Row],[Dati 2]]&amp;"_"&amp;Table1[[#This Row],[Tanggal]],Table2[[#All],[Kompetitor area]:[Jumlah Kompetitor]],7,0)</f>
        <v>205</v>
      </c>
      <c r="M715">
        <f>Table1[[#This Row],[Aktual]]-Table1[[#This Row],[Jumlah Kompetitor]]</f>
        <v>46</v>
      </c>
      <c r="N715" t="str">
        <f>IF(Table1[[#This Row],[vs Kompetitor]]&gt;0,"Win", "Lose")</f>
        <v>Win</v>
      </c>
    </row>
    <row r="716" spans="1:14" x14ac:dyDescent="0.25">
      <c r="A716">
        <v>715</v>
      </c>
      <c r="B716" t="s">
        <v>7</v>
      </c>
      <c r="C716" t="s">
        <v>147</v>
      </c>
      <c r="D716">
        <v>6</v>
      </c>
      <c r="E716">
        <v>2021</v>
      </c>
      <c r="F716" s="2">
        <f>DATE(Table1[[#This Row],[Tahun]],Table1[[#This Row],[Bulan]],1)</f>
        <v>44348</v>
      </c>
      <c r="G716">
        <v>116</v>
      </c>
      <c r="H716">
        <v>103</v>
      </c>
      <c r="I716" s="6">
        <f>(Table1[[#This Row],[Aktual]]-Table1[[#This Row],[Target]])</f>
        <v>13</v>
      </c>
      <c r="J716" s="3">
        <f>(Table1[[#This Row],[Aktual]]-Table1[[#This Row],[Target]])/Table1[[#This Row],[Target]]</f>
        <v>0.12621359223300971</v>
      </c>
      <c r="K716" t="str">
        <f>IF(Table1[[#This Row],[Performance Gap (%)]]&lt;0,"Tidak mencapai target", IF(Table1[[#This Row],[Performance Gap (%)]]=0,"Mencapai target", "Melebihi Target"))</f>
        <v>Melebihi Target</v>
      </c>
      <c r="L716">
        <f>VLOOKUP(Table1[[#This Row],[Propinsi]]&amp;"_"&amp;Table1[[#This Row],[Dati 2]]&amp;"_"&amp;Table1[[#This Row],[Tanggal]],Table2[[#All],[Kompetitor area]:[Jumlah Kompetitor]],7,0)</f>
        <v>123</v>
      </c>
      <c r="M716">
        <f>Table1[[#This Row],[Aktual]]-Table1[[#This Row],[Jumlah Kompetitor]]</f>
        <v>-7</v>
      </c>
      <c r="N716" t="str">
        <f>IF(Table1[[#This Row],[vs Kompetitor]]&gt;0,"Win", "Lose")</f>
        <v>Lose</v>
      </c>
    </row>
    <row r="717" spans="1:14" x14ac:dyDescent="0.25">
      <c r="A717">
        <v>716</v>
      </c>
      <c r="B717" t="s">
        <v>7</v>
      </c>
      <c r="C717" t="s">
        <v>148</v>
      </c>
      <c r="D717">
        <v>6</v>
      </c>
      <c r="E717">
        <v>2021</v>
      </c>
      <c r="F717" s="2">
        <f>DATE(Table1[[#This Row],[Tahun]],Table1[[#This Row],[Bulan]],1)</f>
        <v>44348</v>
      </c>
      <c r="G717">
        <v>165</v>
      </c>
      <c r="H717">
        <v>174</v>
      </c>
      <c r="I717" s="6">
        <f>(Table1[[#This Row],[Aktual]]-Table1[[#This Row],[Target]])</f>
        <v>-9</v>
      </c>
      <c r="J717" s="3">
        <f>(Table1[[#This Row],[Aktual]]-Table1[[#This Row],[Target]])/Table1[[#This Row],[Target]]</f>
        <v>-5.1724137931034482E-2</v>
      </c>
      <c r="K717" t="str">
        <f>IF(Table1[[#This Row],[Performance Gap (%)]]&lt;0,"Tidak mencapai target", IF(Table1[[#This Row],[Performance Gap (%)]]=0,"Mencapai target", "Melebihi Target"))</f>
        <v>Tidak mencapai target</v>
      </c>
      <c r="L717">
        <f>VLOOKUP(Table1[[#This Row],[Propinsi]]&amp;"_"&amp;Table1[[#This Row],[Dati 2]]&amp;"_"&amp;Table1[[#This Row],[Tanggal]],Table2[[#All],[Kompetitor area]:[Jumlah Kompetitor]],7,0)</f>
        <v>166</v>
      </c>
      <c r="M717">
        <f>Table1[[#This Row],[Aktual]]-Table1[[#This Row],[Jumlah Kompetitor]]</f>
        <v>-1</v>
      </c>
      <c r="N717" t="str">
        <f>IF(Table1[[#This Row],[vs Kompetitor]]&gt;0,"Win", "Lose")</f>
        <v>Lose</v>
      </c>
    </row>
    <row r="718" spans="1:14" x14ac:dyDescent="0.25">
      <c r="A718">
        <v>717</v>
      </c>
      <c r="B718" t="s">
        <v>7</v>
      </c>
      <c r="C718" t="s">
        <v>149</v>
      </c>
      <c r="D718">
        <v>6</v>
      </c>
      <c r="E718">
        <v>2021</v>
      </c>
      <c r="F718" s="2">
        <f>DATE(Table1[[#This Row],[Tahun]],Table1[[#This Row],[Bulan]],1)</f>
        <v>44348</v>
      </c>
      <c r="G718">
        <v>59</v>
      </c>
      <c r="H718">
        <v>53</v>
      </c>
      <c r="I718" s="6">
        <f>(Table1[[#This Row],[Aktual]]-Table1[[#This Row],[Target]])</f>
        <v>6</v>
      </c>
      <c r="J718" s="3">
        <f>(Table1[[#This Row],[Aktual]]-Table1[[#This Row],[Target]])/Table1[[#This Row],[Target]]</f>
        <v>0.11320754716981132</v>
      </c>
      <c r="K718" t="str">
        <f>IF(Table1[[#This Row],[Performance Gap (%)]]&lt;0,"Tidak mencapai target", IF(Table1[[#This Row],[Performance Gap (%)]]=0,"Mencapai target", "Melebihi Target"))</f>
        <v>Melebihi Target</v>
      </c>
      <c r="L718">
        <f>VLOOKUP(Table1[[#This Row],[Propinsi]]&amp;"_"&amp;Table1[[#This Row],[Dati 2]]&amp;"_"&amp;Table1[[#This Row],[Tanggal]],Table2[[#All],[Kompetitor area]:[Jumlah Kompetitor]],7,0)</f>
        <v>59</v>
      </c>
      <c r="M718">
        <f>Table1[[#This Row],[Aktual]]-Table1[[#This Row],[Jumlah Kompetitor]]</f>
        <v>0</v>
      </c>
      <c r="N718" t="str">
        <f>IF(Table1[[#This Row],[vs Kompetitor]]&gt;0,"Win", "Lose")</f>
        <v>Lose</v>
      </c>
    </row>
    <row r="719" spans="1:14" x14ac:dyDescent="0.25">
      <c r="A719">
        <v>718</v>
      </c>
      <c r="B719" t="s">
        <v>8</v>
      </c>
      <c r="C719" t="s">
        <v>150</v>
      </c>
      <c r="D719">
        <v>6</v>
      </c>
      <c r="E719">
        <v>2021</v>
      </c>
      <c r="F719" s="2">
        <f>DATE(Table1[[#This Row],[Tahun]],Table1[[#This Row],[Bulan]],1)</f>
        <v>44348</v>
      </c>
      <c r="G719">
        <v>606</v>
      </c>
      <c r="H719">
        <v>629</v>
      </c>
      <c r="I719" s="6">
        <f>(Table1[[#This Row],[Aktual]]-Table1[[#This Row],[Target]])</f>
        <v>-23</v>
      </c>
      <c r="J719" s="3">
        <f>(Table1[[#This Row],[Aktual]]-Table1[[#This Row],[Target]])/Table1[[#This Row],[Target]]</f>
        <v>-3.6565977742448331E-2</v>
      </c>
      <c r="K719" t="str">
        <f>IF(Table1[[#This Row],[Performance Gap (%)]]&lt;0,"Tidak mencapai target", IF(Table1[[#This Row],[Performance Gap (%)]]=0,"Mencapai target", "Melebihi Target"))</f>
        <v>Tidak mencapai target</v>
      </c>
      <c r="L719">
        <f>VLOOKUP(Table1[[#This Row],[Propinsi]]&amp;"_"&amp;Table1[[#This Row],[Dati 2]]&amp;"_"&amp;Table1[[#This Row],[Tanggal]],Table2[[#All],[Kompetitor area]:[Jumlah Kompetitor]],7,0)</f>
        <v>666</v>
      </c>
      <c r="M719">
        <f>Table1[[#This Row],[Aktual]]-Table1[[#This Row],[Jumlah Kompetitor]]</f>
        <v>-60</v>
      </c>
      <c r="N719" t="str">
        <f>IF(Table1[[#This Row],[vs Kompetitor]]&gt;0,"Win", "Lose")</f>
        <v>Lose</v>
      </c>
    </row>
    <row r="720" spans="1:14" x14ac:dyDescent="0.25">
      <c r="A720">
        <v>719</v>
      </c>
      <c r="B720" t="s">
        <v>8</v>
      </c>
      <c r="C720" t="s">
        <v>151</v>
      </c>
      <c r="D720">
        <v>6</v>
      </c>
      <c r="E720">
        <v>2021</v>
      </c>
      <c r="F720" s="2">
        <f>DATE(Table1[[#This Row],[Tahun]],Table1[[#This Row],[Bulan]],1)</f>
        <v>44348</v>
      </c>
      <c r="G720">
        <v>623</v>
      </c>
      <c r="H720">
        <v>529</v>
      </c>
      <c r="I720" s="6">
        <f>(Table1[[#This Row],[Aktual]]-Table1[[#This Row],[Target]])</f>
        <v>94</v>
      </c>
      <c r="J720" s="3">
        <f>(Table1[[#This Row],[Aktual]]-Table1[[#This Row],[Target]])/Table1[[#This Row],[Target]]</f>
        <v>0.17769376181474481</v>
      </c>
      <c r="K720" t="str">
        <f>IF(Table1[[#This Row],[Performance Gap (%)]]&lt;0,"Tidak mencapai target", IF(Table1[[#This Row],[Performance Gap (%)]]=0,"Mencapai target", "Melebihi Target"))</f>
        <v>Melebihi Target</v>
      </c>
      <c r="L720">
        <f>VLOOKUP(Table1[[#This Row],[Propinsi]]&amp;"_"&amp;Table1[[#This Row],[Dati 2]]&amp;"_"&amp;Table1[[#This Row],[Tanggal]],Table2[[#All],[Kompetitor area]:[Jumlah Kompetitor]],7,0)</f>
        <v>528</v>
      </c>
      <c r="M720">
        <f>Table1[[#This Row],[Aktual]]-Table1[[#This Row],[Jumlah Kompetitor]]</f>
        <v>95</v>
      </c>
      <c r="N720" t="str">
        <f>IF(Table1[[#This Row],[vs Kompetitor]]&gt;0,"Win", "Lose")</f>
        <v>Win</v>
      </c>
    </row>
    <row r="721" spans="1:14" x14ac:dyDescent="0.25">
      <c r="A721">
        <v>720</v>
      </c>
      <c r="B721" t="s">
        <v>8</v>
      </c>
      <c r="C721" t="s">
        <v>152</v>
      </c>
      <c r="D721">
        <v>6</v>
      </c>
      <c r="E721">
        <v>2021</v>
      </c>
      <c r="F721" s="2">
        <f>DATE(Table1[[#This Row],[Tahun]],Table1[[#This Row],[Bulan]],1)</f>
        <v>44348</v>
      </c>
      <c r="G721">
        <v>203</v>
      </c>
      <c r="H721">
        <v>167</v>
      </c>
      <c r="I721" s="6">
        <f>(Table1[[#This Row],[Aktual]]-Table1[[#This Row],[Target]])</f>
        <v>36</v>
      </c>
      <c r="J721" s="3">
        <f>(Table1[[#This Row],[Aktual]]-Table1[[#This Row],[Target]])/Table1[[#This Row],[Target]]</f>
        <v>0.21556886227544911</v>
      </c>
      <c r="K721" t="str">
        <f>IF(Table1[[#This Row],[Performance Gap (%)]]&lt;0,"Tidak mencapai target", IF(Table1[[#This Row],[Performance Gap (%)]]=0,"Mencapai target", "Melebihi Target"))</f>
        <v>Melebihi Target</v>
      </c>
      <c r="L721">
        <f>VLOOKUP(Table1[[#This Row],[Propinsi]]&amp;"_"&amp;Table1[[#This Row],[Dati 2]]&amp;"_"&amp;Table1[[#This Row],[Tanggal]],Table2[[#All],[Kompetitor area]:[Jumlah Kompetitor]],7,0)</f>
        <v>180</v>
      </c>
      <c r="M721">
        <f>Table1[[#This Row],[Aktual]]-Table1[[#This Row],[Jumlah Kompetitor]]</f>
        <v>23</v>
      </c>
      <c r="N721" t="str">
        <f>IF(Table1[[#This Row],[vs Kompetitor]]&gt;0,"Win", "Lose")</f>
        <v>Win</v>
      </c>
    </row>
    <row r="722" spans="1:14" x14ac:dyDescent="0.25">
      <c r="A722">
        <v>721</v>
      </c>
      <c r="B722" t="s">
        <v>8</v>
      </c>
      <c r="C722" t="s">
        <v>153</v>
      </c>
      <c r="D722">
        <v>6</v>
      </c>
      <c r="E722">
        <v>2021</v>
      </c>
      <c r="F722" s="2">
        <f>DATE(Table1[[#This Row],[Tahun]],Table1[[#This Row],[Bulan]],1)</f>
        <v>44348</v>
      </c>
      <c r="G722">
        <v>479</v>
      </c>
      <c r="H722">
        <v>401</v>
      </c>
      <c r="I722" s="6">
        <f>(Table1[[#This Row],[Aktual]]-Table1[[#This Row],[Target]])</f>
        <v>78</v>
      </c>
      <c r="J722" s="3">
        <f>(Table1[[#This Row],[Aktual]]-Table1[[#This Row],[Target]])/Table1[[#This Row],[Target]]</f>
        <v>0.19451371571072318</v>
      </c>
      <c r="K722" t="str">
        <f>IF(Table1[[#This Row],[Performance Gap (%)]]&lt;0,"Tidak mencapai target", IF(Table1[[#This Row],[Performance Gap (%)]]=0,"Mencapai target", "Melebihi Target"))</f>
        <v>Melebihi Target</v>
      </c>
      <c r="L722">
        <f>VLOOKUP(Table1[[#This Row],[Propinsi]]&amp;"_"&amp;Table1[[#This Row],[Dati 2]]&amp;"_"&amp;Table1[[#This Row],[Tanggal]],Table2[[#All],[Kompetitor area]:[Jumlah Kompetitor]],7,0)</f>
        <v>438</v>
      </c>
      <c r="M722">
        <f>Table1[[#This Row],[Aktual]]-Table1[[#This Row],[Jumlah Kompetitor]]</f>
        <v>41</v>
      </c>
      <c r="N722" t="str">
        <f>IF(Table1[[#This Row],[vs Kompetitor]]&gt;0,"Win", "Lose")</f>
        <v>Win</v>
      </c>
    </row>
    <row r="723" spans="1:14" x14ac:dyDescent="0.25">
      <c r="A723">
        <v>722</v>
      </c>
      <c r="B723" t="s">
        <v>8</v>
      </c>
      <c r="C723" t="s">
        <v>154</v>
      </c>
      <c r="D723">
        <v>6</v>
      </c>
      <c r="E723">
        <v>2021</v>
      </c>
      <c r="F723" s="2">
        <f>DATE(Table1[[#This Row],[Tahun]],Table1[[#This Row],[Bulan]],1)</f>
        <v>44348</v>
      </c>
      <c r="G723">
        <v>276</v>
      </c>
      <c r="H723">
        <v>252</v>
      </c>
      <c r="I723" s="6">
        <f>(Table1[[#This Row],[Aktual]]-Table1[[#This Row],[Target]])</f>
        <v>24</v>
      </c>
      <c r="J723" s="3">
        <f>(Table1[[#This Row],[Aktual]]-Table1[[#This Row],[Target]])/Table1[[#This Row],[Target]]</f>
        <v>9.5238095238095233E-2</v>
      </c>
      <c r="K723" t="str">
        <f>IF(Table1[[#This Row],[Performance Gap (%)]]&lt;0,"Tidak mencapai target", IF(Table1[[#This Row],[Performance Gap (%)]]=0,"Mencapai target", "Melebihi Target"))</f>
        <v>Melebihi Target</v>
      </c>
      <c r="L723">
        <f>VLOOKUP(Table1[[#This Row],[Propinsi]]&amp;"_"&amp;Table1[[#This Row],[Dati 2]]&amp;"_"&amp;Table1[[#This Row],[Tanggal]],Table2[[#All],[Kompetitor area]:[Jumlah Kompetitor]],7,0)</f>
        <v>261</v>
      </c>
      <c r="M723">
        <f>Table1[[#This Row],[Aktual]]-Table1[[#This Row],[Jumlah Kompetitor]]</f>
        <v>15</v>
      </c>
      <c r="N723" t="str">
        <f>IF(Table1[[#This Row],[vs Kompetitor]]&gt;0,"Win", "Lose")</f>
        <v>Win</v>
      </c>
    </row>
    <row r="724" spans="1:14" x14ac:dyDescent="0.25">
      <c r="A724">
        <v>723</v>
      </c>
      <c r="B724" t="s">
        <v>8</v>
      </c>
      <c r="C724" t="s">
        <v>155</v>
      </c>
      <c r="D724">
        <v>6</v>
      </c>
      <c r="E724">
        <v>2021</v>
      </c>
      <c r="F724" s="2">
        <f>DATE(Table1[[#This Row],[Tahun]],Table1[[#This Row],[Bulan]],1)</f>
        <v>44348</v>
      </c>
      <c r="G724">
        <v>401</v>
      </c>
      <c r="H724">
        <v>348</v>
      </c>
      <c r="I724" s="6">
        <f>(Table1[[#This Row],[Aktual]]-Table1[[#This Row],[Target]])</f>
        <v>53</v>
      </c>
      <c r="J724" s="3">
        <f>(Table1[[#This Row],[Aktual]]-Table1[[#This Row],[Target]])/Table1[[#This Row],[Target]]</f>
        <v>0.15229885057471265</v>
      </c>
      <c r="K724" t="str">
        <f>IF(Table1[[#This Row],[Performance Gap (%)]]&lt;0,"Tidak mencapai target", IF(Table1[[#This Row],[Performance Gap (%)]]=0,"Mencapai target", "Melebihi Target"))</f>
        <v>Melebihi Target</v>
      </c>
      <c r="L724">
        <f>VLOOKUP(Table1[[#This Row],[Propinsi]]&amp;"_"&amp;Table1[[#This Row],[Dati 2]]&amp;"_"&amp;Table1[[#This Row],[Tanggal]],Table2[[#All],[Kompetitor area]:[Jumlah Kompetitor]],7,0)</f>
        <v>336</v>
      </c>
      <c r="M724">
        <f>Table1[[#This Row],[Aktual]]-Table1[[#This Row],[Jumlah Kompetitor]]</f>
        <v>65</v>
      </c>
      <c r="N724" t="str">
        <f>IF(Table1[[#This Row],[vs Kompetitor]]&gt;0,"Win", "Lose")</f>
        <v>Win</v>
      </c>
    </row>
    <row r="725" spans="1:14" x14ac:dyDescent="0.25">
      <c r="A725">
        <v>724</v>
      </c>
      <c r="B725" t="s">
        <v>8</v>
      </c>
      <c r="C725" t="s">
        <v>156</v>
      </c>
      <c r="D725">
        <v>6</v>
      </c>
      <c r="E725">
        <v>2021</v>
      </c>
      <c r="F725" s="2">
        <f>DATE(Table1[[#This Row],[Tahun]],Table1[[#This Row],[Bulan]],1)</f>
        <v>44348</v>
      </c>
      <c r="G725">
        <v>136</v>
      </c>
      <c r="H725">
        <v>134</v>
      </c>
      <c r="I725" s="6">
        <f>(Table1[[#This Row],[Aktual]]-Table1[[#This Row],[Target]])</f>
        <v>2</v>
      </c>
      <c r="J725" s="3">
        <f>(Table1[[#This Row],[Aktual]]-Table1[[#This Row],[Target]])/Table1[[#This Row],[Target]]</f>
        <v>1.4925373134328358E-2</v>
      </c>
      <c r="K725" t="str">
        <f>IF(Table1[[#This Row],[Performance Gap (%)]]&lt;0,"Tidak mencapai target", IF(Table1[[#This Row],[Performance Gap (%)]]=0,"Mencapai target", "Melebihi Target"))</f>
        <v>Melebihi Target</v>
      </c>
      <c r="L725">
        <f>VLOOKUP(Table1[[#This Row],[Propinsi]]&amp;"_"&amp;Table1[[#This Row],[Dati 2]]&amp;"_"&amp;Table1[[#This Row],[Tanggal]],Table2[[#All],[Kompetitor area]:[Jumlah Kompetitor]],7,0)</f>
        <v>143</v>
      </c>
      <c r="M725">
        <f>Table1[[#This Row],[Aktual]]-Table1[[#This Row],[Jumlah Kompetitor]]</f>
        <v>-7</v>
      </c>
      <c r="N725" t="str">
        <f>IF(Table1[[#This Row],[vs Kompetitor]]&gt;0,"Win", "Lose")</f>
        <v>Lose</v>
      </c>
    </row>
    <row r="726" spans="1:14" x14ac:dyDescent="0.25">
      <c r="A726">
        <v>725</v>
      </c>
      <c r="B726" t="s">
        <v>8</v>
      </c>
      <c r="C726" t="s">
        <v>157</v>
      </c>
      <c r="D726">
        <v>6</v>
      </c>
      <c r="E726">
        <v>2021</v>
      </c>
      <c r="F726" s="2">
        <f>DATE(Table1[[#This Row],[Tahun]],Table1[[#This Row],[Bulan]],1)</f>
        <v>44348</v>
      </c>
      <c r="G726">
        <v>273</v>
      </c>
      <c r="H726">
        <v>241</v>
      </c>
      <c r="I726" s="6">
        <f>(Table1[[#This Row],[Aktual]]-Table1[[#This Row],[Target]])</f>
        <v>32</v>
      </c>
      <c r="J726" s="3">
        <f>(Table1[[#This Row],[Aktual]]-Table1[[#This Row],[Target]])/Table1[[#This Row],[Target]]</f>
        <v>0.13278008298755187</v>
      </c>
      <c r="K726" t="str">
        <f>IF(Table1[[#This Row],[Performance Gap (%)]]&lt;0,"Tidak mencapai target", IF(Table1[[#This Row],[Performance Gap (%)]]=0,"Mencapai target", "Melebihi Target"))</f>
        <v>Melebihi Target</v>
      </c>
      <c r="L726">
        <f>VLOOKUP(Table1[[#This Row],[Propinsi]]&amp;"_"&amp;Table1[[#This Row],[Dati 2]]&amp;"_"&amp;Table1[[#This Row],[Tanggal]],Table2[[#All],[Kompetitor area]:[Jumlah Kompetitor]],7,0)</f>
        <v>220</v>
      </c>
      <c r="M726">
        <f>Table1[[#This Row],[Aktual]]-Table1[[#This Row],[Jumlah Kompetitor]]</f>
        <v>53</v>
      </c>
      <c r="N726" t="str">
        <f>IF(Table1[[#This Row],[vs Kompetitor]]&gt;0,"Win", "Lose")</f>
        <v>Win</v>
      </c>
    </row>
    <row r="727" spans="1:14" x14ac:dyDescent="0.25">
      <c r="A727">
        <v>726</v>
      </c>
      <c r="B727" t="s">
        <v>8</v>
      </c>
      <c r="C727" t="s">
        <v>158</v>
      </c>
      <c r="D727">
        <v>6</v>
      </c>
      <c r="E727">
        <v>2021</v>
      </c>
      <c r="F727" s="2">
        <f>DATE(Table1[[#This Row],[Tahun]],Table1[[#This Row],[Bulan]],1)</f>
        <v>44348</v>
      </c>
      <c r="G727">
        <v>210</v>
      </c>
      <c r="H727">
        <v>174</v>
      </c>
      <c r="I727" s="6">
        <f>(Table1[[#This Row],[Aktual]]-Table1[[#This Row],[Target]])</f>
        <v>36</v>
      </c>
      <c r="J727" s="3">
        <f>(Table1[[#This Row],[Aktual]]-Table1[[#This Row],[Target]])/Table1[[#This Row],[Target]]</f>
        <v>0.20689655172413793</v>
      </c>
      <c r="K727" t="str">
        <f>IF(Table1[[#This Row],[Performance Gap (%)]]&lt;0,"Tidak mencapai target", IF(Table1[[#This Row],[Performance Gap (%)]]=0,"Mencapai target", "Melebihi Target"))</f>
        <v>Melebihi Target</v>
      </c>
      <c r="L727">
        <f>VLOOKUP(Table1[[#This Row],[Propinsi]]&amp;"_"&amp;Table1[[#This Row],[Dati 2]]&amp;"_"&amp;Table1[[#This Row],[Tanggal]],Table2[[#All],[Kompetitor area]:[Jumlah Kompetitor]],7,0)</f>
        <v>201</v>
      </c>
      <c r="M727">
        <f>Table1[[#This Row],[Aktual]]-Table1[[#This Row],[Jumlah Kompetitor]]</f>
        <v>9</v>
      </c>
      <c r="N727" t="str">
        <f>IF(Table1[[#This Row],[vs Kompetitor]]&gt;0,"Win", "Lose")</f>
        <v>Win</v>
      </c>
    </row>
    <row r="728" spans="1:14" x14ac:dyDescent="0.25">
      <c r="A728">
        <v>727</v>
      </c>
      <c r="B728" t="s">
        <v>8</v>
      </c>
      <c r="C728" t="s">
        <v>159</v>
      </c>
      <c r="D728">
        <v>6</v>
      </c>
      <c r="E728">
        <v>2021</v>
      </c>
      <c r="F728" s="2">
        <f>DATE(Table1[[#This Row],[Tahun]],Table1[[#This Row],[Bulan]],1)</f>
        <v>44348</v>
      </c>
      <c r="G728">
        <v>190</v>
      </c>
      <c r="H728">
        <v>172</v>
      </c>
      <c r="I728" s="6">
        <f>(Table1[[#This Row],[Aktual]]-Table1[[#This Row],[Target]])</f>
        <v>18</v>
      </c>
      <c r="J728" s="3">
        <f>(Table1[[#This Row],[Aktual]]-Table1[[#This Row],[Target]])/Table1[[#This Row],[Target]]</f>
        <v>0.10465116279069768</v>
      </c>
      <c r="K728" t="str">
        <f>IF(Table1[[#This Row],[Performance Gap (%)]]&lt;0,"Tidak mencapai target", IF(Table1[[#This Row],[Performance Gap (%)]]=0,"Mencapai target", "Melebihi Target"))</f>
        <v>Melebihi Target</v>
      </c>
      <c r="L728">
        <f>VLOOKUP(Table1[[#This Row],[Propinsi]]&amp;"_"&amp;Table1[[#This Row],[Dati 2]]&amp;"_"&amp;Table1[[#This Row],[Tanggal]],Table2[[#All],[Kompetitor area]:[Jumlah Kompetitor]],7,0)</f>
        <v>174</v>
      </c>
      <c r="M728">
        <f>Table1[[#This Row],[Aktual]]-Table1[[#This Row],[Jumlah Kompetitor]]</f>
        <v>16</v>
      </c>
      <c r="N728" t="str">
        <f>IF(Table1[[#This Row],[vs Kompetitor]]&gt;0,"Win", "Lose")</f>
        <v>Win</v>
      </c>
    </row>
    <row r="729" spans="1:14" x14ac:dyDescent="0.25">
      <c r="A729">
        <v>728</v>
      </c>
      <c r="B729" t="s">
        <v>8</v>
      </c>
      <c r="C729" t="s">
        <v>160</v>
      </c>
      <c r="D729">
        <v>6</v>
      </c>
      <c r="E729">
        <v>2021</v>
      </c>
      <c r="F729" s="2">
        <f>DATE(Table1[[#This Row],[Tahun]],Table1[[#This Row],[Bulan]],1)</f>
        <v>44348</v>
      </c>
      <c r="G729">
        <v>108</v>
      </c>
      <c r="H729">
        <v>103</v>
      </c>
      <c r="I729" s="6">
        <f>(Table1[[#This Row],[Aktual]]-Table1[[#This Row],[Target]])</f>
        <v>5</v>
      </c>
      <c r="J729" s="3">
        <f>(Table1[[#This Row],[Aktual]]-Table1[[#This Row],[Target]])/Table1[[#This Row],[Target]]</f>
        <v>4.8543689320388349E-2</v>
      </c>
      <c r="K729" t="str">
        <f>IF(Table1[[#This Row],[Performance Gap (%)]]&lt;0,"Tidak mencapai target", IF(Table1[[#This Row],[Performance Gap (%)]]=0,"Mencapai target", "Melebihi Target"))</f>
        <v>Melebihi Target</v>
      </c>
      <c r="L729">
        <f>VLOOKUP(Table1[[#This Row],[Propinsi]]&amp;"_"&amp;Table1[[#This Row],[Dati 2]]&amp;"_"&amp;Table1[[#This Row],[Tanggal]],Table2[[#All],[Kompetitor area]:[Jumlah Kompetitor]],7,0)</f>
        <v>101</v>
      </c>
      <c r="M729">
        <f>Table1[[#This Row],[Aktual]]-Table1[[#This Row],[Jumlah Kompetitor]]</f>
        <v>7</v>
      </c>
      <c r="N729" t="str">
        <f>IF(Table1[[#This Row],[vs Kompetitor]]&gt;0,"Win", "Lose")</f>
        <v>Win</v>
      </c>
    </row>
    <row r="730" spans="1:14" x14ac:dyDescent="0.25">
      <c r="A730">
        <v>729</v>
      </c>
      <c r="B730" t="s">
        <v>8</v>
      </c>
      <c r="C730" t="s">
        <v>161</v>
      </c>
      <c r="D730">
        <v>6</v>
      </c>
      <c r="E730">
        <v>2021</v>
      </c>
      <c r="F730" s="2">
        <f>DATE(Table1[[#This Row],[Tahun]],Table1[[#This Row],[Bulan]],1)</f>
        <v>44348</v>
      </c>
      <c r="G730">
        <v>202</v>
      </c>
      <c r="H730">
        <v>163</v>
      </c>
      <c r="I730" s="6">
        <f>(Table1[[#This Row],[Aktual]]-Table1[[#This Row],[Target]])</f>
        <v>39</v>
      </c>
      <c r="J730" s="3">
        <f>(Table1[[#This Row],[Aktual]]-Table1[[#This Row],[Target]])/Table1[[#This Row],[Target]]</f>
        <v>0.2392638036809816</v>
      </c>
      <c r="K730" t="str">
        <f>IF(Table1[[#This Row],[Performance Gap (%)]]&lt;0,"Tidak mencapai target", IF(Table1[[#This Row],[Performance Gap (%)]]=0,"Mencapai target", "Melebihi Target"))</f>
        <v>Melebihi Target</v>
      </c>
      <c r="L730">
        <f>VLOOKUP(Table1[[#This Row],[Propinsi]]&amp;"_"&amp;Table1[[#This Row],[Dati 2]]&amp;"_"&amp;Table1[[#This Row],[Tanggal]],Table2[[#All],[Kompetitor area]:[Jumlah Kompetitor]],7,0)</f>
        <v>177</v>
      </c>
      <c r="M730">
        <f>Table1[[#This Row],[Aktual]]-Table1[[#This Row],[Jumlah Kompetitor]]</f>
        <v>25</v>
      </c>
      <c r="N730" t="str">
        <f>IF(Table1[[#This Row],[vs Kompetitor]]&gt;0,"Win", "Lose")</f>
        <v>Win</v>
      </c>
    </row>
    <row r="731" spans="1:14" x14ac:dyDescent="0.25">
      <c r="A731">
        <v>730</v>
      </c>
      <c r="B731" t="s">
        <v>8</v>
      </c>
      <c r="C731" t="s">
        <v>162</v>
      </c>
      <c r="D731">
        <v>6</v>
      </c>
      <c r="E731">
        <v>2021</v>
      </c>
      <c r="F731" s="2">
        <f>DATE(Table1[[#This Row],[Tahun]],Table1[[#This Row],[Bulan]],1)</f>
        <v>44348</v>
      </c>
      <c r="G731">
        <v>125</v>
      </c>
      <c r="H731">
        <v>113</v>
      </c>
      <c r="I731" s="6">
        <f>(Table1[[#This Row],[Aktual]]-Table1[[#This Row],[Target]])</f>
        <v>12</v>
      </c>
      <c r="J731" s="3">
        <f>(Table1[[#This Row],[Aktual]]-Table1[[#This Row],[Target]])/Table1[[#This Row],[Target]]</f>
        <v>0.10619469026548672</v>
      </c>
      <c r="K731" t="str">
        <f>IF(Table1[[#This Row],[Performance Gap (%)]]&lt;0,"Tidak mencapai target", IF(Table1[[#This Row],[Performance Gap (%)]]=0,"Mencapai target", "Melebihi Target"))</f>
        <v>Melebihi Target</v>
      </c>
      <c r="L731">
        <f>VLOOKUP(Table1[[#This Row],[Propinsi]]&amp;"_"&amp;Table1[[#This Row],[Dati 2]]&amp;"_"&amp;Table1[[#This Row],[Tanggal]],Table2[[#All],[Kompetitor area]:[Jumlah Kompetitor]],7,0)</f>
        <v>116</v>
      </c>
      <c r="M731">
        <f>Table1[[#This Row],[Aktual]]-Table1[[#This Row],[Jumlah Kompetitor]]</f>
        <v>9</v>
      </c>
      <c r="N731" t="str">
        <f>IF(Table1[[#This Row],[vs Kompetitor]]&gt;0,"Win", "Lose")</f>
        <v>Win</v>
      </c>
    </row>
    <row r="732" spans="1:14" x14ac:dyDescent="0.25">
      <c r="A732">
        <v>731</v>
      </c>
      <c r="B732" t="s">
        <v>8</v>
      </c>
      <c r="C732" t="s">
        <v>163</v>
      </c>
      <c r="D732">
        <v>6</v>
      </c>
      <c r="E732">
        <v>2021</v>
      </c>
      <c r="F732" s="2">
        <f>DATE(Table1[[#This Row],[Tahun]],Table1[[#This Row],[Bulan]],1)</f>
        <v>44348</v>
      </c>
      <c r="G732">
        <v>258</v>
      </c>
      <c r="H732">
        <v>240</v>
      </c>
      <c r="I732" s="6">
        <f>(Table1[[#This Row],[Aktual]]-Table1[[#This Row],[Target]])</f>
        <v>18</v>
      </c>
      <c r="J732" s="3">
        <f>(Table1[[#This Row],[Aktual]]-Table1[[#This Row],[Target]])/Table1[[#This Row],[Target]]</f>
        <v>7.4999999999999997E-2</v>
      </c>
      <c r="K732" t="str">
        <f>IF(Table1[[#This Row],[Performance Gap (%)]]&lt;0,"Tidak mencapai target", IF(Table1[[#This Row],[Performance Gap (%)]]=0,"Mencapai target", "Melebihi Target"))</f>
        <v>Melebihi Target</v>
      </c>
      <c r="L732">
        <f>VLOOKUP(Table1[[#This Row],[Propinsi]]&amp;"_"&amp;Table1[[#This Row],[Dati 2]]&amp;"_"&amp;Table1[[#This Row],[Tanggal]],Table2[[#All],[Kompetitor area]:[Jumlah Kompetitor]],7,0)</f>
        <v>275</v>
      </c>
      <c r="M732">
        <f>Table1[[#This Row],[Aktual]]-Table1[[#This Row],[Jumlah Kompetitor]]</f>
        <v>-17</v>
      </c>
      <c r="N732" t="str">
        <f>IF(Table1[[#This Row],[vs Kompetitor]]&gt;0,"Win", "Lose")</f>
        <v>Lose</v>
      </c>
    </row>
    <row r="733" spans="1:14" x14ac:dyDescent="0.25">
      <c r="A733">
        <v>732</v>
      </c>
      <c r="B733" t="s">
        <v>8</v>
      </c>
      <c r="C733" t="s">
        <v>164</v>
      </c>
      <c r="D733">
        <v>6</v>
      </c>
      <c r="E733">
        <v>2021</v>
      </c>
      <c r="F733" s="2">
        <f>DATE(Table1[[#This Row],[Tahun]],Table1[[#This Row],[Bulan]],1)</f>
        <v>44348</v>
      </c>
      <c r="G733">
        <v>308</v>
      </c>
      <c r="H733">
        <v>279</v>
      </c>
      <c r="I733" s="6">
        <f>(Table1[[#This Row],[Aktual]]-Table1[[#This Row],[Target]])</f>
        <v>29</v>
      </c>
      <c r="J733" s="3">
        <f>(Table1[[#This Row],[Aktual]]-Table1[[#This Row],[Target]])/Table1[[#This Row],[Target]]</f>
        <v>0.1039426523297491</v>
      </c>
      <c r="K733" t="str">
        <f>IF(Table1[[#This Row],[Performance Gap (%)]]&lt;0,"Tidak mencapai target", IF(Table1[[#This Row],[Performance Gap (%)]]=0,"Mencapai target", "Melebihi Target"))</f>
        <v>Melebihi Target</v>
      </c>
      <c r="L733">
        <f>VLOOKUP(Table1[[#This Row],[Propinsi]]&amp;"_"&amp;Table1[[#This Row],[Dati 2]]&amp;"_"&amp;Table1[[#This Row],[Tanggal]],Table2[[#All],[Kompetitor area]:[Jumlah Kompetitor]],7,0)</f>
        <v>262</v>
      </c>
      <c r="M733">
        <f>Table1[[#This Row],[Aktual]]-Table1[[#This Row],[Jumlah Kompetitor]]</f>
        <v>46</v>
      </c>
      <c r="N733" t="str">
        <f>IF(Table1[[#This Row],[vs Kompetitor]]&gt;0,"Win", "Lose")</f>
        <v>Win</v>
      </c>
    </row>
    <row r="734" spans="1:14" x14ac:dyDescent="0.25">
      <c r="A734">
        <v>733</v>
      </c>
      <c r="B734" t="s">
        <v>6</v>
      </c>
      <c r="C734" t="s">
        <v>43</v>
      </c>
      <c r="D734">
        <v>7</v>
      </c>
      <c r="E734">
        <v>2021</v>
      </c>
      <c r="F734" s="2">
        <f>DATE(Table1[[#This Row],[Tahun]],Table1[[#This Row],[Bulan]],1)</f>
        <v>44378</v>
      </c>
      <c r="G734">
        <v>1425</v>
      </c>
      <c r="H734">
        <v>1254</v>
      </c>
      <c r="I734" s="6">
        <f>(Table1[[#This Row],[Aktual]]-Table1[[#This Row],[Target]])</f>
        <v>171</v>
      </c>
      <c r="J734" s="3">
        <f>(Table1[[#This Row],[Aktual]]-Table1[[#This Row],[Target]])/Table1[[#This Row],[Target]]</f>
        <v>0.13636363636363635</v>
      </c>
      <c r="K734" t="str">
        <f>IF(Table1[[#This Row],[Performance Gap (%)]]&lt;0,"Tidak mencapai target", IF(Table1[[#This Row],[Performance Gap (%)]]=0,"Mencapai target", "Melebihi Target"))</f>
        <v>Melebihi Target</v>
      </c>
      <c r="L734">
        <f>VLOOKUP(Table1[[#This Row],[Propinsi]]&amp;"_"&amp;Table1[[#This Row],[Dati 2]]&amp;"_"&amp;Table1[[#This Row],[Tanggal]],Table2[[#All],[Kompetitor area]:[Jumlah Kompetitor]],7,0)</f>
        <v>349</v>
      </c>
      <c r="M734">
        <f>Table1[[#This Row],[Aktual]]-Table1[[#This Row],[Jumlah Kompetitor]]</f>
        <v>1076</v>
      </c>
      <c r="N734" t="str">
        <f>IF(Table1[[#This Row],[vs Kompetitor]]&gt;0,"Win", "Lose")</f>
        <v>Win</v>
      </c>
    </row>
    <row r="735" spans="1:14" x14ac:dyDescent="0.25">
      <c r="A735">
        <v>734</v>
      </c>
      <c r="B735" t="s">
        <v>6</v>
      </c>
      <c r="C735" t="s">
        <v>44</v>
      </c>
      <c r="D735">
        <v>7</v>
      </c>
      <c r="E735">
        <v>2021</v>
      </c>
      <c r="F735" s="2">
        <f>DATE(Table1[[#This Row],[Tahun]],Table1[[#This Row],[Bulan]],1)</f>
        <v>44378</v>
      </c>
      <c r="G735">
        <v>779</v>
      </c>
      <c r="H735">
        <v>673</v>
      </c>
      <c r="I735" s="6">
        <f>(Table1[[#This Row],[Aktual]]-Table1[[#This Row],[Target]])</f>
        <v>106</v>
      </c>
      <c r="J735" s="3">
        <f>(Table1[[#This Row],[Aktual]]-Table1[[#This Row],[Target]])/Table1[[#This Row],[Target]]</f>
        <v>0.1575037147102526</v>
      </c>
      <c r="K735" t="str">
        <f>IF(Table1[[#This Row],[Performance Gap (%)]]&lt;0,"Tidak mencapai target", IF(Table1[[#This Row],[Performance Gap (%)]]=0,"Mencapai target", "Melebihi Target"))</f>
        <v>Melebihi Target</v>
      </c>
      <c r="L735">
        <f>VLOOKUP(Table1[[#This Row],[Propinsi]]&amp;"_"&amp;Table1[[#This Row],[Dati 2]]&amp;"_"&amp;Table1[[#This Row],[Tanggal]],Table2[[#All],[Kompetitor area]:[Jumlah Kompetitor]],7,0)</f>
        <v>154</v>
      </c>
      <c r="M735">
        <f>Table1[[#This Row],[Aktual]]-Table1[[#This Row],[Jumlah Kompetitor]]</f>
        <v>625</v>
      </c>
      <c r="N735" t="str">
        <f>IF(Table1[[#This Row],[vs Kompetitor]]&gt;0,"Win", "Lose")</f>
        <v>Win</v>
      </c>
    </row>
    <row r="736" spans="1:14" x14ac:dyDescent="0.25">
      <c r="A736">
        <v>735</v>
      </c>
      <c r="B736" t="s">
        <v>6</v>
      </c>
      <c r="C736" t="s">
        <v>45</v>
      </c>
      <c r="D736">
        <v>7</v>
      </c>
      <c r="E736">
        <v>2021</v>
      </c>
      <c r="F736" s="2">
        <f>DATE(Table1[[#This Row],[Tahun]],Table1[[#This Row],[Bulan]],1)</f>
        <v>44378</v>
      </c>
      <c r="G736">
        <v>890</v>
      </c>
      <c r="H736">
        <v>781</v>
      </c>
      <c r="I736" s="6">
        <f>(Table1[[#This Row],[Aktual]]-Table1[[#This Row],[Target]])</f>
        <v>109</v>
      </c>
      <c r="J736" s="3">
        <f>(Table1[[#This Row],[Aktual]]-Table1[[#This Row],[Target]])/Table1[[#This Row],[Target]]</f>
        <v>0.13956466069142126</v>
      </c>
      <c r="K736" t="str">
        <f>IF(Table1[[#This Row],[Performance Gap (%)]]&lt;0,"Tidak mencapai target", IF(Table1[[#This Row],[Performance Gap (%)]]=0,"Mencapai target", "Melebihi Target"))</f>
        <v>Melebihi Target</v>
      </c>
      <c r="L736">
        <f>VLOOKUP(Table1[[#This Row],[Propinsi]]&amp;"_"&amp;Table1[[#This Row],[Dati 2]]&amp;"_"&amp;Table1[[#This Row],[Tanggal]],Table2[[#All],[Kompetitor area]:[Jumlah Kompetitor]],7,0)</f>
        <v>242</v>
      </c>
      <c r="M736">
        <f>Table1[[#This Row],[Aktual]]-Table1[[#This Row],[Jumlah Kompetitor]]</f>
        <v>648</v>
      </c>
      <c r="N736" t="str">
        <f>IF(Table1[[#This Row],[vs Kompetitor]]&gt;0,"Win", "Lose")</f>
        <v>Win</v>
      </c>
    </row>
    <row r="737" spans="1:14" x14ac:dyDescent="0.25">
      <c r="A737">
        <v>736</v>
      </c>
      <c r="B737" t="s">
        <v>6</v>
      </c>
      <c r="C737" t="s">
        <v>46</v>
      </c>
      <c r="D737">
        <v>7</v>
      </c>
      <c r="E737">
        <v>2021</v>
      </c>
      <c r="F737" s="2">
        <f>DATE(Table1[[#This Row],[Tahun]],Table1[[#This Row],[Bulan]],1)</f>
        <v>44378</v>
      </c>
      <c r="G737">
        <v>121</v>
      </c>
      <c r="H737">
        <v>103</v>
      </c>
      <c r="I737" s="6">
        <f>(Table1[[#This Row],[Aktual]]-Table1[[#This Row],[Target]])</f>
        <v>18</v>
      </c>
      <c r="J737" s="3">
        <f>(Table1[[#This Row],[Aktual]]-Table1[[#This Row],[Target]])/Table1[[#This Row],[Target]]</f>
        <v>0.17475728155339806</v>
      </c>
      <c r="K737" t="str">
        <f>IF(Table1[[#This Row],[Performance Gap (%)]]&lt;0,"Tidak mencapai target", IF(Table1[[#This Row],[Performance Gap (%)]]=0,"Mencapai target", "Melebihi Target"))</f>
        <v>Melebihi Target</v>
      </c>
      <c r="L737">
        <f>VLOOKUP(Table1[[#This Row],[Propinsi]]&amp;"_"&amp;Table1[[#This Row],[Dati 2]]&amp;"_"&amp;Table1[[#This Row],[Tanggal]],Table2[[#All],[Kompetitor area]:[Jumlah Kompetitor]],7,0)</f>
        <v>153</v>
      </c>
      <c r="M737">
        <f>Table1[[#This Row],[Aktual]]-Table1[[#This Row],[Jumlah Kompetitor]]</f>
        <v>-32</v>
      </c>
      <c r="N737" t="str">
        <f>IF(Table1[[#This Row],[vs Kompetitor]]&gt;0,"Win", "Lose")</f>
        <v>Lose</v>
      </c>
    </row>
    <row r="738" spans="1:14" x14ac:dyDescent="0.25">
      <c r="A738">
        <v>737</v>
      </c>
      <c r="B738" t="s">
        <v>6</v>
      </c>
      <c r="C738" t="s">
        <v>47</v>
      </c>
      <c r="D738">
        <v>7</v>
      </c>
      <c r="E738">
        <v>2021</v>
      </c>
      <c r="F738" s="2">
        <f>DATE(Table1[[#This Row],[Tahun]],Table1[[#This Row],[Bulan]],1)</f>
        <v>44378</v>
      </c>
      <c r="G738">
        <v>1299</v>
      </c>
      <c r="H738">
        <v>1229</v>
      </c>
      <c r="I738" s="6">
        <f>(Table1[[#This Row],[Aktual]]-Table1[[#This Row],[Target]])</f>
        <v>70</v>
      </c>
      <c r="J738" s="3">
        <f>(Table1[[#This Row],[Aktual]]-Table1[[#This Row],[Target]])/Table1[[#This Row],[Target]]</f>
        <v>5.6956875508543531E-2</v>
      </c>
      <c r="K738" t="str">
        <f>IF(Table1[[#This Row],[Performance Gap (%)]]&lt;0,"Tidak mencapai target", IF(Table1[[#This Row],[Performance Gap (%)]]=0,"Mencapai target", "Melebihi Target"))</f>
        <v>Melebihi Target</v>
      </c>
      <c r="L738">
        <f>VLOOKUP(Table1[[#This Row],[Propinsi]]&amp;"_"&amp;Table1[[#This Row],[Dati 2]]&amp;"_"&amp;Table1[[#This Row],[Tanggal]],Table2[[#All],[Kompetitor area]:[Jumlah Kompetitor]],7,0)</f>
        <v>37</v>
      </c>
      <c r="M738">
        <f>Table1[[#This Row],[Aktual]]-Table1[[#This Row],[Jumlah Kompetitor]]</f>
        <v>1262</v>
      </c>
      <c r="N738" t="str">
        <f>IF(Table1[[#This Row],[vs Kompetitor]]&gt;0,"Win", "Lose")</f>
        <v>Win</v>
      </c>
    </row>
    <row r="739" spans="1:14" x14ac:dyDescent="0.25">
      <c r="A739">
        <v>738</v>
      </c>
      <c r="B739" t="s">
        <v>6</v>
      </c>
      <c r="C739" t="s">
        <v>48</v>
      </c>
      <c r="D739">
        <v>7</v>
      </c>
      <c r="E739">
        <v>2021</v>
      </c>
      <c r="F739" s="2">
        <f>DATE(Table1[[#This Row],[Tahun]],Table1[[#This Row],[Bulan]],1)</f>
        <v>44378</v>
      </c>
      <c r="G739">
        <v>588</v>
      </c>
      <c r="H739">
        <v>568</v>
      </c>
      <c r="I739" s="6">
        <f>(Table1[[#This Row],[Aktual]]-Table1[[#This Row],[Target]])</f>
        <v>20</v>
      </c>
      <c r="J739" s="3">
        <f>(Table1[[#This Row],[Aktual]]-Table1[[#This Row],[Target]])/Table1[[#This Row],[Target]]</f>
        <v>3.5211267605633804E-2</v>
      </c>
      <c r="K739" t="str">
        <f>IF(Table1[[#This Row],[Performance Gap (%)]]&lt;0,"Tidak mencapai target", IF(Table1[[#This Row],[Performance Gap (%)]]=0,"Mencapai target", "Melebihi Target"))</f>
        <v>Melebihi Target</v>
      </c>
      <c r="L739">
        <f>VLOOKUP(Table1[[#This Row],[Propinsi]]&amp;"_"&amp;Table1[[#This Row],[Dati 2]]&amp;"_"&amp;Table1[[#This Row],[Tanggal]],Table2[[#All],[Kompetitor area]:[Jumlah Kompetitor]],7,0)</f>
        <v>40</v>
      </c>
      <c r="M739">
        <f>Table1[[#This Row],[Aktual]]-Table1[[#This Row],[Jumlah Kompetitor]]</f>
        <v>548</v>
      </c>
      <c r="N739" t="str">
        <f>IF(Table1[[#This Row],[vs Kompetitor]]&gt;0,"Win", "Lose")</f>
        <v>Win</v>
      </c>
    </row>
    <row r="740" spans="1:14" x14ac:dyDescent="0.25">
      <c r="A740">
        <v>739</v>
      </c>
      <c r="B740" t="s">
        <v>6</v>
      </c>
      <c r="C740" t="s">
        <v>49</v>
      </c>
      <c r="D740">
        <v>7</v>
      </c>
      <c r="E740">
        <v>2021</v>
      </c>
      <c r="F740" s="2">
        <f>DATE(Table1[[#This Row],[Tahun]],Table1[[#This Row],[Bulan]],1)</f>
        <v>44378</v>
      </c>
      <c r="G740">
        <v>1188</v>
      </c>
      <c r="H740">
        <v>1107</v>
      </c>
      <c r="I740" s="6">
        <f>(Table1[[#This Row],[Aktual]]-Table1[[#This Row],[Target]])</f>
        <v>81</v>
      </c>
      <c r="J740" s="3">
        <f>(Table1[[#This Row],[Aktual]]-Table1[[#This Row],[Target]])/Table1[[#This Row],[Target]]</f>
        <v>7.3170731707317069E-2</v>
      </c>
      <c r="K740" t="str">
        <f>IF(Table1[[#This Row],[Performance Gap (%)]]&lt;0,"Tidak mencapai target", IF(Table1[[#This Row],[Performance Gap (%)]]=0,"Mencapai target", "Melebihi Target"))</f>
        <v>Melebihi Target</v>
      </c>
      <c r="L740">
        <f>VLOOKUP(Table1[[#This Row],[Propinsi]]&amp;"_"&amp;Table1[[#This Row],[Dati 2]]&amp;"_"&amp;Table1[[#This Row],[Tanggal]],Table2[[#All],[Kompetitor area]:[Jumlah Kompetitor]],7,0)</f>
        <v>145</v>
      </c>
      <c r="M740">
        <f>Table1[[#This Row],[Aktual]]-Table1[[#This Row],[Jumlah Kompetitor]]</f>
        <v>1043</v>
      </c>
      <c r="N740" t="str">
        <f>IF(Table1[[#This Row],[vs Kompetitor]]&gt;0,"Win", "Lose")</f>
        <v>Win</v>
      </c>
    </row>
    <row r="741" spans="1:14" x14ac:dyDescent="0.25">
      <c r="A741">
        <v>740</v>
      </c>
      <c r="B741" t="s">
        <v>6</v>
      </c>
      <c r="C741" t="s">
        <v>50</v>
      </c>
      <c r="D741">
        <v>7</v>
      </c>
      <c r="E741">
        <v>2021</v>
      </c>
      <c r="F741" s="2">
        <f>DATE(Table1[[#This Row],[Tahun]],Table1[[#This Row],[Bulan]],1)</f>
        <v>44378</v>
      </c>
      <c r="G741">
        <v>974</v>
      </c>
      <c r="H741">
        <v>895</v>
      </c>
      <c r="I741" s="6">
        <f>(Table1[[#This Row],[Aktual]]-Table1[[#This Row],[Target]])</f>
        <v>79</v>
      </c>
      <c r="J741" s="3">
        <f>(Table1[[#This Row],[Aktual]]-Table1[[#This Row],[Target]])/Table1[[#This Row],[Target]]</f>
        <v>8.826815642458101E-2</v>
      </c>
      <c r="K741" t="str">
        <f>IF(Table1[[#This Row],[Performance Gap (%)]]&lt;0,"Tidak mencapai target", IF(Table1[[#This Row],[Performance Gap (%)]]=0,"Mencapai target", "Melebihi Target"))</f>
        <v>Melebihi Target</v>
      </c>
      <c r="L741">
        <f>VLOOKUP(Table1[[#This Row],[Propinsi]]&amp;"_"&amp;Table1[[#This Row],[Dati 2]]&amp;"_"&amp;Table1[[#This Row],[Tanggal]],Table2[[#All],[Kompetitor area]:[Jumlah Kompetitor]],7,0)</f>
        <v>108</v>
      </c>
      <c r="M741">
        <f>Table1[[#This Row],[Aktual]]-Table1[[#This Row],[Jumlah Kompetitor]]</f>
        <v>866</v>
      </c>
      <c r="N741" t="str">
        <f>IF(Table1[[#This Row],[vs Kompetitor]]&gt;0,"Win", "Lose")</f>
        <v>Win</v>
      </c>
    </row>
    <row r="742" spans="1:14" x14ac:dyDescent="0.25">
      <c r="A742">
        <v>741</v>
      </c>
      <c r="B742" t="s">
        <v>6</v>
      </c>
      <c r="C742" t="s">
        <v>51</v>
      </c>
      <c r="D742">
        <v>7</v>
      </c>
      <c r="E742">
        <v>2021</v>
      </c>
      <c r="F742" s="2">
        <f>DATE(Table1[[#This Row],[Tahun]],Table1[[#This Row],[Bulan]],1)</f>
        <v>44378</v>
      </c>
      <c r="G742">
        <v>156</v>
      </c>
      <c r="H742">
        <v>161</v>
      </c>
      <c r="I742" s="6">
        <f>(Table1[[#This Row],[Aktual]]-Table1[[#This Row],[Target]])</f>
        <v>-5</v>
      </c>
      <c r="J742" s="3">
        <f>(Table1[[#This Row],[Aktual]]-Table1[[#This Row],[Target]])/Table1[[#This Row],[Target]]</f>
        <v>-3.1055900621118012E-2</v>
      </c>
      <c r="K742" t="str">
        <f>IF(Table1[[#This Row],[Performance Gap (%)]]&lt;0,"Tidak mencapai target", IF(Table1[[#This Row],[Performance Gap (%)]]=0,"Mencapai target", "Melebihi Target"))</f>
        <v>Tidak mencapai target</v>
      </c>
      <c r="L742">
        <f>VLOOKUP(Table1[[#This Row],[Propinsi]]&amp;"_"&amp;Table1[[#This Row],[Dati 2]]&amp;"_"&amp;Table1[[#This Row],[Tanggal]],Table2[[#All],[Kompetitor area]:[Jumlah Kompetitor]],7,0)</f>
        <v>110</v>
      </c>
      <c r="M742">
        <f>Table1[[#This Row],[Aktual]]-Table1[[#This Row],[Jumlah Kompetitor]]</f>
        <v>46</v>
      </c>
      <c r="N742" t="str">
        <f>IF(Table1[[#This Row],[vs Kompetitor]]&gt;0,"Win", "Lose")</f>
        <v>Win</v>
      </c>
    </row>
    <row r="743" spans="1:14" x14ac:dyDescent="0.25">
      <c r="A743">
        <v>742</v>
      </c>
      <c r="B743" t="s">
        <v>6</v>
      </c>
      <c r="C743" t="s">
        <v>52</v>
      </c>
      <c r="D743">
        <v>7</v>
      </c>
      <c r="E743">
        <v>2021</v>
      </c>
      <c r="F743" s="2">
        <f>DATE(Table1[[#This Row],[Tahun]],Table1[[#This Row],[Bulan]],1)</f>
        <v>44378</v>
      </c>
      <c r="G743">
        <v>563</v>
      </c>
      <c r="H743">
        <v>569</v>
      </c>
      <c r="I743" s="6">
        <f>(Table1[[#This Row],[Aktual]]-Table1[[#This Row],[Target]])</f>
        <v>-6</v>
      </c>
      <c r="J743" s="3">
        <f>(Table1[[#This Row],[Aktual]]-Table1[[#This Row],[Target]])/Table1[[#This Row],[Target]]</f>
        <v>-1.054481546572935E-2</v>
      </c>
      <c r="K743" t="str">
        <f>IF(Table1[[#This Row],[Performance Gap (%)]]&lt;0,"Tidak mencapai target", IF(Table1[[#This Row],[Performance Gap (%)]]=0,"Mencapai target", "Melebihi Target"))</f>
        <v>Tidak mencapai target</v>
      </c>
      <c r="L743">
        <f>VLOOKUP(Table1[[#This Row],[Propinsi]]&amp;"_"&amp;Table1[[#This Row],[Dati 2]]&amp;"_"&amp;Table1[[#This Row],[Tanggal]],Table2[[#All],[Kompetitor area]:[Jumlah Kompetitor]],7,0)</f>
        <v>120</v>
      </c>
      <c r="M743">
        <f>Table1[[#This Row],[Aktual]]-Table1[[#This Row],[Jumlah Kompetitor]]</f>
        <v>443</v>
      </c>
      <c r="N743" t="str">
        <f>IF(Table1[[#This Row],[vs Kompetitor]]&gt;0,"Win", "Lose")</f>
        <v>Win</v>
      </c>
    </row>
    <row r="744" spans="1:14" x14ac:dyDescent="0.25">
      <c r="A744">
        <v>743</v>
      </c>
      <c r="B744" t="s">
        <v>6</v>
      </c>
      <c r="C744" t="s">
        <v>53</v>
      </c>
      <c r="D744">
        <v>7</v>
      </c>
      <c r="E744">
        <v>2021</v>
      </c>
      <c r="F744" s="2">
        <f>DATE(Table1[[#This Row],[Tahun]],Table1[[#This Row],[Bulan]],1)</f>
        <v>44378</v>
      </c>
      <c r="G744">
        <v>529</v>
      </c>
      <c r="H744">
        <v>476</v>
      </c>
      <c r="I744" s="6">
        <f>(Table1[[#This Row],[Aktual]]-Table1[[#This Row],[Target]])</f>
        <v>53</v>
      </c>
      <c r="J744" s="3">
        <f>(Table1[[#This Row],[Aktual]]-Table1[[#This Row],[Target]])/Table1[[#This Row],[Target]]</f>
        <v>0.11134453781512606</v>
      </c>
      <c r="K744" t="str">
        <f>IF(Table1[[#This Row],[Performance Gap (%)]]&lt;0,"Tidak mencapai target", IF(Table1[[#This Row],[Performance Gap (%)]]=0,"Mencapai target", "Melebihi Target"))</f>
        <v>Melebihi Target</v>
      </c>
      <c r="L744">
        <f>VLOOKUP(Table1[[#This Row],[Propinsi]]&amp;"_"&amp;Table1[[#This Row],[Dati 2]]&amp;"_"&amp;Table1[[#This Row],[Tanggal]],Table2[[#All],[Kompetitor area]:[Jumlah Kompetitor]],7,0)</f>
        <v>230</v>
      </c>
      <c r="M744">
        <f>Table1[[#This Row],[Aktual]]-Table1[[#This Row],[Jumlah Kompetitor]]</f>
        <v>299</v>
      </c>
      <c r="N744" t="str">
        <f>IF(Table1[[#This Row],[vs Kompetitor]]&gt;0,"Win", "Lose")</f>
        <v>Win</v>
      </c>
    </row>
    <row r="745" spans="1:14" x14ac:dyDescent="0.25">
      <c r="A745">
        <v>744</v>
      </c>
      <c r="B745" t="s">
        <v>6</v>
      </c>
      <c r="C745" t="s">
        <v>54</v>
      </c>
      <c r="D745">
        <v>7</v>
      </c>
      <c r="E745">
        <v>2021</v>
      </c>
      <c r="F745" s="2">
        <f>DATE(Table1[[#This Row],[Tahun]],Table1[[#This Row],[Bulan]],1)</f>
        <v>44378</v>
      </c>
      <c r="G745">
        <v>507</v>
      </c>
      <c r="H745">
        <v>518</v>
      </c>
      <c r="I745" s="6">
        <f>(Table1[[#This Row],[Aktual]]-Table1[[#This Row],[Target]])</f>
        <v>-11</v>
      </c>
      <c r="J745" s="3">
        <f>(Table1[[#This Row],[Aktual]]-Table1[[#This Row],[Target]])/Table1[[#This Row],[Target]]</f>
        <v>-2.1235521235521235E-2</v>
      </c>
      <c r="K745" t="str">
        <f>IF(Table1[[#This Row],[Performance Gap (%)]]&lt;0,"Tidak mencapai target", IF(Table1[[#This Row],[Performance Gap (%)]]=0,"Mencapai target", "Melebihi Target"))</f>
        <v>Tidak mencapai target</v>
      </c>
      <c r="L745">
        <f>VLOOKUP(Table1[[#This Row],[Propinsi]]&amp;"_"&amp;Table1[[#This Row],[Dati 2]]&amp;"_"&amp;Table1[[#This Row],[Tanggal]],Table2[[#All],[Kompetitor area]:[Jumlah Kompetitor]],7,0)</f>
        <v>268</v>
      </c>
      <c r="M745">
        <f>Table1[[#This Row],[Aktual]]-Table1[[#This Row],[Jumlah Kompetitor]]</f>
        <v>239</v>
      </c>
      <c r="N745" t="str">
        <f>IF(Table1[[#This Row],[vs Kompetitor]]&gt;0,"Win", "Lose")</f>
        <v>Win</v>
      </c>
    </row>
    <row r="746" spans="1:14" x14ac:dyDescent="0.25">
      <c r="A746">
        <v>745</v>
      </c>
      <c r="B746" t="s">
        <v>6</v>
      </c>
      <c r="C746" t="s">
        <v>55</v>
      </c>
      <c r="D746">
        <v>7</v>
      </c>
      <c r="E746">
        <v>2021</v>
      </c>
      <c r="F746" s="2">
        <f>DATE(Table1[[#This Row],[Tahun]],Table1[[#This Row],[Bulan]],1)</f>
        <v>44378</v>
      </c>
      <c r="G746">
        <v>383</v>
      </c>
      <c r="H746">
        <v>294</v>
      </c>
      <c r="I746" s="6">
        <f>(Table1[[#This Row],[Aktual]]-Table1[[#This Row],[Target]])</f>
        <v>89</v>
      </c>
      <c r="J746" s="3">
        <f>(Table1[[#This Row],[Aktual]]-Table1[[#This Row],[Target]])/Table1[[#This Row],[Target]]</f>
        <v>0.30272108843537415</v>
      </c>
      <c r="K746" t="str">
        <f>IF(Table1[[#This Row],[Performance Gap (%)]]&lt;0,"Tidak mencapai target", IF(Table1[[#This Row],[Performance Gap (%)]]=0,"Mencapai target", "Melebihi Target"))</f>
        <v>Melebihi Target</v>
      </c>
      <c r="L746">
        <f>VLOOKUP(Table1[[#This Row],[Propinsi]]&amp;"_"&amp;Table1[[#This Row],[Dati 2]]&amp;"_"&amp;Table1[[#This Row],[Tanggal]],Table2[[#All],[Kompetitor area]:[Jumlah Kompetitor]],7,0)</f>
        <v>219</v>
      </c>
      <c r="M746">
        <f>Table1[[#This Row],[Aktual]]-Table1[[#This Row],[Jumlah Kompetitor]]</f>
        <v>164</v>
      </c>
      <c r="N746" t="str">
        <f>IF(Table1[[#This Row],[vs Kompetitor]]&gt;0,"Win", "Lose")</f>
        <v>Win</v>
      </c>
    </row>
    <row r="747" spans="1:14" x14ac:dyDescent="0.25">
      <c r="A747">
        <v>746</v>
      </c>
      <c r="B747" t="s">
        <v>6</v>
      </c>
      <c r="C747" t="s">
        <v>56</v>
      </c>
      <c r="D747">
        <v>7</v>
      </c>
      <c r="E747">
        <v>2021</v>
      </c>
      <c r="F747" s="2">
        <f>DATE(Table1[[#This Row],[Tahun]],Table1[[#This Row],[Bulan]],1)</f>
        <v>44378</v>
      </c>
      <c r="G747">
        <v>137</v>
      </c>
      <c r="H747">
        <v>145</v>
      </c>
      <c r="I747" s="6">
        <f>(Table1[[#This Row],[Aktual]]-Table1[[#This Row],[Target]])</f>
        <v>-8</v>
      </c>
      <c r="J747" s="3">
        <f>(Table1[[#This Row],[Aktual]]-Table1[[#This Row],[Target]])/Table1[[#This Row],[Target]]</f>
        <v>-5.5172413793103448E-2</v>
      </c>
      <c r="K747" t="str">
        <f>IF(Table1[[#This Row],[Performance Gap (%)]]&lt;0,"Tidak mencapai target", IF(Table1[[#This Row],[Performance Gap (%)]]=0,"Mencapai target", "Melebihi Target"))</f>
        <v>Tidak mencapai target</v>
      </c>
      <c r="L747">
        <f>VLOOKUP(Table1[[#This Row],[Propinsi]]&amp;"_"&amp;Table1[[#This Row],[Dati 2]]&amp;"_"&amp;Table1[[#This Row],[Tanggal]],Table2[[#All],[Kompetitor area]:[Jumlah Kompetitor]],7,0)</f>
        <v>153</v>
      </c>
      <c r="M747">
        <f>Table1[[#This Row],[Aktual]]-Table1[[#This Row],[Jumlah Kompetitor]]</f>
        <v>-16</v>
      </c>
      <c r="N747" t="str">
        <f>IF(Table1[[#This Row],[vs Kompetitor]]&gt;0,"Win", "Lose")</f>
        <v>Lose</v>
      </c>
    </row>
    <row r="748" spans="1:14" x14ac:dyDescent="0.25">
      <c r="A748">
        <v>747</v>
      </c>
      <c r="B748" t="s">
        <v>6</v>
      </c>
      <c r="C748" t="s">
        <v>57</v>
      </c>
      <c r="D748">
        <v>7</v>
      </c>
      <c r="E748">
        <v>2021</v>
      </c>
      <c r="F748" s="2">
        <f>DATE(Table1[[#This Row],[Tahun]],Table1[[#This Row],[Bulan]],1)</f>
        <v>44378</v>
      </c>
      <c r="G748">
        <v>557</v>
      </c>
      <c r="H748">
        <v>497</v>
      </c>
      <c r="I748" s="6">
        <f>(Table1[[#This Row],[Aktual]]-Table1[[#This Row],[Target]])</f>
        <v>60</v>
      </c>
      <c r="J748" s="3">
        <f>(Table1[[#This Row],[Aktual]]-Table1[[#This Row],[Target]])/Table1[[#This Row],[Target]]</f>
        <v>0.12072434607645875</v>
      </c>
      <c r="K748" t="str">
        <f>IF(Table1[[#This Row],[Performance Gap (%)]]&lt;0,"Tidak mencapai target", IF(Table1[[#This Row],[Performance Gap (%)]]=0,"Mencapai target", "Melebihi Target"))</f>
        <v>Melebihi Target</v>
      </c>
      <c r="L748">
        <f>VLOOKUP(Table1[[#This Row],[Propinsi]]&amp;"_"&amp;Table1[[#This Row],[Dati 2]]&amp;"_"&amp;Table1[[#This Row],[Tanggal]],Table2[[#All],[Kompetitor area]:[Jumlah Kompetitor]],7,0)</f>
        <v>28</v>
      </c>
      <c r="M748">
        <f>Table1[[#This Row],[Aktual]]-Table1[[#This Row],[Jumlah Kompetitor]]</f>
        <v>529</v>
      </c>
      <c r="N748" t="str">
        <f>IF(Table1[[#This Row],[vs Kompetitor]]&gt;0,"Win", "Lose")</f>
        <v>Win</v>
      </c>
    </row>
    <row r="749" spans="1:14" x14ac:dyDescent="0.25">
      <c r="A749">
        <v>748</v>
      </c>
      <c r="B749" t="s">
        <v>6</v>
      </c>
      <c r="C749" t="s">
        <v>58</v>
      </c>
      <c r="D749">
        <v>7</v>
      </c>
      <c r="E749">
        <v>2021</v>
      </c>
      <c r="F749" s="2">
        <f>DATE(Table1[[#This Row],[Tahun]],Table1[[#This Row],[Bulan]],1)</f>
        <v>44378</v>
      </c>
      <c r="G749">
        <v>600</v>
      </c>
      <c r="H749">
        <v>517</v>
      </c>
      <c r="I749" s="6">
        <f>(Table1[[#This Row],[Aktual]]-Table1[[#This Row],[Target]])</f>
        <v>83</v>
      </c>
      <c r="J749" s="3">
        <f>(Table1[[#This Row],[Aktual]]-Table1[[#This Row],[Target]])/Table1[[#This Row],[Target]]</f>
        <v>0.16054158607350097</v>
      </c>
      <c r="K749" t="str">
        <f>IF(Table1[[#This Row],[Performance Gap (%)]]&lt;0,"Tidak mencapai target", IF(Table1[[#This Row],[Performance Gap (%)]]=0,"Mencapai target", "Melebihi Target"))</f>
        <v>Melebihi Target</v>
      </c>
      <c r="L749">
        <f>VLOOKUP(Table1[[#This Row],[Propinsi]]&amp;"_"&amp;Table1[[#This Row],[Dati 2]]&amp;"_"&amp;Table1[[#This Row],[Tanggal]],Table2[[#All],[Kompetitor area]:[Jumlah Kompetitor]],7,0)</f>
        <v>120</v>
      </c>
      <c r="M749">
        <f>Table1[[#This Row],[Aktual]]-Table1[[#This Row],[Jumlah Kompetitor]]</f>
        <v>480</v>
      </c>
      <c r="N749" t="str">
        <f>IF(Table1[[#This Row],[vs Kompetitor]]&gt;0,"Win", "Lose")</f>
        <v>Win</v>
      </c>
    </row>
    <row r="750" spans="1:14" x14ac:dyDescent="0.25">
      <c r="A750">
        <v>749</v>
      </c>
      <c r="B750" t="s">
        <v>6</v>
      </c>
      <c r="C750" t="s">
        <v>59</v>
      </c>
      <c r="D750">
        <v>7</v>
      </c>
      <c r="E750">
        <v>2021</v>
      </c>
      <c r="F750" s="2">
        <f>DATE(Table1[[#This Row],[Tahun]],Table1[[#This Row],[Bulan]],1)</f>
        <v>44378</v>
      </c>
      <c r="G750">
        <v>181</v>
      </c>
      <c r="H750">
        <v>150</v>
      </c>
      <c r="I750" s="6">
        <f>(Table1[[#This Row],[Aktual]]-Table1[[#This Row],[Target]])</f>
        <v>31</v>
      </c>
      <c r="J750" s="3">
        <f>(Table1[[#This Row],[Aktual]]-Table1[[#This Row],[Target]])/Table1[[#This Row],[Target]]</f>
        <v>0.20666666666666667</v>
      </c>
      <c r="K750" t="str">
        <f>IF(Table1[[#This Row],[Performance Gap (%)]]&lt;0,"Tidak mencapai target", IF(Table1[[#This Row],[Performance Gap (%)]]=0,"Mencapai target", "Melebihi Target"))</f>
        <v>Melebihi Target</v>
      </c>
      <c r="L750">
        <f>VLOOKUP(Table1[[#This Row],[Propinsi]]&amp;"_"&amp;Table1[[#This Row],[Dati 2]]&amp;"_"&amp;Table1[[#This Row],[Tanggal]],Table2[[#All],[Kompetitor area]:[Jumlah Kompetitor]],7,0)</f>
        <v>139</v>
      </c>
      <c r="M750">
        <f>Table1[[#This Row],[Aktual]]-Table1[[#This Row],[Jumlah Kompetitor]]</f>
        <v>42</v>
      </c>
      <c r="N750" t="str">
        <f>IF(Table1[[#This Row],[vs Kompetitor]]&gt;0,"Win", "Lose")</f>
        <v>Win</v>
      </c>
    </row>
    <row r="751" spans="1:14" x14ac:dyDescent="0.25">
      <c r="A751">
        <v>750</v>
      </c>
      <c r="B751" t="s">
        <v>6</v>
      </c>
      <c r="C751" t="s">
        <v>60</v>
      </c>
      <c r="D751">
        <v>7</v>
      </c>
      <c r="E751">
        <v>2021</v>
      </c>
      <c r="F751" s="2">
        <f>DATE(Table1[[#This Row],[Tahun]],Table1[[#This Row],[Bulan]],1)</f>
        <v>44378</v>
      </c>
      <c r="G751">
        <v>87</v>
      </c>
      <c r="H751">
        <v>74</v>
      </c>
      <c r="I751" s="6">
        <f>(Table1[[#This Row],[Aktual]]-Table1[[#This Row],[Target]])</f>
        <v>13</v>
      </c>
      <c r="J751" s="3">
        <f>(Table1[[#This Row],[Aktual]]-Table1[[#This Row],[Target]])/Table1[[#This Row],[Target]]</f>
        <v>0.17567567567567569</v>
      </c>
      <c r="K751" t="str">
        <f>IF(Table1[[#This Row],[Performance Gap (%)]]&lt;0,"Tidak mencapai target", IF(Table1[[#This Row],[Performance Gap (%)]]=0,"Mencapai target", "Melebihi Target"))</f>
        <v>Melebihi Target</v>
      </c>
      <c r="L751">
        <f>VLOOKUP(Table1[[#This Row],[Propinsi]]&amp;"_"&amp;Table1[[#This Row],[Dati 2]]&amp;"_"&amp;Table1[[#This Row],[Tanggal]],Table2[[#All],[Kompetitor area]:[Jumlah Kompetitor]],7,0)</f>
        <v>110</v>
      </c>
      <c r="M751">
        <f>Table1[[#This Row],[Aktual]]-Table1[[#This Row],[Jumlah Kompetitor]]</f>
        <v>-23</v>
      </c>
      <c r="N751" t="str">
        <f>IF(Table1[[#This Row],[vs Kompetitor]]&gt;0,"Win", "Lose")</f>
        <v>Lose</v>
      </c>
    </row>
    <row r="752" spans="1:14" x14ac:dyDescent="0.25">
      <c r="A752">
        <v>751</v>
      </c>
      <c r="B752" t="s">
        <v>6</v>
      </c>
      <c r="C752" t="s">
        <v>61</v>
      </c>
      <c r="D752">
        <v>7</v>
      </c>
      <c r="E752">
        <v>2021</v>
      </c>
      <c r="F752" s="2">
        <f>DATE(Table1[[#This Row],[Tahun]],Table1[[#This Row],[Bulan]],1)</f>
        <v>44378</v>
      </c>
      <c r="G752">
        <v>618</v>
      </c>
      <c r="H752">
        <v>528</v>
      </c>
      <c r="I752" s="6">
        <f>(Table1[[#This Row],[Aktual]]-Table1[[#This Row],[Target]])</f>
        <v>90</v>
      </c>
      <c r="J752" s="3">
        <f>(Table1[[#This Row],[Aktual]]-Table1[[#This Row],[Target]])/Table1[[#This Row],[Target]]</f>
        <v>0.17045454545454544</v>
      </c>
      <c r="K752" t="str">
        <f>IF(Table1[[#This Row],[Performance Gap (%)]]&lt;0,"Tidak mencapai target", IF(Table1[[#This Row],[Performance Gap (%)]]=0,"Mencapai target", "Melebihi Target"))</f>
        <v>Melebihi Target</v>
      </c>
      <c r="L752">
        <f>VLOOKUP(Table1[[#This Row],[Propinsi]]&amp;"_"&amp;Table1[[#This Row],[Dati 2]]&amp;"_"&amp;Table1[[#This Row],[Tanggal]],Table2[[#All],[Kompetitor area]:[Jumlah Kompetitor]],7,0)</f>
        <v>170</v>
      </c>
      <c r="M752">
        <f>Table1[[#This Row],[Aktual]]-Table1[[#This Row],[Jumlah Kompetitor]]</f>
        <v>448</v>
      </c>
      <c r="N752" t="str">
        <f>IF(Table1[[#This Row],[vs Kompetitor]]&gt;0,"Win", "Lose")</f>
        <v>Win</v>
      </c>
    </row>
    <row r="753" spans="1:14" x14ac:dyDescent="0.25">
      <c r="A753">
        <v>752</v>
      </c>
      <c r="B753" t="s">
        <v>3</v>
      </c>
      <c r="C753" t="s">
        <v>62</v>
      </c>
      <c r="D753">
        <v>7</v>
      </c>
      <c r="E753">
        <v>2021</v>
      </c>
      <c r="F753" s="2">
        <f>DATE(Table1[[#This Row],[Tahun]],Table1[[#This Row],[Bulan]],1)</f>
        <v>44378</v>
      </c>
      <c r="G753">
        <v>815</v>
      </c>
      <c r="H753">
        <v>643</v>
      </c>
      <c r="I753" s="6">
        <f>(Table1[[#This Row],[Aktual]]-Table1[[#This Row],[Target]])</f>
        <v>172</v>
      </c>
      <c r="J753" s="3">
        <f>(Table1[[#This Row],[Aktual]]-Table1[[#This Row],[Target]])/Table1[[#This Row],[Target]]</f>
        <v>0.26749611197511663</v>
      </c>
      <c r="K753" t="str">
        <f>IF(Table1[[#This Row],[Performance Gap (%)]]&lt;0,"Tidak mencapai target", IF(Table1[[#This Row],[Performance Gap (%)]]=0,"Mencapai target", "Melebihi Target"))</f>
        <v>Melebihi Target</v>
      </c>
      <c r="L753">
        <f>VLOOKUP(Table1[[#This Row],[Propinsi]]&amp;"_"&amp;Table1[[#This Row],[Dati 2]]&amp;"_"&amp;Table1[[#This Row],[Tanggal]],Table2[[#All],[Kompetitor area]:[Jumlah Kompetitor]],7,0)</f>
        <v>287</v>
      </c>
      <c r="M753">
        <f>Table1[[#This Row],[Aktual]]-Table1[[#This Row],[Jumlah Kompetitor]]</f>
        <v>528</v>
      </c>
      <c r="N753" t="str">
        <f>IF(Table1[[#This Row],[vs Kompetitor]]&gt;0,"Win", "Lose")</f>
        <v>Win</v>
      </c>
    </row>
    <row r="754" spans="1:14" x14ac:dyDescent="0.25">
      <c r="A754">
        <v>753</v>
      </c>
      <c r="B754" t="s">
        <v>3</v>
      </c>
      <c r="C754" t="s">
        <v>63</v>
      </c>
      <c r="D754">
        <v>7</v>
      </c>
      <c r="E754">
        <v>2021</v>
      </c>
      <c r="F754" s="2">
        <f>DATE(Table1[[#This Row],[Tahun]],Table1[[#This Row],[Bulan]],1)</f>
        <v>44378</v>
      </c>
      <c r="G754">
        <v>1010</v>
      </c>
      <c r="H754">
        <v>994</v>
      </c>
      <c r="I754" s="6">
        <f>(Table1[[#This Row],[Aktual]]-Table1[[#This Row],[Target]])</f>
        <v>16</v>
      </c>
      <c r="J754" s="3">
        <f>(Table1[[#This Row],[Aktual]]-Table1[[#This Row],[Target]])/Table1[[#This Row],[Target]]</f>
        <v>1.6096579476861168E-2</v>
      </c>
      <c r="K754" t="str">
        <f>IF(Table1[[#This Row],[Performance Gap (%)]]&lt;0,"Tidak mencapai target", IF(Table1[[#This Row],[Performance Gap (%)]]=0,"Mencapai target", "Melebihi Target"))</f>
        <v>Melebihi Target</v>
      </c>
      <c r="L754">
        <f>VLOOKUP(Table1[[#This Row],[Propinsi]]&amp;"_"&amp;Table1[[#This Row],[Dati 2]]&amp;"_"&amp;Table1[[#This Row],[Tanggal]],Table2[[#All],[Kompetitor area]:[Jumlah Kompetitor]],7,0)</f>
        <v>297</v>
      </c>
      <c r="M754">
        <f>Table1[[#This Row],[Aktual]]-Table1[[#This Row],[Jumlah Kompetitor]]</f>
        <v>713</v>
      </c>
      <c r="N754" t="str">
        <f>IF(Table1[[#This Row],[vs Kompetitor]]&gt;0,"Win", "Lose")</f>
        <v>Win</v>
      </c>
    </row>
    <row r="755" spans="1:14" x14ac:dyDescent="0.25">
      <c r="A755">
        <v>754</v>
      </c>
      <c r="B755" t="s">
        <v>3</v>
      </c>
      <c r="C755" t="s">
        <v>64</v>
      </c>
      <c r="D755">
        <v>7</v>
      </c>
      <c r="E755">
        <v>2021</v>
      </c>
      <c r="F755" s="2">
        <f>DATE(Table1[[#This Row],[Tahun]],Table1[[#This Row],[Bulan]],1)</f>
        <v>44378</v>
      </c>
      <c r="G755">
        <v>632</v>
      </c>
      <c r="H755">
        <v>702</v>
      </c>
      <c r="I755" s="6">
        <f>(Table1[[#This Row],[Aktual]]-Table1[[#This Row],[Target]])</f>
        <v>-70</v>
      </c>
      <c r="J755" s="3">
        <f>(Table1[[#This Row],[Aktual]]-Table1[[#This Row],[Target]])/Table1[[#This Row],[Target]]</f>
        <v>-9.9715099715099717E-2</v>
      </c>
      <c r="K755" t="str">
        <f>IF(Table1[[#This Row],[Performance Gap (%)]]&lt;0,"Tidak mencapai target", IF(Table1[[#This Row],[Performance Gap (%)]]=0,"Mencapai target", "Melebihi Target"))</f>
        <v>Tidak mencapai target</v>
      </c>
      <c r="L755">
        <f>VLOOKUP(Table1[[#This Row],[Propinsi]]&amp;"_"&amp;Table1[[#This Row],[Dati 2]]&amp;"_"&amp;Table1[[#This Row],[Tanggal]],Table2[[#All],[Kompetitor area]:[Jumlah Kompetitor]],7,0)</f>
        <v>146</v>
      </c>
      <c r="M755">
        <f>Table1[[#This Row],[Aktual]]-Table1[[#This Row],[Jumlah Kompetitor]]</f>
        <v>486</v>
      </c>
      <c r="N755" t="str">
        <f>IF(Table1[[#This Row],[vs Kompetitor]]&gt;0,"Win", "Lose")</f>
        <v>Win</v>
      </c>
    </row>
    <row r="756" spans="1:14" x14ac:dyDescent="0.25">
      <c r="A756">
        <v>755</v>
      </c>
      <c r="B756" t="s">
        <v>3</v>
      </c>
      <c r="C756" t="s">
        <v>65</v>
      </c>
      <c r="D756">
        <v>7</v>
      </c>
      <c r="E756">
        <v>2021</v>
      </c>
      <c r="F756" s="2">
        <f>DATE(Table1[[#This Row],[Tahun]],Table1[[#This Row],[Bulan]],1)</f>
        <v>44378</v>
      </c>
      <c r="G756">
        <v>1279</v>
      </c>
      <c r="H756">
        <v>1142</v>
      </c>
      <c r="I756" s="6">
        <f>(Table1[[#This Row],[Aktual]]-Table1[[#This Row],[Target]])</f>
        <v>137</v>
      </c>
      <c r="J756" s="3">
        <f>(Table1[[#This Row],[Aktual]]-Table1[[#This Row],[Target]])/Table1[[#This Row],[Target]]</f>
        <v>0.11996497373029773</v>
      </c>
      <c r="K756" t="str">
        <f>IF(Table1[[#This Row],[Performance Gap (%)]]&lt;0,"Tidak mencapai target", IF(Table1[[#This Row],[Performance Gap (%)]]=0,"Mencapai target", "Melebihi Target"))</f>
        <v>Melebihi Target</v>
      </c>
      <c r="L756">
        <f>VLOOKUP(Table1[[#This Row],[Propinsi]]&amp;"_"&amp;Table1[[#This Row],[Dati 2]]&amp;"_"&amp;Table1[[#This Row],[Tanggal]],Table2[[#All],[Kompetitor area]:[Jumlah Kompetitor]],7,0)</f>
        <v>185</v>
      </c>
      <c r="M756">
        <f>Table1[[#This Row],[Aktual]]-Table1[[#This Row],[Jumlah Kompetitor]]</f>
        <v>1094</v>
      </c>
      <c r="N756" t="str">
        <f>IF(Table1[[#This Row],[vs Kompetitor]]&gt;0,"Win", "Lose")</f>
        <v>Win</v>
      </c>
    </row>
    <row r="757" spans="1:14" x14ac:dyDescent="0.25">
      <c r="A757">
        <v>756</v>
      </c>
      <c r="B757" t="s">
        <v>3</v>
      </c>
      <c r="C757" t="s">
        <v>66</v>
      </c>
      <c r="D757">
        <v>7</v>
      </c>
      <c r="E757">
        <v>2021</v>
      </c>
      <c r="F757" s="2">
        <f>DATE(Table1[[#This Row],[Tahun]],Table1[[#This Row],[Bulan]],1)</f>
        <v>44378</v>
      </c>
      <c r="G757">
        <v>1184</v>
      </c>
      <c r="H757">
        <v>937</v>
      </c>
      <c r="I757" s="6">
        <f>(Table1[[#This Row],[Aktual]]-Table1[[#This Row],[Target]])</f>
        <v>247</v>
      </c>
      <c r="J757" s="3">
        <f>(Table1[[#This Row],[Aktual]]-Table1[[#This Row],[Target]])/Table1[[#This Row],[Target]]</f>
        <v>0.26360725720384204</v>
      </c>
      <c r="K757" t="str">
        <f>IF(Table1[[#This Row],[Performance Gap (%)]]&lt;0,"Tidak mencapai target", IF(Table1[[#This Row],[Performance Gap (%)]]=0,"Mencapai target", "Melebihi Target"))</f>
        <v>Melebihi Target</v>
      </c>
      <c r="L757">
        <f>VLOOKUP(Table1[[#This Row],[Propinsi]]&amp;"_"&amp;Table1[[#This Row],[Dati 2]]&amp;"_"&amp;Table1[[#This Row],[Tanggal]],Table2[[#All],[Kompetitor area]:[Jumlah Kompetitor]],7,0)</f>
        <v>103</v>
      </c>
      <c r="M757">
        <f>Table1[[#This Row],[Aktual]]-Table1[[#This Row],[Jumlah Kompetitor]]</f>
        <v>1081</v>
      </c>
      <c r="N757" t="str">
        <f>IF(Table1[[#This Row],[vs Kompetitor]]&gt;0,"Win", "Lose")</f>
        <v>Win</v>
      </c>
    </row>
    <row r="758" spans="1:14" x14ac:dyDescent="0.25">
      <c r="A758">
        <v>757</v>
      </c>
      <c r="B758" t="s">
        <v>3</v>
      </c>
      <c r="C758" t="s">
        <v>67</v>
      </c>
      <c r="D758">
        <v>7</v>
      </c>
      <c r="E758">
        <v>2021</v>
      </c>
      <c r="F758" s="2">
        <f>DATE(Table1[[#This Row],[Tahun]],Table1[[#This Row],[Bulan]],1)</f>
        <v>44378</v>
      </c>
      <c r="G758">
        <v>24</v>
      </c>
      <c r="H758">
        <v>21</v>
      </c>
      <c r="I758" s="6">
        <f>(Table1[[#This Row],[Aktual]]-Table1[[#This Row],[Target]])</f>
        <v>3</v>
      </c>
      <c r="J758" s="3">
        <f>(Table1[[#This Row],[Aktual]]-Table1[[#This Row],[Target]])/Table1[[#This Row],[Target]]</f>
        <v>0.14285714285714285</v>
      </c>
      <c r="K758" t="str">
        <f>IF(Table1[[#This Row],[Performance Gap (%)]]&lt;0,"Tidak mencapai target", IF(Table1[[#This Row],[Performance Gap (%)]]=0,"Mencapai target", "Melebihi Target"))</f>
        <v>Melebihi Target</v>
      </c>
      <c r="L758">
        <f>VLOOKUP(Table1[[#This Row],[Propinsi]]&amp;"_"&amp;Table1[[#This Row],[Dati 2]]&amp;"_"&amp;Table1[[#This Row],[Tanggal]],Table2[[#All],[Kompetitor area]:[Jumlah Kompetitor]],7,0)</f>
        <v>133</v>
      </c>
      <c r="M758">
        <f>Table1[[#This Row],[Aktual]]-Table1[[#This Row],[Jumlah Kompetitor]]</f>
        <v>-109</v>
      </c>
      <c r="N758" t="str">
        <f>IF(Table1[[#This Row],[vs Kompetitor]]&gt;0,"Win", "Lose")</f>
        <v>Lose</v>
      </c>
    </row>
    <row r="759" spans="1:14" x14ac:dyDescent="0.25">
      <c r="A759">
        <v>758</v>
      </c>
      <c r="B759" t="s">
        <v>2</v>
      </c>
      <c r="C759" t="s">
        <v>68</v>
      </c>
      <c r="D759">
        <v>7</v>
      </c>
      <c r="E759">
        <v>2021</v>
      </c>
      <c r="F759" s="2">
        <f>DATE(Table1[[#This Row],[Tahun]],Table1[[#This Row],[Bulan]],1)</f>
        <v>44378</v>
      </c>
      <c r="G759">
        <v>1126</v>
      </c>
      <c r="H759">
        <v>1246</v>
      </c>
      <c r="I759" s="6">
        <f>(Table1[[#This Row],[Aktual]]-Table1[[#This Row],[Target]])</f>
        <v>-120</v>
      </c>
      <c r="J759" s="3">
        <f>(Table1[[#This Row],[Aktual]]-Table1[[#This Row],[Target]])/Table1[[#This Row],[Target]]</f>
        <v>-9.6308186195826651E-2</v>
      </c>
      <c r="K759" t="str">
        <f>IF(Table1[[#This Row],[Performance Gap (%)]]&lt;0,"Tidak mencapai target", IF(Table1[[#This Row],[Performance Gap (%)]]=0,"Mencapai target", "Melebihi Target"))</f>
        <v>Tidak mencapai target</v>
      </c>
      <c r="L759">
        <f>VLOOKUP(Table1[[#This Row],[Propinsi]]&amp;"_"&amp;Table1[[#This Row],[Dati 2]]&amp;"_"&amp;Table1[[#This Row],[Tanggal]],Table2[[#All],[Kompetitor area]:[Jumlah Kompetitor]],7,0)</f>
        <v>180</v>
      </c>
      <c r="M759">
        <f>Table1[[#This Row],[Aktual]]-Table1[[#This Row],[Jumlah Kompetitor]]</f>
        <v>946</v>
      </c>
      <c r="N759" t="str">
        <f>IF(Table1[[#This Row],[vs Kompetitor]]&gt;0,"Win", "Lose")</f>
        <v>Win</v>
      </c>
    </row>
    <row r="760" spans="1:14" x14ac:dyDescent="0.25">
      <c r="A760">
        <v>759</v>
      </c>
      <c r="B760" t="s">
        <v>2</v>
      </c>
      <c r="C760" t="s">
        <v>69</v>
      </c>
      <c r="D760">
        <v>7</v>
      </c>
      <c r="E760">
        <v>2021</v>
      </c>
      <c r="F760" s="2">
        <f>DATE(Table1[[#This Row],[Tahun]],Table1[[#This Row],[Bulan]],1)</f>
        <v>44378</v>
      </c>
      <c r="G760">
        <v>612</v>
      </c>
      <c r="H760">
        <v>564</v>
      </c>
      <c r="I760" s="6">
        <f>(Table1[[#This Row],[Aktual]]-Table1[[#This Row],[Target]])</f>
        <v>48</v>
      </c>
      <c r="J760" s="3">
        <f>(Table1[[#This Row],[Aktual]]-Table1[[#This Row],[Target]])/Table1[[#This Row],[Target]]</f>
        <v>8.5106382978723402E-2</v>
      </c>
      <c r="K760" t="str">
        <f>IF(Table1[[#This Row],[Performance Gap (%)]]&lt;0,"Tidak mencapai target", IF(Table1[[#This Row],[Performance Gap (%)]]=0,"Mencapai target", "Melebihi Target"))</f>
        <v>Melebihi Target</v>
      </c>
      <c r="L760">
        <f>VLOOKUP(Table1[[#This Row],[Propinsi]]&amp;"_"&amp;Table1[[#This Row],[Dati 2]]&amp;"_"&amp;Table1[[#This Row],[Tanggal]],Table2[[#All],[Kompetitor area]:[Jumlah Kompetitor]],7,0)</f>
        <v>73</v>
      </c>
      <c r="M760">
        <f>Table1[[#This Row],[Aktual]]-Table1[[#This Row],[Jumlah Kompetitor]]</f>
        <v>539</v>
      </c>
      <c r="N760" t="str">
        <f>IF(Table1[[#This Row],[vs Kompetitor]]&gt;0,"Win", "Lose")</f>
        <v>Win</v>
      </c>
    </row>
    <row r="761" spans="1:14" x14ac:dyDescent="0.25">
      <c r="A761">
        <v>760</v>
      </c>
      <c r="B761" t="s">
        <v>4</v>
      </c>
      <c r="C761" t="s">
        <v>70</v>
      </c>
      <c r="D761">
        <v>7</v>
      </c>
      <c r="E761">
        <v>2021</v>
      </c>
      <c r="F761" s="2">
        <f>DATE(Table1[[#This Row],[Tahun]],Table1[[#This Row],[Bulan]],1)</f>
        <v>44378</v>
      </c>
      <c r="G761">
        <v>852</v>
      </c>
      <c r="H761">
        <v>937</v>
      </c>
      <c r="I761" s="6">
        <f>(Table1[[#This Row],[Aktual]]-Table1[[#This Row],[Target]])</f>
        <v>-85</v>
      </c>
      <c r="J761" s="3">
        <f>(Table1[[#This Row],[Aktual]]-Table1[[#This Row],[Target]])/Table1[[#This Row],[Target]]</f>
        <v>-9.0715048025613657E-2</v>
      </c>
      <c r="K761" t="str">
        <f>IF(Table1[[#This Row],[Performance Gap (%)]]&lt;0,"Tidak mencapai target", IF(Table1[[#This Row],[Performance Gap (%)]]=0,"Mencapai target", "Melebihi Target"))</f>
        <v>Tidak mencapai target</v>
      </c>
      <c r="L761">
        <f>VLOOKUP(Table1[[#This Row],[Propinsi]]&amp;"_"&amp;Table1[[#This Row],[Dati 2]]&amp;"_"&amp;Table1[[#This Row],[Tanggal]],Table2[[#All],[Kompetitor area]:[Jumlah Kompetitor]],7,0)</f>
        <v>42</v>
      </c>
      <c r="M761">
        <f>Table1[[#This Row],[Aktual]]-Table1[[#This Row],[Jumlah Kompetitor]]</f>
        <v>810</v>
      </c>
      <c r="N761" t="str">
        <f>IF(Table1[[#This Row],[vs Kompetitor]]&gt;0,"Win", "Lose")</f>
        <v>Win</v>
      </c>
    </row>
    <row r="762" spans="1:14" x14ac:dyDescent="0.25">
      <c r="A762">
        <v>761</v>
      </c>
      <c r="B762" t="s">
        <v>4</v>
      </c>
      <c r="C762" t="s">
        <v>71</v>
      </c>
      <c r="D762">
        <v>7</v>
      </c>
      <c r="E762">
        <v>2021</v>
      </c>
      <c r="F762" s="2">
        <f>DATE(Table1[[#This Row],[Tahun]],Table1[[#This Row],[Bulan]],1)</f>
        <v>44378</v>
      </c>
      <c r="G762">
        <v>1343</v>
      </c>
      <c r="H762">
        <v>1517</v>
      </c>
      <c r="I762" s="6">
        <f>(Table1[[#This Row],[Aktual]]-Table1[[#This Row],[Target]])</f>
        <v>-174</v>
      </c>
      <c r="J762" s="3">
        <f>(Table1[[#This Row],[Aktual]]-Table1[[#This Row],[Target]])/Table1[[#This Row],[Target]]</f>
        <v>-0.11470006591957811</v>
      </c>
      <c r="K762" t="str">
        <f>IF(Table1[[#This Row],[Performance Gap (%)]]&lt;0,"Tidak mencapai target", IF(Table1[[#This Row],[Performance Gap (%)]]=0,"Mencapai target", "Melebihi Target"))</f>
        <v>Tidak mencapai target</v>
      </c>
      <c r="L762">
        <f>VLOOKUP(Table1[[#This Row],[Propinsi]]&amp;"_"&amp;Table1[[#This Row],[Dati 2]]&amp;"_"&amp;Table1[[#This Row],[Tanggal]],Table2[[#All],[Kompetitor area]:[Jumlah Kompetitor]],7,0)</f>
        <v>190</v>
      </c>
      <c r="M762">
        <f>Table1[[#This Row],[Aktual]]-Table1[[#This Row],[Jumlah Kompetitor]]</f>
        <v>1153</v>
      </c>
      <c r="N762" t="str">
        <f>IF(Table1[[#This Row],[vs Kompetitor]]&gt;0,"Win", "Lose")</f>
        <v>Win</v>
      </c>
    </row>
    <row r="763" spans="1:14" x14ac:dyDescent="0.25">
      <c r="A763">
        <v>762</v>
      </c>
      <c r="B763" t="s">
        <v>4</v>
      </c>
      <c r="C763" t="s">
        <v>72</v>
      </c>
      <c r="D763">
        <v>7</v>
      </c>
      <c r="E763">
        <v>2021</v>
      </c>
      <c r="F763" s="2">
        <f>DATE(Table1[[#This Row],[Tahun]],Table1[[#This Row],[Bulan]],1)</f>
        <v>44378</v>
      </c>
      <c r="G763">
        <v>1311</v>
      </c>
      <c r="H763">
        <v>1271</v>
      </c>
      <c r="I763" s="6">
        <f>(Table1[[#This Row],[Aktual]]-Table1[[#This Row],[Target]])</f>
        <v>40</v>
      </c>
      <c r="J763" s="3">
        <f>(Table1[[#This Row],[Aktual]]-Table1[[#This Row],[Target]])/Table1[[#This Row],[Target]]</f>
        <v>3.1471282454760031E-2</v>
      </c>
      <c r="K763" t="str">
        <f>IF(Table1[[#This Row],[Performance Gap (%)]]&lt;0,"Tidak mencapai target", IF(Table1[[#This Row],[Performance Gap (%)]]=0,"Mencapai target", "Melebihi Target"))</f>
        <v>Melebihi Target</v>
      </c>
      <c r="L763">
        <f>VLOOKUP(Table1[[#This Row],[Propinsi]]&amp;"_"&amp;Table1[[#This Row],[Dati 2]]&amp;"_"&amp;Table1[[#This Row],[Tanggal]],Table2[[#All],[Kompetitor area]:[Jumlah Kompetitor]],7,0)</f>
        <v>324</v>
      </c>
      <c r="M763">
        <f>Table1[[#This Row],[Aktual]]-Table1[[#This Row],[Jumlah Kompetitor]]</f>
        <v>987</v>
      </c>
      <c r="N763" t="str">
        <f>IF(Table1[[#This Row],[vs Kompetitor]]&gt;0,"Win", "Lose")</f>
        <v>Win</v>
      </c>
    </row>
    <row r="764" spans="1:14" x14ac:dyDescent="0.25">
      <c r="A764">
        <v>763</v>
      </c>
      <c r="B764" t="s">
        <v>4</v>
      </c>
      <c r="C764" t="s">
        <v>73</v>
      </c>
      <c r="D764">
        <v>7</v>
      </c>
      <c r="E764">
        <v>2021</v>
      </c>
      <c r="F764" s="2">
        <f>DATE(Table1[[#This Row],[Tahun]],Table1[[#This Row],[Bulan]],1)</f>
        <v>44378</v>
      </c>
      <c r="G764">
        <v>1670</v>
      </c>
      <c r="H764">
        <v>1475</v>
      </c>
      <c r="I764" s="6">
        <f>(Table1[[#This Row],[Aktual]]-Table1[[#This Row],[Target]])</f>
        <v>195</v>
      </c>
      <c r="J764" s="3">
        <f>(Table1[[#This Row],[Aktual]]-Table1[[#This Row],[Target]])/Table1[[#This Row],[Target]]</f>
        <v>0.13220338983050847</v>
      </c>
      <c r="K764" t="str">
        <f>IF(Table1[[#This Row],[Performance Gap (%)]]&lt;0,"Tidak mencapai target", IF(Table1[[#This Row],[Performance Gap (%)]]=0,"Mencapai target", "Melebihi Target"))</f>
        <v>Melebihi Target</v>
      </c>
      <c r="L764">
        <f>VLOOKUP(Table1[[#This Row],[Propinsi]]&amp;"_"&amp;Table1[[#This Row],[Dati 2]]&amp;"_"&amp;Table1[[#This Row],[Tanggal]],Table2[[#All],[Kompetitor area]:[Jumlah Kompetitor]],7,0)</f>
        <v>38</v>
      </c>
      <c r="M764">
        <f>Table1[[#This Row],[Aktual]]-Table1[[#This Row],[Jumlah Kompetitor]]</f>
        <v>1632</v>
      </c>
      <c r="N764" t="str">
        <f>IF(Table1[[#This Row],[vs Kompetitor]]&gt;0,"Win", "Lose")</f>
        <v>Win</v>
      </c>
    </row>
    <row r="765" spans="1:14" x14ac:dyDescent="0.25">
      <c r="A765">
        <v>764</v>
      </c>
      <c r="B765" t="s">
        <v>4</v>
      </c>
      <c r="C765" t="s">
        <v>74</v>
      </c>
      <c r="D765">
        <v>7</v>
      </c>
      <c r="E765">
        <v>2021</v>
      </c>
      <c r="F765" s="2">
        <f>DATE(Table1[[#This Row],[Tahun]],Table1[[#This Row],[Bulan]],1)</f>
        <v>44378</v>
      </c>
      <c r="G765">
        <v>1774</v>
      </c>
      <c r="H765">
        <v>1421</v>
      </c>
      <c r="I765" s="6">
        <f>(Table1[[#This Row],[Aktual]]-Table1[[#This Row],[Target]])</f>
        <v>353</v>
      </c>
      <c r="J765" s="3">
        <f>(Table1[[#This Row],[Aktual]]-Table1[[#This Row],[Target]])/Table1[[#This Row],[Target]]</f>
        <v>0.24841660802251936</v>
      </c>
      <c r="K765" t="str">
        <f>IF(Table1[[#This Row],[Performance Gap (%)]]&lt;0,"Tidak mencapai target", IF(Table1[[#This Row],[Performance Gap (%)]]=0,"Mencapai target", "Melebihi Target"))</f>
        <v>Melebihi Target</v>
      </c>
      <c r="L765">
        <f>VLOOKUP(Table1[[#This Row],[Propinsi]]&amp;"_"&amp;Table1[[#This Row],[Dati 2]]&amp;"_"&amp;Table1[[#This Row],[Tanggal]],Table2[[#All],[Kompetitor area]:[Jumlah Kompetitor]],7,0)</f>
        <v>189</v>
      </c>
      <c r="M765">
        <f>Table1[[#This Row],[Aktual]]-Table1[[#This Row],[Jumlah Kompetitor]]</f>
        <v>1585</v>
      </c>
      <c r="N765" t="str">
        <f>IF(Table1[[#This Row],[vs Kompetitor]]&gt;0,"Win", "Lose")</f>
        <v>Win</v>
      </c>
    </row>
    <row r="766" spans="1:14" x14ac:dyDescent="0.25">
      <c r="A766">
        <v>765</v>
      </c>
      <c r="B766" t="s">
        <v>4</v>
      </c>
      <c r="C766" t="s">
        <v>75</v>
      </c>
      <c r="D766">
        <v>7</v>
      </c>
      <c r="E766">
        <v>2021</v>
      </c>
      <c r="F766" s="2">
        <f>DATE(Table1[[#This Row],[Tahun]],Table1[[#This Row],[Bulan]],1)</f>
        <v>44378</v>
      </c>
      <c r="G766">
        <v>483</v>
      </c>
      <c r="H766">
        <v>464</v>
      </c>
      <c r="I766" s="6">
        <f>(Table1[[#This Row],[Aktual]]-Table1[[#This Row],[Target]])</f>
        <v>19</v>
      </c>
      <c r="J766" s="3">
        <f>(Table1[[#This Row],[Aktual]]-Table1[[#This Row],[Target]])/Table1[[#This Row],[Target]]</f>
        <v>4.0948275862068964E-2</v>
      </c>
      <c r="K766" t="str">
        <f>IF(Table1[[#This Row],[Performance Gap (%)]]&lt;0,"Tidak mencapai target", IF(Table1[[#This Row],[Performance Gap (%)]]=0,"Mencapai target", "Melebihi Target"))</f>
        <v>Melebihi Target</v>
      </c>
      <c r="L766">
        <f>VLOOKUP(Table1[[#This Row],[Propinsi]]&amp;"_"&amp;Table1[[#This Row],[Dati 2]]&amp;"_"&amp;Table1[[#This Row],[Tanggal]],Table2[[#All],[Kompetitor area]:[Jumlah Kompetitor]],7,0)</f>
        <v>136</v>
      </c>
      <c r="M766">
        <f>Table1[[#This Row],[Aktual]]-Table1[[#This Row],[Jumlah Kompetitor]]</f>
        <v>347</v>
      </c>
      <c r="N766" t="str">
        <f>IF(Table1[[#This Row],[vs Kompetitor]]&gt;0,"Win", "Lose")</f>
        <v>Win</v>
      </c>
    </row>
    <row r="767" spans="1:14" x14ac:dyDescent="0.25">
      <c r="A767">
        <v>766</v>
      </c>
      <c r="B767" t="s">
        <v>4</v>
      </c>
      <c r="C767" t="s">
        <v>76</v>
      </c>
      <c r="D767">
        <v>7</v>
      </c>
      <c r="E767">
        <v>2021</v>
      </c>
      <c r="F767" s="2">
        <f>DATE(Table1[[#This Row],[Tahun]],Table1[[#This Row],[Bulan]],1)</f>
        <v>44378</v>
      </c>
      <c r="G767">
        <v>589</v>
      </c>
      <c r="H767">
        <v>503</v>
      </c>
      <c r="I767" s="6">
        <f>(Table1[[#This Row],[Aktual]]-Table1[[#This Row],[Target]])</f>
        <v>86</v>
      </c>
      <c r="J767" s="3">
        <f>(Table1[[#This Row],[Aktual]]-Table1[[#This Row],[Target]])/Table1[[#This Row],[Target]]</f>
        <v>0.1709741550695825</v>
      </c>
      <c r="K767" t="str">
        <f>IF(Table1[[#This Row],[Performance Gap (%)]]&lt;0,"Tidak mencapai target", IF(Table1[[#This Row],[Performance Gap (%)]]=0,"Mencapai target", "Melebihi Target"))</f>
        <v>Melebihi Target</v>
      </c>
      <c r="L767">
        <f>VLOOKUP(Table1[[#This Row],[Propinsi]]&amp;"_"&amp;Table1[[#This Row],[Dati 2]]&amp;"_"&amp;Table1[[#This Row],[Tanggal]],Table2[[#All],[Kompetitor area]:[Jumlah Kompetitor]],7,0)</f>
        <v>86</v>
      </c>
      <c r="M767">
        <f>Table1[[#This Row],[Aktual]]-Table1[[#This Row],[Jumlah Kompetitor]]</f>
        <v>503</v>
      </c>
      <c r="N767" t="str">
        <f>IF(Table1[[#This Row],[vs Kompetitor]]&gt;0,"Win", "Lose")</f>
        <v>Win</v>
      </c>
    </row>
    <row r="768" spans="1:14" x14ac:dyDescent="0.25">
      <c r="A768">
        <v>767</v>
      </c>
      <c r="B768" t="s">
        <v>4</v>
      </c>
      <c r="C768" t="s">
        <v>77</v>
      </c>
      <c r="D768">
        <v>7</v>
      </c>
      <c r="E768">
        <v>2021</v>
      </c>
      <c r="F768" s="2">
        <f>DATE(Table1[[#This Row],[Tahun]],Table1[[#This Row],[Bulan]],1)</f>
        <v>44378</v>
      </c>
      <c r="G768">
        <v>697</v>
      </c>
      <c r="H768">
        <v>637</v>
      </c>
      <c r="I768" s="6">
        <f>(Table1[[#This Row],[Aktual]]-Table1[[#This Row],[Target]])</f>
        <v>60</v>
      </c>
      <c r="J768" s="3">
        <f>(Table1[[#This Row],[Aktual]]-Table1[[#This Row],[Target]])/Table1[[#This Row],[Target]]</f>
        <v>9.4191522762951341E-2</v>
      </c>
      <c r="K768" t="str">
        <f>IF(Table1[[#This Row],[Performance Gap (%)]]&lt;0,"Tidak mencapai target", IF(Table1[[#This Row],[Performance Gap (%)]]=0,"Mencapai target", "Melebihi Target"))</f>
        <v>Melebihi Target</v>
      </c>
      <c r="L768">
        <f>VLOOKUP(Table1[[#This Row],[Propinsi]]&amp;"_"&amp;Table1[[#This Row],[Dati 2]]&amp;"_"&amp;Table1[[#This Row],[Tanggal]],Table2[[#All],[Kompetitor area]:[Jumlah Kompetitor]],7,0)</f>
        <v>157</v>
      </c>
      <c r="M768">
        <f>Table1[[#This Row],[Aktual]]-Table1[[#This Row],[Jumlah Kompetitor]]</f>
        <v>540</v>
      </c>
      <c r="N768" t="str">
        <f>IF(Table1[[#This Row],[vs Kompetitor]]&gt;0,"Win", "Lose")</f>
        <v>Win</v>
      </c>
    </row>
    <row r="769" spans="1:14" x14ac:dyDescent="0.25">
      <c r="A769">
        <v>768</v>
      </c>
      <c r="B769" t="s">
        <v>4</v>
      </c>
      <c r="C769" t="s">
        <v>78</v>
      </c>
      <c r="D769">
        <v>7</v>
      </c>
      <c r="E769">
        <v>2021</v>
      </c>
      <c r="F769" s="2">
        <f>DATE(Table1[[#This Row],[Tahun]],Table1[[#This Row],[Bulan]],1)</f>
        <v>44378</v>
      </c>
      <c r="G769">
        <v>964</v>
      </c>
      <c r="H769">
        <v>862</v>
      </c>
      <c r="I769" s="6">
        <f>(Table1[[#This Row],[Aktual]]-Table1[[#This Row],[Target]])</f>
        <v>102</v>
      </c>
      <c r="J769" s="3">
        <f>(Table1[[#This Row],[Aktual]]-Table1[[#This Row],[Target]])/Table1[[#This Row],[Target]]</f>
        <v>0.11832946635730858</v>
      </c>
      <c r="K769" t="str">
        <f>IF(Table1[[#This Row],[Performance Gap (%)]]&lt;0,"Tidak mencapai target", IF(Table1[[#This Row],[Performance Gap (%)]]=0,"Mencapai target", "Melebihi Target"))</f>
        <v>Melebihi Target</v>
      </c>
      <c r="L769">
        <f>VLOOKUP(Table1[[#This Row],[Propinsi]]&amp;"_"&amp;Table1[[#This Row],[Dati 2]]&amp;"_"&amp;Table1[[#This Row],[Tanggal]],Table2[[#All],[Kompetitor area]:[Jumlah Kompetitor]],7,0)</f>
        <v>50</v>
      </c>
      <c r="M769">
        <f>Table1[[#This Row],[Aktual]]-Table1[[#This Row],[Jumlah Kompetitor]]</f>
        <v>914</v>
      </c>
      <c r="N769" t="str">
        <f>IF(Table1[[#This Row],[vs Kompetitor]]&gt;0,"Win", "Lose")</f>
        <v>Win</v>
      </c>
    </row>
    <row r="770" spans="1:14" x14ac:dyDescent="0.25">
      <c r="A770">
        <v>769</v>
      </c>
      <c r="B770" t="s">
        <v>2</v>
      </c>
      <c r="C770" t="s">
        <v>79</v>
      </c>
      <c r="D770">
        <v>7</v>
      </c>
      <c r="E770">
        <v>2021</v>
      </c>
      <c r="F770" s="2">
        <f>DATE(Table1[[#This Row],[Tahun]],Table1[[#This Row],[Bulan]],1)</f>
        <v>44378</v>
      </c>
      <c r="G770">
        <v>456</v>
      </c>
      <c r="H770">
        <v>371</v>
      </c>
      <c r="I770" s="6">
        <f>(Table1[[#This Row],[Aktual]]-Table1[[#This Row],[Target]])</f>
        <v>85</v>
      </c>
      <c r="J770" s="3">
        <f>(Table1[[#This Row],[Aktual]]-Table1[[#This Row],[Target]])/Table1[[#This Row],[Target]]</f>
        <v>0.22911051212938005</v>
      </c>
      <c r="K770" t="str">
        <f>IF(Table1[[#This Row],[Performance Gap (%)]]&lt;0,"Tidak mencapai target", IF(Table1[[#This Row],[Performance Gap (%)]]=0,"Mencapai target", "Melebihi Target"))</f>
        <v>Melebihi Target</v>
      </c>
      <c r="L770">
        <f>VLOOKUP(Table1[[#This Row],[Propinsi]]&amp;"_"&amp;Table1[[#This Row],[Dati 2]]&amp;"_"&amp;Table1[[#This Row],[Tanggal]],Table2[[#All],[Kompetitor area]:[Jumlah Kompetitor]],7,0)</f>
        <v>38</v>
      </c>
      <c r="M770">
        <f>Table1[[#This Row],[Aktual]]-Table1[[#This Row],[Jumlah Kompetitor]]</f>
        <v>418</v>
      </c>
      <c r="N770" t="str">
        <f>IF(Table1[[#This Row],[vs Kompetitor]]&gt;0,"Win", "Lose")</f>
        <v>Win</v>
      </c>
    </row>
    <row r="771" spans="1:14" x14ac:dyDescent="0.25">
      <c r="A771">
        <v>770</v>
      </c>
      <c r="B771" t="s">
        <v>2</v>
      </c>
      <c r="C771" t="s">
        <v>80</v>
      </c>
      <c r="D771">
        <v>7</v>
      </c>
      <c r="E771">
        <v>2021</v>
      </c>
      <c r="F771" s="2">
        <f>DATE(Table1[[#This Row],[Tahun]],Table1[[#This Row],[Bulan]],1)</f>
        <v>44378</v>
      </c>
      <c r="G771">
        <v>702</v>
      </c>
      <c r="H771">
        <v>596</v>
      </c>
      <c r="I771" s="6">
        <f>(Table1[[#This Row],[Aktual]]-Table1[[#This Row],[Target]])</f>
        <v>106</v>
      </c>
      <c r="J771" s="3">
        <f>(Table1[[#This Row],[Aktual]]-Table1[[#This Row],[Target]])/Table1[[#This Row],[Target]]</f>
        <v>0.17785234899328858</v>
      </c>
      <c r="K771" t="str">
        <f>IF(Table1[[#This Row],[Performance Gap (%)]]&lt;0,"Tidak mencapai target", IF(Table1[[#This Row],[Performance Gap (%)]]=0,"Mencapai target", "Melebihi Target"))</f>
        <v>Melebihi Target</v>
      </c>
      <c r="L771">
        <f>VLOOKUP(Table1[[#This Row],[Propinsi]]&amp;"_"&amp;Table1[[#This Row],[Dati 2]]&amp;"_"&amp;Table1[[#This Row],[Tanggal]],Table2[[#All],[Kompetitor area]:[Jumlah Kompetitor]],7,0)</f>
        <v>78</v>
      </c>
      <c r="M771">
        <f>Table1[[#This Row],[Aktual]]-Table1[[#This Row],[Jumlah Kompetitor]]</f>
        <v>624</v>
      </c>
      <c r="N771" t="str">
        <f>IF(Table1[[#This Row],[vs Kompetitor]]&gt;0,"Win", "Lose")</f>
        <v>Win</v>
      </c>
    </row>
    <row r="772" spans="1:14" x14ac:dyDescent="0.25">
      <c r="A772">
        <v>771</v>
      </c>
      <c r="B772" t="s">
        <v>2</v>
      </c>
      <c r="C772" t="s">
        <v>81</v>
      </c>
      <c r="D772">
        <v>7</v>
      </c>
      <c r="E772">
        <v>2021</v>
      </c>
      <c r="F772" s="2">
        <f>DATE(Table1[[#This Row],[Tahun]],Table1[[#This Row],[Bulan]],1)</f>
        <v>44378</v>
      </c>
      <c r="G772">
        <v>967</v>
      </c>
      <c r="H772">
        <v>1048</v>
      </c>
      <c r="I772" s="6">
        <f>(Table1[[#This Row],[Aktual]]-Table1[[#This Row],[Target]])</f>
        <v>-81</v>
      </c>
      <c r="J772" s="3">
        <f>(Table1[[#This Row],[Aktual]]-Table1[[#This Row],[Target]])/Table1[[#This Row],[Target]]</f>
        <v>-7.7290076335877866E-2</v>
      </c>
      <c r="K772" t="str">
        <f>IF(Table1[[#This Row],[Performance Gap (%)]]&lt;0,"Tidak mencapai target", IF(Table1[[#This Row],[Performance Gap (%)]]=0,"Mencapai target", "Melebihi Target"))</f>
        <v>Tidak mencapai target</v>
      </c>
      <c r="L772">
        <f>VLOOKUP(Table1[[#This Row],[Propinsi]]&amp;"_"&amp;Table1[[#This Row],[Dati 2]]&amp;"_"&amp;Table1[[#This Row],[Tanggal]],Table2[[#All],[Kompetitor area]:[Jumlah Kompetitor]],7,0)</f>
        <v>32</v>
      </c>
      <c r="M772">
        <f>Table1[[#This Row],[Aktual]]-Table1[[#This Row],[Jumlah Kompetitor]]</f>
        <v>935</v>
      </c>
      <c r="N772" t="str">
        <f>IF(Table1[[#This Row],[vs Kompetitor]]&gt;0,"Win", "Lose")</f>
        <v>Win</v>
      </c>
    </row>
    <row r="773" spans="1:14" x14ac:dyDescent="0.25">
      <c r="A773">
        <v>772</v>
      </c>
      <c r="B773" t="s">
        <v>2</v>
      </c>
      <c r="C773" t="s">
        <v>82</v>
      </c>
      <c r="D773">
        <v>7</v>
      </c>
      <c r="E773">
        <v>2021</v>
      </c>
      <c r="F773" s="2">
        <f>DATE(Table1[[#This Row],[Tahun]],Table1[[#This Row],[Bulan]],1)</f>
        <v>44378</v>
      </c>
      <c r="G773">
        <v>278</v>
      </c>
      <c r="H773">
        <v>257</v>
      </c>
      <c r="I773" s="6">
        <f>(Table1[[#This Row],[Aktual]]-Table1[[#This Row],[Target]])</f>
        <v>21</v>
      </c>
      <c r="J773" s="3">
        <f>(Table1[[#This Row],[Aktual]]-Table1[[#This Row],[Target]])/Table1[[#This Row],[Target]]</f>
        <v>8.171206225680934E-2</v>
      </c>
      <c r="K773" t="str">
        <f>IF(Table1[[#This Row],[Performance Gap (%)]]&lt;0,"Tidak mencapai target", IF(Table1[[#This Row],[Performance Gap (%)]]=0,"Mencapai target", "Melebihi Target"))</f>
        <v>Melebihi Target</v>
      </c>
      <c r="L773">
        <f>VLOOKUP(Table1[[#This Row],[Propinsi]]&amp;"_"&amp;Table1[[#This Row],[Dati 2]]&amp;"_"&amp;Table1[[#This Row],[Tanggal]],Table2[[#All],[Kompetitor area]:[Jumlah Kompetitor]],7,0)</f>
        <v>37</v>
      </c>
      <c r="M773">
        <f>Table1[[#This Row],[Aktual]]-Table1[[#This Row],[Jumlah Kompetitor]]</f>
        <v>241</v>
      </c>
      <c r="N773" t="str">
        <f>IF(Table1[[#This Row],[vs Kompetitor]]&gt;0,"Win", "Lose")</f>
        <v>Win</v>
      </c>
    </row>
    <row r="774" spans="1:14" x14ac:dyDescent="0.25">
      <c r="A774">
        <v>773</v>
      </c>
      <c r="B774" t="s">
        <v>4</v>
      </c>
      <c r="C774" t="s">
        <v>83</v>
      </c>
      <c r="D774">
        <v>7</v>
      </c>
      <c r="E774">
        <v>2021</v>
      </c>
      <c r="F774" s="2">
        <f>DATE(Table1[[#This Row],[Tahun]],Table1[[#This Row],[Bulan]],1)</f>
        <v>44378</v>
      </c>
      <c r="G774">
        <v>144</v>
      </c>
      <c r="H774">
        <v>132</v>
      </c>
      <c r="I774" s="6">
        <f>(Table1[[#This Row],[Aktual]]-Table1[[#This Row],[Target]])</f>
        <v>12</v>
      </c>
      <c r="J774" s="3">
        <f>(Table1[[#This Row],[Aktual]]-Table1[[#This Row],[Target]])/Table1[[#This Row],[Target]]</f>
        <v>9.0909090909090912E-2</v>
      </c>
      <c r="K774" t="str">
        <f>IF(Table1[[#This Row],[Performance Gap (%)]]&lt;0,"Tidak mencapai target", IF(Table1[[#This Row],[Performance Gap (%)]]=0,"Mencapai target", "Melebihi Target"))</f>
        <v>Melebihi Target</v>
      </c>
      <c r="L774">
        <f>VLOOKUP(Table1[[#This Row],[Propinsi]]&amp;"_"&amp;Table1[[#This Row],[Dati 2]]&amp;"_"&amp;Table1[[#This Row],[Tanggal]],Table2[[#All],[Kompetitor area]:[Jumlah Kompetitor]],7,0)</f>
        <v>39</v>
      </c>
      <c r="M774">
        <f>Table1[[#This Row],[Aktual]]-Table1[[#This Row],[Jumlah Kompetitor]]</f>
        <v>105</v>
      </c>
      <c r="N774" t="str">
        <f>IF(Table1[[#This Row],[vs Kompetitor]]&gt;0,"Win", "Lose")</f>
        <v>Win</v>
      </c>
    </row>
    <row r="775" spans="1:14" x14ac:dyDescent="0.25">
      <c r="A775">
        <v>774</v>
      </c>
      <c r="B775" t="s">
        <v>4</v>
      </c>
      <c r="C775" t="s">
        <v>84</v>
      </c>
      <c r="D775">
        <v>7</v>
      </c>
      <c r="E775">
        <v>2021</v>
      </c>
      <c r="F775" s="2">
        <f>DATE(Table1[[#This Row],[Tahun]],Table1[[#This Row],[Bulan]],1)</f>
        <v>44378</v>
      </c>
      <c r="G775">
        <v>1927</v>
      </c>
      <c r="H775">
        <v>1722</v>
      </c>
      <c r="I775" s="6">
        <f>(Table1[[#This Row],[Aktual]]-Table1[[#This Row],[Target]])</f>
        <v>205</v>
      </c>
      <c r="J775" s="3">
        <f>(Table1[[#This Row],[Aktual]]-Table1[[#This Row],[Target]])/Table1[[#This Row],[Target]]</f>
        <v>0.11904761904761904</v>
      </c>
      <c r="K775" t="str">
        <f>IF(Table1[[#This Row],[Performance Gap (%)]]&lt;0,"Tidak mencapai target", IF(Table1[[#This Row],[Performance Gap (%)]]=0,"Mencapai target", "Melebihi Target"))</f>
        <v>Melebihi Target</v>
      </c>
      <c r="L775">
        <f>VLOOKUP(Table1[[#This Row],[Propinsi]]&amp;"_"&amp;Table1[[#This Row],[Dati 2]]&amp;"_"&amp;Table1[[#This Row],[Tanggal]],Table2[[#All],[Kompetitor area]:[Jumlah Kompetitor]],7,0)</f>
        <v>190</v>
      </c>
      <c r="M775">
        <f>Table1[[#This Row],[Aktual]]-Table1[[#This Row],[Jumlah Kompetitor]]</f>
        <v>1737</v>
      </c>
      <c r="N775" t="str">
        <f>IF(Table1[[#This Row],[vs Kompetitor]]&gt;0,"Win", "Lose")</f>
        <v>Win</v>
      </c>
    </row>
    <row r="776" spans="1:14" x14ac:dyDescent="0.25">
      <c r="A776">
        <v>775</v>
      </c>
      <c r="B776" t="s">
        <v>4</v>
      </c>
      <c r="C776" t="s">
        <v>85</v>
      </c>
      <c r="D776">
        <v>7</v>
      </c>
      <c r="E776">
        <v>2021</v>
      </c>
      <c r="F776" s="2">
        <f>DATE(Table1[[#This Row],[Tahun]],Table1[[#This Row],[Bulan]],1)</f>
        <v>44378</v>
      </c>
      <c r="G776">
        <v>1030</v>
      </c>
      <c r="H776">
        <v>882</v>
      </c>
      <c r="I776" s="6">
        <f>(Table1[[#This Row],[Aktual]]-Table1[[#This Row],[Target]])</f>
        <v>148</v>
      </c>
      <c r="J776" s="3">
        <f>(Table1[[#This Row],[Aktual]]-Table1[[#This Row],[Target]])/Table1[[#This Row],[Target]]</f>
        <v>0.16780045351473924</v>
      </c>
      <c r="K776" t="str">
        <f>IF(Table1[[#This Row],[Performance Gap (%)]]&lt;0,"Tidak mencapai target", IF(Table1[[#This Row],[Performance Gap (%)]]=0,"Mencapai target", "Melebihi Target"))</f>
        <v>Melebihi Target</v>
      </c>
      <c r="L776">
        <f>VLOOKUP(Table1[[#This Row],[Propinsi]]&amp;"_"&amp;Table1[[#This Row],[Dati 2]]&amp;"_"&amp;Table1[[#This Row],[Tanggal]],Table2[[#All],[Kompetitor area]:[Jumlah Kompetitor]],7,0)</f>
        <v>120</v>
      </c>
      <c r="M776">
        <f>Table1[[#This Row],[Aktual]]-Table1[[#This Row],[Jumlah Kompetitor]]</f>
        <v>910</v>
      </c>
      <c r="N776" t="str">
        <f>IF(Table1[[#This Row],[vs Kompetitor]]&gt;0,"Win", "Lose")</f>
        <v>Win</v>
      </c>
    </row>
    <row r="777" spans="1:14" x14ac:dyDescent="0.25">
      <c r="A777">
        <v>776</v>
      </c>
      <c r="B777" t="s">
        <v>4</v>
      </c>
      <c r="C777" t="s">
        <v>86</v>
      </c>
      <c r="D777">
        <v>7</v>
      </c>
      <c r="E777">
        <v>2021</v>
      </c>
      <c r="F777" s="2">
        <f>DATE(Table1[[#This Row],[Tahun]],Table1[[#This Row],[Bulan]],1)</f>
        <v>44378</v>
      </c>
      <c r="G777">
        <v>208</v>
      </c>
      <c r="H777">
        <v>195</v>
      </c>
      <c r="I777" s="6">
        <f>(Table1[[#This Row],[Aktual]]-Table1[[#This Row],[Target]])</f>
        <v>13</v>
      </c>
      <c r="J777" s="3">
        <f>(Table1[[#This Row],[Aktual]]-Table1[[#This Row],[Target]])/Table1[[#This Row],[Target]]</f>
        <v>6.6666666666666666E-2</v>
      </c>
      <c r="K777" t="str">
        <f>IF(Table1[[#This Row],[Performance Gap (%)]]&lt;0,"Tidak mencapai target", IF(Table1[[#This Row],[Performance Gap (%)]]=0,"Mencapai target", "Melebihi Target"))</f>
        <v>Melebihi Target</v>
      </c>
      <c r="L777">
        <f>VLOOKUP(Table1[[#This Row],[Propinsi]]&amp;"_"&amp;Table1[[#This Row],[Dati 2]]&amp;"_"&amp;Table1[[#This Row],[Tanggal]],Table2[[#All],[Kompetitor area]:[Jumlah Kompetitor]],7,0)</f>
        <v>147</v>
      </c>
      <c r="M777">
        <f>Table1[[#This Row],[Aktual]]-Table1[[#This Row],[Jumlah Kompetitor]]</f>
        <v>61</v>
      </c>
      <c r="N777" t="str">
        <f>IF(Table1[[#This Row],[vs Kompetitor]]&gt;0,"Win", "Lose")</f>
        <v>Win</v>
      </c>
    </row>
    <row r="778" spans="1:14" x14ac:dyDescent="0.25">
      <c r="A778">
        <v>777</v>
      </c>
      <c r="B778" t="s">
        <v>4</v>
      </c>
      <c r="C778" t="s">
        <v>87</v>
      </c>
      <c r="D778">
        <v>7</v>
      </c>
      <c r="E778">
        <v>2021</v>
      </c>
      <c r="F778" s="2">
        <f>DATE(Table1[[#This Row],[Tahun]],Table1[[#This Row],[Bulan]],1)</f>
        <v>44378</v>
      </c>
      <c r="G778">
        <v>1290</v>
      </c>
      <c r="H778">
        <v>1329</v>
      </c>
      <c r="I778" s="6">
        <f>(Table1[[#This Row],[Aktual]]-Table1[[#This Row],[Target]])</f>
        <v>-39</v>
      </c>
      <c r="J778" s="3">
        <f>(Table1[[#This Row],[Aktual]]-Table1[[#This Row],[Target]])/Table1[[#This Row],[Target]]</f>
        <v>-2.9345372460496615E-2</v>
      </c>
      <c r="K778" t="str">
        <f>IF(Table1[[#This Row],[Performance Gap (%)]]&lt;0,"Tidak mencapai target", IF(Table1[[#This Row],[Performance Gap (%)]]=0,"Mencapai target", "Melebihi Target"))</f>
        <v>Tidak mencapai target</v>
      </c>
      <c r="L778">
        <f>VLOOKUP(Table1[[#This Row],[Propinsi]]&amp;"_"&amp;Table1[[#This Row],[Dati 2]]&amp;"_"&amp;Table1[[#This Row],[Tanggal]],Table2[[#All],[Kompetitor area]:[Jumlah Kompetitor]],7,0)</f>
        <v>135</v>
      </c>
      <c r="M778">
        <f>Table1[[#This Row],[Aktual]]-Table1[[#This Row],[Jumlah Kompetitor]]</f>
        <v>1155</v>
      </c>
      <c r="N778" t="str">
        <f>IF(Table1[[#This Row],[vs Kompetitor]]&gt;0,"Win", "Lose")</f>
        <v>Win</v>
      </c>
    </row>
    <row r="779" spans="1:14" x14ac:dyDescent="0.25">
      <c r="A779">
        <v>778</v>
      </c>
      <c r="B779" t="s">
        <v>4</v>
      </c>
      <c r="C779" t="s">
        <v>88</v>
      </c>
      <c r="D779">
        <v>7</v>
      </c>
      <c r="E779">
        <v>2021</v>
      </c>
      <c r="F779" s="2">
        <f>DATE(Table1[[#This Row],[Tahun]],Table1[[#This Row],[Bulan]],1)</f>
        <v>44378</v>
      </c>
      <c r="G779">
        <v>835</v>
      </c>
      <c r="H779">
        <v>851</v>
      </c>
      <c r="I779" s="6">
        <f>(Table1[[#This Row],[Aktual]]-Table1[[#This Row],[Target]])</f>
        <v>-16</v>
      </c>
      <c r="J779" s="3">
        <f>(Table1[[#This Row],[Aktual]]-Table1[[#This Row],[Target]])/Table1[[#This Row],[Target]]</f>
        <v>-1.8801410105757931E-2</v>
      </c>
      <c r="K779" t="str">
        <f>IF(Table1[[#This Row],[Performance Gap (%)]]&lt;0,"Tidak mencapai target", IF(Table1[[#This Row],[Performance Gap (%)]]=0,"Mencapai target", "Melebihi Target"))</f>
        <v>Tidak mencapai target</v>
      </c>
      <c r="L779">
        <f>VLOOKUP(Table1[[#This Row],[Propinsi]]&amp;"_"&amp;Table1[[#This Row],[Dati 2]]&amp;"_"&amp;Table1[[#This Row],[Tanggal]],Table2[[#All],[Kompetitor area]:[Jumlah Kompetitor]],7,0)</f>
        <v>93</v>
      </c>
      <c r="M779">
        <f>Table1[[#This Row],[Aktual]]-Table1[[#This Row],[Jumlah Kompetitor]]</f>
        <v>742</v>
      </c>
      <c r="N779" t="str">
        <f>IF(Table1[[#This Row],[vs Kompetitor]]&gt;0,"Win", "Lose")</f>
        <v>Win</v>
      </c>
    </row>
    <row r="780" spans="1:14" x14ac:dyDescent="0.25">
      <c r="A780">
        <v>779</v>
      </c>
      <c r="B780" t="s">
        <v>4</v>
      </c>
      <c r="C780" t="s">
        <v>89</v>
      </c>
      <c r="D780">
        <v>7</v>
      </c>
      <c r="E780">
        <v>2021</v>
      </c>
      <c r="F780" s="2">
        <f>DATE(Table1[[#This Row],[Tahun]],Table1[[#This Row],[Bulan]],1)</f>
        <v>44378</v>
      </c>
      <c r="G780">
        <v>615</v>
      </c>
      <c r="H780">
        <v>553</v>
      </c>
      <c r="I780" s="6">
        <f>(Table1[[#This Row],[Aktual]]-Table1[[#This Row],[Target]])</f>
        <v>62</v>
      </c>
      <c r="J780" s="3">
        <f>(Table1[[#This Row],[Aktual]]-Table1[[#This Row],[Target]])/Table1[[#This Row],[Target]]</f>
        <v>0.11211573236889692</v>
      </c>
      <c r="K780" t="str">
        <f>IF(Table1[[#This Row],[Performance Gap (%)]]&lt;0,"Tidak mencapai target", IF(Table1[[#This Row],[Performance Gap (%)]]=0,"Mencapai target", "Melebihi Target"))</f>
        <v>Melebihi Target</v>
      </c>
      <c r="L780">
        <f>VLOOKUP(Table1[[#This Row],[Propinsi]]&amp;"_"&amp;Table1[[#This Row],[Dati 2]]&amp;"_"&amp;Table1[[#This Row],[Tanggal]],Table2[[#All],[Kompetitor area]:[Jumlah Kompetitor]],7,0)</f>
        <v>128</v>
      </c>
      <c r="M780">
        <f>Table1[[#This Row],[Aktual]]-Table1[[#This Row],[Jumlah Kompetitor]]</f>
        <v>487</v>
      </c>
      <c r="N780" t="str">
        <f>IF(Table1[[#This Row],[vs Kompetitor]]&gt;0,"Win", "Lose")</f>
        <v>Win</v>
      </c>
    </row>
    <row r="781" spans="1:14" x14ac:dyDescent="0.25">
      <c r="A781">
        <v>780</v>
      </c>
      <c r="B781" t="s">
        <v>4</v>
      </c>
      <c r="C781" t="s">
        <v>90</v>
      </c>
      <c r="D781">
        <v>7</v>
      </c>
      <c r="E781">
        <v>2021</v>
      </c>
      <c r="F781" s="2">
        <f>DATE(Table1[[#This Row],[Tahun]],Table1[[#This Row],[Bulan]],1)</f>
        <v>44378</v>
      </c>
      <c r="G781">
        <v>592</v>
      </c>
      <c r="H781">
        <v>516</v>
      </c>
      <c r="I781" s="6">
        <f>(Table1[[#This Row],[Aktual]]-Table1[[#This Row],[Target]])</f>
        <v>76</v>
      </c>
      <c r="J781" s="3">
        <f>(Table1[[#This Row],[Aktual]]-Table1[[#This Row],[Target]])/Table1[[#This Row],[Target]]</f>
        <v>0.14728682170542637</v>
      </c>
      <c r="K781" t="str">
        <f>IF(Table1[[#This Row],[Performance Gap (%)]]&lt;0,"Tidak mencapai target", IF(Table1[[#This Row],[Performance Gap (%)]]=0,"Mencapai target", "Melebihi Target"))</f>
        <v>Melebihi Target</v>
      </c>
      <c r="L781">
        <f>VLOOKUP(Table1[[#This Row],[Propinsi]]&amp;"_"&amp;Table1[[#This Row],[Dati 2]]&amp;"_"&amp;Table1[[#This Row],[Tanggal]],Table2[[#All],[Kompetitor area]:[Jumlah Kompetitor]],7,0)</f>
        <v>109</v>
      </c>
      <c r="M781">
        <f>Table1[[#This Row],[Aktual]]-Table1[[#This Row],[Jumlah Kompetitor]]</f>
        <v>483</v>
      </c>
      <c r="N781" t="str">
        <f>IF(Table1[[#This Row],[vs Kompetitor]]&gt;0,"Win", "Lose")</f>
        <v>Win</v>
      </c>
    </row>
    <row r="782" spans="1:14" x14ac:dyDescent="0.25">
      <c r="A782">
        <v>781</v>
      </c>
      <c r="B782" t="s">
        <v>4</v>
      </c>
      <c r="C782" t="s">
        <v>91</v>
      </c>
      <c r="D782">
        <v>7</v>
      </c>
      <c r="E782">
        <v>2021</v>
      </c>
      <c r="F782" s="2">
        <f>DATE(Table1[[#This Row],[Tahun]],Table1[[#This Row],[Bulan]],1)</f>
        <v>44378</v>
      </c>
      <c r="G782">
        <v>561</v>
      </c>
      <c r="H782">
        <v>486</v>
      </c>
      <c r="I782" s="6">
        <f>(Table1[[#This Row],[Aktual]]-Table1[[#This Row],[Target]])</f>
        <v>75</v>
      </c>
      <c r="J782" s="3">
        <f>(Table1[[#This Row],[Aktual]]-Table1[[#This Row],[Target]])/Table1[[#This Row],[Target]]</f>
        <v>0.15432098765432098</v>
      </c>
      <c r="K782" t="str">
        <f>IF(Table1[[#This Row],[Performance Gap (%)]]&lt;0,"Tidak mencapai target", IF(Table1[[#This Row],[Performance Gap (%)]]=0,"Mencapai target", "Melebihi Target"))</f>
        <v>Melebihi Target</v>
      </c>
      <c r="L782">
        <f>VLOOKUP(Table1[[#This Row],[Propinsi]]&amp;"_"&amp;Table1[[#This Row],[Dati 2]]&amp;"_"&amp;Table1[[#This Row],[Tanggal]],Table2[[#All],[Kompetitor area]:[Jumlah Kompetitor]],7,0)</f>
        <v>128</v>
      </c>
      <c r="M782">
        <f>Table1[[#This Row],[Aktual]]-Table1[[#This Row],[Jumlah Kompetitor]]</f>
        <v>433</v>
      </c>
      <c r="N782" t="str">
        <f>IF(Table1[[#This Row],[vs Kompetitor]]&gt;0,"Win", "Lose")</f>
        <v>Win</v>
      </c>
    </row>
    <row r="783" spans="1:14" x14ac:dyDescent="0.25">
      <c r="A783">
        <v>782</v>
      </c>
      <c r="B783" t="s">
        <v>4</v>
      </c>
      <c r="C783" t="s">
        <v>92</v>
      </c>
      <c r="D783">
        <v>7</v>
      </c>
      <c r="E783">
        <v>2021</v>
      </c>
      <c r="F783" s="2">
        <f>DATE(Table1[[#This Row],[Tahun]],Table1[[#This Row],[Bulan]],1)</f>
        <v>44378</v>
      </c>
      <c r="G783">
        <v>654</v>
      </c>
      <c r="H783">
        <v>660</v>
      </c>
      <c r="I783" s="6">
        <f>(Table1[[#This Row],[Aktual]]-Table1[[#This Row],[Target]])</f>
        <v>-6</v>
      </c>
      <c r="J783" s="3">
        <f>(Table1[[#This Row],[Aktual]]-Table1[[#This Row],[Target]])/Table1[[#This Row],[Target]]</f>
        <v>-9.0909090909090905E-3</v>
      </c>
      <c r="K783" t="str">
        <f>IF(Table1[[#This Row],[Performance Gap (%)]]&lt;0,"Tidak mencapai target", IF(Table1[[#This Row],[Performance Gap (%)]]=0,"Mencapai target", "Melebihi Target"))</f>
        <v>Tidak mencapai target</v>
      </c>
      <c r="L783">
        <f>VLOOKUP(Table1[[#This Row],[Propinsi]]&amp;"_"&amp;Table1[[#This Row],[Dati 2]]&amp;"_"&amp;Table1[[#This Row],[Tanggal]],Table2[[#All],[Kompetitor area]:[Jumlah Kompetitor]],7,0)</f>
        <v>122</v>
      </c>
      <c r="M783">
        <f>Table1[[#This Row],[Aktual]]-Table1[[#This Row],[Jumlah Kompetitor]]</f>
        <v>532</v>
      </c>
      <c r="N783" t="str">
        <f>IF(Table1[[#This Row],[vs Kompetitor]]&gt;0,"Win", "Lose")</f>
        <v>Win</v>
      </c>
    </row>
    <row r="784" spans="1:14" x14ac:dyDescent="0.25">
      <c r="A784">
        <v>783</v>
      </c>
      <c r="B784" t="s">
        <v>4</v>
      </c>
      <c r="C784" t="s">
        <v>93</v>
      </c>
      <c r="D784">
        <v>7</v>
      </c>
      <c r="E784">
        <v>2021</v>
      </c>
      <c r="F784" s="2">
        <f>DATE(Table1[[#This Row],[Tahun]],Table1[[#This Row],[Bulan]],1)</f>
        <v>44378</v>
      </c>
      <c r="G784">
        <v>365</v>
      </c>
      <c r="H784">
        <v>377</v>
      </c>
      <c r="I784" s="6">
        <f>(Table1[[#This Row],[Aktual]]-Table1[[#This Row],[Target]])</f>
        <v>-12</v>
      </c>
      <c r="J784" s="3">
        <f>(Table1[[#This Row],[Aktual]]-Table1[[#This Row],[Target]])/Table1[[#This Row],[Target]]</f>
        <v>-3.1830238726790451E-2</v>
      </c>
      <c r="K784" t="str">
        <f>IF(Table1[[#This Row],[Performance Gap (%)]]&lt;0,"Tidak mencapai target", IF(Table1[[#This Row],[Performance Gap (%)]]=0,"Mencapai target", "Melebihi Target"))</f>
        <v>Tidak mencapai target</v>
      </c>
      <c r="L784">
        <f>VLOOKUP(Table1[[#This Row],[Propinsi]]&amp;"_"&amp;Table1[[#This Row],[Dati 2]]&amp;"_"&amp;Table1[[#This Row],[Tanggal]],Table2[[#All],[Kompetitor area]:[Jumlah Kompetitor]],7,0)</f>
        <v>60</v>
      </c>
      <c r="M784">
        <f>Table1[[#This Row],[Aktual]]-Table1[[#This Row],[Jumlah Kompetitor]]</f>
        <v>305</v>
      </c>
      <c r="N784" t="str">
        <f>IF(Table1[[#This Row],[vs Kompetitor]]&gt;0,"Win", "Lose")</f>
        <v>Win</v>
      </c>
    </row>
    <row r="785" spans="1:14" x14ac:dyDescent="0.25">
      <c r="A785">
        <v>784</v>
      </c>
      <c r="B785" t="s">
        <v>4</v>
      </c>
      <c r="C785" t="s">
        <v>94</v>
      </c>
      <c r="D785">
        <v>7</v>
      </c>
      <c r="E785">
        <v>2021</v>
      </c>
      <c r="F785" s="2">
        <f>DATE(Table1[[#This Row],[Tahun]],Table1[[#This Row],[Bulan]],1)</f>
        <v>44378</v>
      </c>
      <c r="G785">
        <v>86</v>
      </c>
      <c r="H785">
        <v>91</v>
      </c>
      <c r="I785" s="6">
        <f>(Table1[[#This Row],[Aktual]]-Table1[[#This Row],[Target]])</f>
        <v>-5</v>
      </c>
      <c r="J785" s="3">
        <f>(Table1[[#This Row],[Aktual]]-Table1[[#This Row],[Target]])/Table1[[#This Row],[Target]]</f>
        <v>-5.4945054945054944E-2</v>
      </c>
      <c r="K785" t="str">
        <f>IF(Table1[[#This Row],[Performance Gap (%)]]&lt;0,"Tidak mencapai target", IF(Table1[[#This Row],[Performance Gap (%)]]=0,"Mencapai target", "Melebihi Target"))</f>
        <v>Tidak mencapai target</v>
      </c>
      <c r="L785">
        <f>VLOOKUP(Table1[[#This Row],[Propinsi]]&amp;"_"&amp;Table1[[#This Row],[Dati 2]]&amp;"_"&amp;Table1[[#This Row],[Tanggal]],Table2[[#All],[Kompetitor area]:[Jumlah Kompetitor]],7,0)</f>
        <v>68</v>
      </c>
      <c r="M785">
        <f>Table1[[#This Row],[Aktual]]-Table1[[#This Row],[Jumlah Kompetitor]]</f>
        <v>18</v>
      </c>
      <c r="N785" t="str">
        <f>IF(Table1[[#This Row],[vs Kompetitor]]&gt;0,"Win", "Lose")</f>
        <v>Win</v>
      </c>
    </row>
    <row r="786" spans="1:14" x14ac:dyDescent="0.25">
      <c r="A786">
        <v>785</v>
      </c>
      <c r="B786" t="s">
        <v>5</v>
      </c>
      <c r="C786" t="s">
        <v>95</v>
      </c>
      <c r="D786">
        <v>7</v>
      </c>
      <c r="E786">
        <v>2021</v>
      </c>
      <c r="F786" s="2">
        <f>DATE(Table1[[#This Row],[Tahun]],Table1[[#This Row],[Bulan]],1)</f>
        <v>44378</v>
      </c>
      <c r="G786">
        <v>723</v>
      </c>
      <c r="H786">
        <v>662</v>
      </c>
      <c r="I786" s="6">
        <f>(Table1[[#This Row],[Aktual]]-Table1[[#This Row],[Target]])</f>
        <v>61</v>
      </c>
      <c r="J786" s="3">
        <f>(Table1[[#This Row],[Aktual]]-Table1[[#This Row],[Target]])/Table1[[#This Row],[Target]]</f>
        <v>9.2145015105740177E-2</v>
      </c>
      <c r="K786" t="str">
        <f>IF(Table1[[#This Row],[Performance Gap (%)]]&lt;0,"Tidak mencapai target", IF(Table1[[#This Row],[Performance Gap (%)]]=0,"Mencapai target", "Melebihi Target"))</f>
        <v>Melebihi Target</v>
      </c>
      <c r="L786">
        <f>VLOOKUP(Table1[[#This Row],[Propinsi]]&amp;"_"&amp;Table1[[#This Row],[Dati 2]]&amp;"_"&amp;Table1[[#This Row],[Tanggal]],Table2[[#All],[Kompetitor area]:[Jumlah Kompetitor]],7,0)</f>
        <v>46</v>
      </c>
      <c r="M786">
        <f>Table1[[#This Row],[Aktual]]-Table1[[#This Row],[Jumlah Kompetitor]]</f>
        <v>677</v>
      </c>
      <c r="N786" t="str">
        <f>IF(Table1[[#This Row],[vs Kompetitor]]&gt;0,"Win", "Lose")</f>
        <v>Win</v>
      </c>
    </row>
    <row r="787" spans="1:14" x14ac:dyDescent="0.25">
      <c r="A787">
        <v>786</v>
      </c>
      <c r="B787" t="s">
        <v>5</v>
      </c>
      <c r="C787" t="s">
        <v>96</v>
      </c>
      <c r="D787">
        <v>7</v>
      </c>
      <c r="E787">
        <v>2021</v>
      </c>
      <c r="F787" s="2">
        <f>DATE(Table1[[#This Row],[Tahun]],Table1[[#This Row],[Bulan]],1)</f>
        <v>44378</v>
      </c>
      <c r="G787">
        <v>161</v>
      </c>
      <c r="H787">
        <v>127</v>
      </c>
      <c r="I787" s="6">
        <f>(Table1[[#This Row],[Aktual]]-Table1[[#This Row],[Target]])</f>
        <v>34</v>
      </c>
      <c r="J787" s="3">
        <f>(Table1[[#This Row],[Aktual]]-Table1[[#This Row],[Target]])/Table1[[#This Row],[Target]]</f>
        <v>0.26771653543307089</v>
      </c>
      <c r="K787" t="str">
        <f>IF(Table1[[#This Row],[Performance Gap (%)]]&lt;0,"Tidak mencapai target", IF(Table1[[#This Row],[Performance Gap (%)]]=0,"Mencapai target", "Melebihi Target"))</f>
        <v>Melebihi Target</v>
      </c>
      <c r="L787">
        <f>VLOOKUP(Table1[[#This Row],[Propinsi]]&amp;"_"&amp;Table1[[#This Row],[Dati 2]]&amp;"_"&amp;Table1[[#This Row],[Tanggal]],Table2[[#All],[Kompetitor area]:[Jumlah Kompetitor]],7,0)</f>
        <v>72</v>
      </c>
      <c r="M787">
        <f>Table1[[#This Row],[Aktual]]-Table1[[#This Row],[Jumlah Kompetitor]]</f>
        <v>89</v>
      </c>
      <c r="N787" t="str">
        <f>IF(Table1[[#This Row],[vs Kompetitor]]&gt;0,"Win", "Lose")</f>
        <v>Win</v>
      </c>
    </row>
    <row r="788" spans="1:14" x14ac:dyDescent="0.25">
      <c r="A788">
        <v>787</v>
      </c>
      <c r="B788" t="s">
        <v>5</v>
      </c>
      <c r="C788" t="s">
        <v>97</v>
      </c>
      <c r="D788">
        <v>7</v>
      </c>
      <c r="E788">
        <v>2021</v>
      </c>
      <c r="F788" s="2">
        <f>DATE(Table1[[#This Row],[Tahun]],Table1[[#This Row],[Bulan]],1)</f>
        <v>44378</v>
      </c>
      <c r="G788">
        <v>173</v>
      </c>
      <c r="H788">
        <v>142</v>
      </c>
      <c r="I788" s="6">
        <f>(Table1[[#This Row],[Aktual]]-Table1[[#This Row],[Target]])</f>
        <v>31</v>
      </c>
      <c r="J788" s="3">
        <f>(Table1[[#This Row],[Aktual]]-Table1[[#This Row],[Target]])/Table1[[#This Row],[Target]]</f>
        <v>0.21830985915492956</v>
      </c>
      <c r="K788" t="str">
        <f>IF(Table1[[#This Row],[Performance Gap (%)]]&lt;0,"Tidak mencapai target", IF(Table1[[#This Row],[Performance Gap (%)]]=0,"Mencapai target", "Melebihi Target"))</f>
        <v>Melebihi Target</v>
      </c>
      <c r="L788">
        <f>VLOOKUP(Table1[[#This Row],[Propinsi]]&amp;"_"&amp;Table1[[#This Row],[Dati 2]]&amp;"_"&amp;Table1[[#This Row],[Tanggal]],Table2[[#All],[Kompetitor area]:[Jumlah Kompetitor]],7,0)</f>
        <v>103</v>
      </c>
      <c r="M788">
        <f>Table1[[#This Row],[Aktual]]-Table1[[#This Row],[Jumlah Kompetitor]]</f>
        <v>70</v>
      </c>
      <c r="N788" t="str">
        <f>IF(Table1[[#This Row],[vs Kompetitor]]&gt;0,"Win", "Lose")</f>
        <v>Win</v>
      </c>
    </row>
    <row r="789" spans="1:14" x14ac:dyDescent="0.25">
      <c r="A789">
        <v>788</v>
      </c>
      <c r="B789" t="s">
        <v>5</v>
      </c>
      <c r="C789" t="s">
        <v>98</v>
      </c>
      <c r="D789">
        <v>7</v>
      </c>
      <c r="E789">
        <v>2021</v>
      </c>
      <c r="F789" s="2">
        <f>DATE(Table1[[#This Row],[Tahun]],Table1[[#This Row],[Bulan]],1)</f>
        <v>44378</v>
      </c>
      <c r="G789">
        <v>555</v>
      </c>
      <c r="H789">
        <v>492</v>
      </c>
      <c r="I789" s="6">
        <f>(Table1[[#This Row],[Aktual]]-Table1[[#This Row],[Target]])</f>
        <v>63</v>
      </c>
      <c r="J789" s="3">
        <f>(Table1[[#This Row],[Aktual]]-Table1[[#This Row],[Target]])/Table1[[#This Row],[Target]]</f>
        <v>0.12804878048780488</v>
      </c>
      <c r="K789" t="str">
        <f>IF(Table1[[#This Row],[Performance Gap (%)]]&lt;0,"Tidak mencapai target", IF(Table1[[#This Row],[Performance Gap (%)]]=0,"Mencapai target", "Melebihi Target"))</f>
        <v>Melebihi Target</v>
      </c>
      <c r="L789">
        <f>VLOOKUP(Table1[[#This Row],[Propinsi]]&amp;"_"&amp;Table1[[#This Row],[Dati 2]]&amp;"_"&amp;Table1[[#This Row],[Tanggal]],Table2[[#All],[Kompetitor area]:[Jumlah Kompetitor]],7,0)</f>
        <v>69</v>
      </c>
      <c r="M789">
        <f>Table1[[#This Row],[Aktual]]-Table1[[#This Row],[Jumlah Kompetitor]]</f>
        <v>486</v>
      </c>
      <c r="N789" t="str">
        <f>IF(Table1[[#This Row],[vs Kompetitor]]&gt;0,"Win", "Lose")</f>
        <v>Win</v>
      </c>
    </row>
    <row r="790" spans="1:14" x14ac:dyDescent="0.25">
      <c r="A790">
        <v>789</v>
      </c>
      <c r="B790" t="s">
        <v>5</v>
      </c>
      <c r="C790" t="s">
        <v>99</v>
      </c>
      <c r="D790">
        <v>7</v>
      </c>
      <c r="E790">
        <v>2021</v>
      </c>
      <c r="F790" s="2">
        <f>DATE(Table1[[#This Row],[Tahun]],Table1[[#This Row],[Bulan]],1)</f>
        <v>44378</v>
      </c>
      <c r="G790">
        <v>680</v>
      </c>
      <c r="H790">
        <v>649</v>
      </c>
      <c r="I790" s="6">
        <f>(Table1[[#This Row],[Aktual]]-Table1[[#This Row],[Target]])</f>
        <v>31</v>
      </c>
      <c r="J790" s="3">
        <f>(Table1[[#This Row],[Aktual]]-Table1[[#This Row],[Target]])/Table1[[#This Row],[Target]]</f>
        <v>4.7765793528505393E-2</v>
      </c>
      <c r="K790" t="str">
        <f>IF(Table1[[#This Row],[Performance Gap (%)]]&lt;0,"Tidak mencapai target", IF(Table1[[#This Row],[Performance Gap (%)]]=0,"Mencapai target", "Melebihi Target"))</f>
        <v>Melebihi Target</v>
      </c>
      <c r="L790">
        <f>VLOOKUP(Table1[[#This Row],[Propinsi]]&amp;"_"&amp;Table1[[#This Row],[Dati 2]]&amp;"_"&amp;Table1[[#This Row],[Tanggal]],Table2[[#All],[Kompetitor area]:[Jumlah Kompetitor]],7,0)</f>
        <v>72</v>
      </c>
      <c r="M790">
        <f>Table1[[#This Row],[Aktual]]-Table1[[#This Row],[Jumlah Kompetitor]]</f>
        <v>608</v>
      </c>
      <c r="N790" t="str">
        <f>IF(Table1[[#This Row],[vs Kompetitor]]&gt;0,"Win", "Lose")</f>
        <v>Win</v>
      </c>
    </row>
    <row r="791" spans="1:14" x14ac:dyDescent="0.25">
      <c r="A791">
        <v>790</v>
      </c>
      <c r="B791" t="s">
        <v>5</v>
      </c>
      <c r="C791" t="s">
        <v>100</v>
      </c>
      <c r="D791">
        <v>7</v>
      </c>
      <c r="E791">
        <v>2021</v>
      </c>
      <c r="F791" s="2">
        <f>DATE(Table1[[#This Row],[Tahun]],Table1[[#This Row],[Bulan]],1)</f>
        <v>44378</v>
      </c>
      <c r="G791">
        <v>212</v>
      </c>
      <c r="H791">
        <v>198</v>
      </c>
      <c r="I791" s="6">
        <f>(Table1[[#This Row],[Aktual]]-Table1[[#This Row],[Target]])</f>
        <v>14</v>
      </c>
      <c r="J791" s="3">
        <f>(Table1[[#This Row],[Aktual]]-Table1[[#This Row],[Target]])/Table1[[#This Row],[Target]]</f>
        <v>7.0707070707070704E-2</v>
      </c>
      <c r="K791" t="str">
        <f>IF(Table1[[#This Row],[Performance Gap (%)]]&lt;0,"Tidak mencapai target", IF(Table1[[#This Row],[Performance Gap (%)]]=0,"Mencapai target", "Melebihi Target"))</f>
        <v>Melebihi Target</v>
      </c>
      <c r="L791">
        <f>VLOOKUP(Table1[[#This Row],[Propinsi]]&amp;"_"&amp;Table1[[#This Row],[Dati 2]]&amp;"_"&amp;Table1[[#This Row],[Tanggal]],Table2[[#All],[Kompetitor area]:[Jumlah Kompetitor]],7,0)</f>
        <v>151</v>
      </c>
      <c r="M791">
        <f>Table1[[#This Row],[Aktual]]-Table1[[#This Row],[Jumlah Kompetitor]]</f>
        <v>61</v>
      </c>
      <c r="N791" t="str">
        <f>IF(Table1[[#This Row],[vs Kompetitor]]&gt;0,"Win", "Lose")</f>
        <v>Win</v>
      </c>
    </row>
    <row r="792" spans="1:14" x14ac:dyDescent="0.25">
      <c r="A792">
        <v>791</v>
      </c>
      <c r="B792" t="s">
        <v>5</v>
      </c>
      <c r="C792" t="s">
        <v>101</v>
      </c>
      <c r="D792">
        <v>7</v>
      </c>
      <c r="E792">
        <v>2021</v>
      </c>
      <c r="F792" s="2">
        <f>DATE(Table1[[#This Row],[Tahun]],Table1[[#This Row],[Bulan]],1)</f>
        <v>44378</v>
      </c>
      <c r="G792">
        <v>1082</v>
      </c>
      <c r="H792">
        <v>970</v>
      </c>
      <c r="I792" s="6">
        <f>(Table1[[#This Row],[Aktual]]-Table1[[#This Row],[Target]])</f>
        <v>112</v>
      </c>
      <c r="J792" s="3">
        <f>(Table1[[#This Row],[Aktual]]-Table1[[#This Row],[Target]])/Table1[[#This Row],[Target]]</f>
        <v>0.1154639175257732</v>
      </c>
      <c r="K792" t="str">
        <f>IF(Table1[[#This Row],[Performance Gap (%)]]&lt;0,"Tidak mencapai target", IF(Table1[[#This Row],[Performance Gap (%)]]=0,"Mencapai target", "Melebihi Target"))</f>
        <v>Melebihi Target</v>
      </c>
      <c r="L792">
        <f>VLOOKUP(Table1[[#This Row],[Propinsi]]&amp;"_"&amp;Table1[[#This Row],[Dati 2]]&amp;"_"&amp;Table1[[#This Row],[Tanggal]],Table2[[#All],[Kompetitor area]:[Jumlah Kompetitor]],7,0)</f>
        <v>106</v>
      </c>
      <c r="M792">
        <f>Table1[[#This Row],[Aktual]]-Table1[[#This Row],[Jumlah Kompetitor]]</f>
        <v>976</v>
      </c>
      <c r="N792" t="str">
        <f>IF(Table1[[#This Row],[vs Kompetitor]]&gt;0,"Win", "Lose")</f>
        <v>Win</v>
      </c>
    </row>
    <row r="793" spans="1:14" x14ac:dyDescent="0.25">
      <c r="A793">
        <v>792</v>
      </c>
      <c r="B793" t="s">
        <v>5</v>
      </c>
      <c r="C793" t="s">
        <v>102</v>
      </c>
      <c r="D793">
        <v>7</v>
      </c>
      <c r="E793">
        <v>2021</v>
      </c>
      <c r="F793" s="2">
        <f>DATE(Table1[[#This Row],[Tahun]],Table1[[#This Row],[Bulan]],1)</f>
        <v>44378</v>
      </c>
      <c r="G793">
        <v>779</v>
      </c>
      <c r="H793">
        <v>701</v>
      </c>
      <c r="I793" s="6">
        <f>(Table1[[#This Row],[Aktual]]-Table1[[#This Row],[Target]])</f>
        <v>78</v>
      </c>
      <c r="J793" s="3">
        <f>(Table1[[#This Row],[Aktual]]-Table1[[#This Row],[Target]])/Table1[[#This Row],[Target]]</f>
        <v>0.11126961483594865</v>
      </c>
      <c r="K793" t="str">
        <f>IF(Table1[[#This Row],[Performance Gap (%)]]&lt;0,"Tidak mencapai target", IF(Table1[[#This Row],[Performance Gap (%)]]=0,"Mencapai target", "Melebihi Target"))</f>
        <v>Melebihi Target</v>
      </c>
      <c r="L793">
        <f>VLOOKUP(Table1[[#This Row],[Propinsi]]&amp;"_"&amp;Table1[[#This Row],[Dati 2]]&amp;"_"&amp;Table1[[#This Row],[Tanggal]],Table2[[#All],[Kompetitor area]:[Jumlah Kompetitor]],7,0)</f>
        <v>146</v>
      </c>
      <c r="M793">
        <f>Table1[[#This Row],[Aktual]]-Table1[[#This Row],[Jumlah Kompetitor]]</f>
        <v>633</v>
      </c>
      <c r="N793" t="str">
        <f>IF(Table1[[#This Row],[vs Kompetitor]]&gt;0,"Win", "Lose")</f>
        <v>Win</v>
      </c>
    </row>
    <row r="794" spans="1:14" x14ac:dyDescent="0.25">
      <c r="A794">
        <v>793</v>
      </c>
      <c r="B794" t="s">
        <v>5</v>
      </c>
      <c r="C794" t="s">
        <v>103</v>
      </c>
      <c r="D794">
        <v>7</v>
      </c>
      <c r="E794">
        <v>2021</v>
      </c>
      <c r="F794" s="2">
        <f>DATE(Table1[[#This Row],[Tahun]],Table1[[#This Row],[Bulan]],1)</f>
        <v>44378</v>
      </c>
      <c r="G794">
        <v>1676</v>
      </c>
      <c r="H794">
        <v>1448</v>
      </c>
      <c r="I794" s="6">
        <f>(Table1[[#This Row],[Aktual]]-Table1[[#This Row],[Target]])</f>
        <v>228</v>
      </c>
      <c r="J794" s="3">
        <f>(Table1[[#This Row],[Aktual]]-Table1[[#This Row],[Target]])/Table1[[#This Row],[Target]]</f>
        <v>0.15745856353591159</v>
      </c>
      <c r="K794" t="str">
        <f>IF(Table1[[#This Row],[Performance Gap (%)]]&lt;0,"Tidak mencapai target", IF(Table1[[#This Row],[Performance Gap (%)]]=0,"Mencapai target", "Melebihi Target"))</f>
        <v>Melebihi Target</v>
      </c>
      <c r="L794">
        <f>VLOOKUP(Table1[[#This Row],[Propinsi]]&amp;"_"&amp;Table1[[#This Row],[Dati 2]]&amp;"_"&amp;Table1[[#This Row],[Tanggal]],Table2[[#All],[Kompetitor area]:[Jumlah Kompetitor]],7,0)</f>
        <v>87</v>
      </c>
      <c r="M794">
        <f>Table1[[#This Row],[Aktual]]-Table1[[#This Row],[Jumlah Kompetitor]]</f>
        <v>1589</v>
      </c>
      <c r="N794" t="str">
        <f>IF(Table1[[#This Row],[vs Kompetitor]]&gt;0,"Win", "Lose")</f>
        <v>Win</v>
      </c>
    </row>
    <row r="795" spans="1:14" x14ac:dyDescent="0.25">
      <c r="A795">
        <v>794</v>
      </c>
      <c r="B795" t="s">
        <v>5</v>
      </c>
      <c r="C795" t="s">
        <v>104</v>
      </c>
      <c r="D795">
        <v>7</v>
      </c>
      <c r="E795">
        <v>2021</v>
      </c>
      <c r="F795" s="2">
        <f>DATE(Table1[[#This Row],[Tahun]],Table1[[#This Row],[Bulan]],1)</f>
        <v>44378</v>
      </c>
      <c r="G795">
        <v>1410</v>
      </c>
      <c r="H795">
        <v>1429</v>
      </c>
      <c r="I795" s="6">
        <f>(Table1[[#This Row],[Aktual]]-Table1[[#This Row],[Target]])</f>
        <v>-19</v>
      </c>
      <c r="J795" s="3">
        <f>(Table1[[#This Row],[Aktual]]-Table1[[#This Row],[Target]])/Table1[[#This Row],[Target]]</f>
        <v>-1.3296011196641007E-2</v>
      </c>
      <c r="K795" t="str">
        <f>IF(Table1[[#This Row],[Performance Gap (%)]]&lt;0,"Tidak mencapai target", IF(Table1[[#This Row],[Performance Gap (%)]]=0,"Mencapai target", "Melebihi Target"))</f>
        <v>Tidak mencapai target</v>
      </c>
      <c r="L795">
        <f>VLOOKUP(Table1[[#This Row],[Propinsi]]&amp;"_"&amp;Table1[[#This Row],[Dati 2]]&amp;"_"&amp;Table1[[#This Row],[Tanggal]],Table2[[#All],[Kompetitor area]:[Jumlah Kompetitor]],7,0)</f>
        <v>145</v>
      </c>
      <c r="M795">
        <f>Table1[[#This Row],[Aktual]]-Table1[[#This Row],[Jumlah Kompetitor]]</f>
        <v>1265</v>
      </c>
      <c r="N795" t="str">
        <f>IF(Table1[[#This Row],[vs Kompetitor]]&gt;0,"Win", "Lose")</f>
        <v>Win</v>
      </c>
    </row>
    <row r="796" spans="1:14" x14ac:dyDescent="0.25">
      <c r="A796">
        <v>795</v>
      </c>
      <c r="B796" t="s">
        <v>5</v>
      </c>
      <c r="C796" t="s">
        <v>105</v>
      </c>
      <c r="D796">
        <v>7</v>
      </c>
      <c r="E796">
        <v>2021</v>
      </c>
      <c r="F796" s="2">
        <f>DATE(Table1[[#This Row],[Tahun]],Table1[[#This Row],[Bulan]],1)</f>
        <v>44378</v>
      </c>
      <c r="G796">
        <v>594</v>
      </c>
      <c r="H796">
        <v>485</v>
      </c>
      <c r="I796" s="6">
        <f>(Table1[[#This Row],[Aktual]]-Table1[[#This Row],[Target]])</f>
        <v>109</v>
      </c>
      <c r="J796" s="3">
        <f>(Table1[[#This Row],[Aktual]]-Table1[[#This Row],[Target]])/Table1[[#This Row],[Target]]</f>
        <v>0.22474226804123712</v>
      </c>
      <c r="K796" t="str">
        <f>IF(Table1[[#This Row],[Performance Gap (%)]]&lt;0,"Tidak mencapai target", IF(Table1[[#This Row],[Performance Gap (%)]]=0,"Mencapai target", "Melebihi Target"))</f>
        <v>Melebihi Target</v>
      </c>
      <c r="L796">
        <f>VLOOKUP(Table1[[#This Row],[Propinsi]]&amp;"_"&amp;Table1[[#This Row],[Dati 2]]&amp;"_"&amp;Table1[[#This Row],[Tanggal]],Table2[[#All],[Kompetitor area]:[Jumlah Kompetitor]],7,0)</f>
        <v>93</v>
      </c>
      <c r="M796">
        <f>Table1[[#This Row],[Aktual]]-Table1[[#This Row],[Jumlah Kompetitor]]</f>
        <v>501</v>
      </c>
      <c r="N796" t="str">
        <f>IF(Table1[[#This Row],[vs Kompetitor]]&gt;0,"Win", "Lose")</f>
        <v>Win</v>
      </c>
    </row>
    <row r="797" spans="1:14" x14ac:dyDescent="0.25">
      <c r="A797">
        <v>796</v>
      </c>
      <c r="B797" t="s">
        <v>5</v>
      </c>
      <c r="C797" t="s">
        <v>106</v>
      </c>
      <c r="D797">
        <v>7</v>
      </c>
      <c r="E797">
        <v>2021</v>
      </c>
      <c r="F797" s="2">
        <f>DATE(Table1[[#This Row],[Tahun]],Table1[[#This Row],[Bulan]],1)</f>
        <v>44378</v>
      </c>
      <c r="G797">
        <v>550</v>
      </c>
      <c r="H797">
        <v>485</v>
      </c>
      <c r="I797" s="6">
        <f>(Table1[[#This Row],[Aktual]]-Table1[[#This Row],[Target]])</f>
        <v>65</v>
      </c>
      <c r="J797" s="3">
        <f>(Table1[[#This Row],[Aktual]]-Table1[[#This Row],[Target]])/Table1[[#This Row],[Target]]</f>
        <v>0.13402061855670103</v>
      </c>
      <c r="K797" t="str">
        <f>IF(Table1[[#This Row],[Performance Gap (%)]]&lt;0,"Tidak mencapai target", IF(Table1[[#This Row],[Performance Gap (%)]]=0,"Mencapai target", "Melebihi Target"))</f>
        <v>Melebihi Target</v>
      </c>
      <c r="L797">
        <f>VLOOKUP(Table1[[#This Row],[Propinsi]]&amp;"_"&amp;Table1[[#This Row],[Dati 2]]&amp;"_"&amp;Table1[[#This Row],[Tanggal]],Table2[[#All],[Kompetitor area]:[Jumlah Kompetitor]],7,0)</f>
        <v>69</v>
      </c>
      <c r="M797">
        <f>Table1[[#This Row],[Aktual]]-Table1[[#This Row],[Jumlah Kompetitor]]</f>
        <v>481</v>
      </c>
      <c r="N797" t="str">
        <f>IF(Table1[[#This Row],[vs Kompetitor]]&gt;0,"Win", "Lose")</f>
        <v>Win</v>
      </c>
    </row>
    <row r="798" spans="1:14" x14ac:dyDescent="0.25">
      <c r="A798">
        <v>797</v>
      </c>
      <c r="B798" t="s">
        <v>5</v>
      </c>
      <c r="C798" t="s">
        <v>107</v>
      </c>
      <c r="D798">
        <v>7</v>
      </c>
      <c r="E798">
        <v>2021</v>
      </c>
      <c r="F798" s="2">
        <f>DATE(Table1[[#This Row],[Tahun]],Table1[[#This Row],[Bulan]],1)</f>
        <v>44378</v>
      </c>
      <c r="G798">
        <v>553</v>
      </c>
      <c r="H798">
        <v>515</v>
      </c>
      <c r="I798" s="6">
        <f>(Table1[[#This Row],[Aktual]]-Table1[[#This Row],[Target]])</f>
        <v>38</v>
      </c>
      <c r="J798" s="3">
        <f>(Table1[[#This Row],[Aktual]]-Table1[[#This Row],[Target]])/Table1[[#This Row],[Target]]</f>
        <v>7.3786407766990289E-2</v>
      </c>
      <c r="K798" t="str">
        <f>IF(Table1[[#This Row],[Performance Gap (%)]]&lt;0,"Tidak mencapai target", IF(Table1[[#This Row],[Performance Gap (%)]]=0,"Mencapai target", "Melebihi Target"))</f>
        <v>Melebihi Target</v>
      </c>
      <c r="L798">
        <f>VLOOKUP(Table1[[#This Row],[Propinsi]]&amp;"_"&amp;Table1[[#This Row],[Dati 2]]&amp;"_"&amp;Table1[[#This Row],[Tanggal]],Table2[[#All],[Kompetitor area]:[Jumlah Kompetitor]],7,0)</f>
        <v>119</v>
      </c>
      <c r="M798">
        <f>Table1[[#This Row],[Aktual]]-Table1[[#This Row],[Jumlah Kompetitor]]</f>
        <v>434</v>
      </c>
      <c r="N798" t="str">
        <f>IF(Table1[[#This Row],[vs Kompetitor]]&gt;0,"Win", "Lose")</f>
        <v>Win</v>
      </c>
    </row>
    <row r="799" spans="1:14" x14ac:dyDescent="0.25">
      <c r="A799">
        <v>798</v>
      </c>
      <c r="B799" t="s">
        <v>5</v>
      </c>
      <c r="C799" t="s">
        <v>108</v>
      </c>
      <c r="D799">
        <v>7</v>
      </c>
      <c r="E799">
        <v>2021</v>
      </c>
      <c r="F799" s="2">
        <f>DATE(Table1[[#This Row],[Tahun]],Table1[[#This Row],[Bulan]],1)</f>
        <v>44378</v>
      </c>
      <c r="G799">
        <v>1163</v>
      </c>
      <c r="H799">
        <v>1012</v>
      </c>
      <c r="I799" s="6">
        <f>(Table1[[#This Row],[Aktual]]-Table1[[#This Row],[Target]])</f>
        <v>151</v>
      </c>
      <c r="J799" s="3">
        <f>(Table1[[#This Row],[Aktual]]-Table1[[#This Row],[Target]])/Table1[[#This Row],[Target]]</f>
        <v>0.1492094861660079</v>
      </c>
      <c r="K799" t="str">
        <f>IF(Table1[[#This Row],[Performance Gap (%)]]&lt;0,"Tidak mencapai target", IF(Table1[[#This Row],[Performance Gap (%)]]=0,"Mencapai target", "Melebihi Target"))</f>
        <v>Melebihi Target</v>
      </c>
      <c r="L799">
        <f>VLOOKUP(Table1[[#This Row],[Propinsi]]&amp;"_"&amp;Table1[[#This Row],[Dati 2]]&amp;"_"&amp;Table1[[#This Row],[Tanggal]],Table2[[#All],[Kompetitor area]:[Jumlah Kompetitor]],7,0)</f>
        <v>90</v>
      </c>
      <c r="M799">
        <f>Table1[[#This Row],[Aktual]]-Table1[[#This Row],[Jumlah Kompetitor]]</f>
        <v>1073</v>
      </c>
      <c r="N799" t="str">
        <f>IF(Table1[[#This Row],[vs Kompetitor]]&gt;0,"Win", "Lose")</f>
        <v>Win</v>
      </c>
    </row>
    <row r="800" spans="1:14" x14ac:dyDescent="0.25">
      <c r="A800">
        <v>799</v>
      </c>
      <c r="B800" t="s">
        <v>5</v>
      </c>
      <c r="C800" t="s">
        <v>109</v>
      </c>
      <c r="D800">
        <v>7</v>
      </c>
      <c r="E800">
        <v>2021</v>
      </c>
      <c r="F800" s="2">
        <f>DATE(Table1[[#This Row],[Tahun]],Table1[[#This Row],[Bulan]],1)</f>
        <v>44378</v>
      </c>
      <c r="G800">
        <v>943</v>
      </c>
      <c r="H800">
        <v>982</v>
      </c>
      <c r="I800" s="6">
        <f>(Table1[[#This Row],[Aktual]]-Table1[[#This Row],[Target]])</f>
        <v>-39</v>
      </c>
      <c r="J800" s="3">
        <f>(Table1[[#This Row],[Aktual]]-Table1[[#This Row],[Target]])/Table1[[#This Row],[Target]]</f>
        <v>-3.9714867617107942E-2</v>
      </c>
      <c r="K800" t="str">
        <f>IF(Table1[[#This Row],[Performance Gap (%)]]&lt;0,"Tidak mencapai target", IF(Table1[[#This Row],[Performance Gap (%)]]=0,"Mencapai target", "Melebihi Target"))</f>
        <v>Tidak mencapai target</v>
      </c>
      <c r="L800">
        <f>VLOOKUP(Table1[[#This Row],[Propinsi]]&amp;"_"&amp;Table1[[#This Row],[Dati 2]]&amp;"_"&amp;Table1[[#This Row],[Tanggal]],Table2[[#All],[Kompetitor area]:[Jumlah Kompetitor]],7,0)</f>
        <v>170</v>
      </c>
      <c r="M800">
        <f>Table1[[#This Row],[Aktual]]-Table1[[#This Row],[Jumlah Kompetitor]]</f>
        <v>773</v>
      </c>
      <c r="N800" t="str">
        <f>IF(Table1[[#This Row],[vs Kompetitor]]&gt;0,"Win", "Lose")</f>
        <v>Win</v>
      </c>
    </row>
    <row r="801" spans="1:14" x14ac:dyDescent="0.25">
      <c r="A801">
        <v>800</v>
      </c>
      <c r="B801" t="s">
        <v>5</v>
      </c>
      <c r="C801" t="s">
        <v>110</v>
      </c>
      <c r="D801">
        <v>7</v>
      </c>
      <c r="E801">
        <v>2021</v>
      </c>
      <c r="F801" s="2">
        <f>DATE(Table1[[#This Row],[Tahun]],Table1[[#This Row],[Bulan]],1)</f>
        <v>44378</v>
      </c>
      <c r="G801">
        <v>693</v>
      </c>
      <c r="H801">
        <v>643</v>
      </c>
      <c r="I801" s="6">
        <f>(Table1[[#This Row],[Aktual]]-Table1[[#This Row],[Target]])</f>
        <v>50</v>
      </c>
      <c r="J801" s="3">
        <f>(Table1[[#This Row],[Aktual]]-Table1[[#This Row],[Target]])/Table1[[#This Row],[Target]]</f>
        <v>7.7760497667185069E-2</v>
      </c>
      <c r="K801" t="str">
        <f>IF(Table1[[#This Row],[Performance Gap (%)]]&lt;0,"Tidak mencapai target", IF(Table1[[#This Row],[Performance Gap (%)]]=0,"Mencapai target", "Melebihi Target"))</f>
        <v>Melebihi Target</v>
      </c>
      <c r="L801">
        <f>VLOOKUP(Table1[[#This Row],[Propinsi]]&amp;"_"&amp;Table1[[#This Row],[Dati 2]]&amp;"_"&amp;Table1[[#This Row],[Tanggal]],Table2[[#All],[Kompetitor area]:[Jumlah Kompetitor]],7,0)</f>
        <v>77</v>
      </c>
      <c r="M801">
        <f>Table1[[#This Row],[Aktual]]-Table1[[#This Row],[Jumlah Kompetitor]]</f>
        <v>616</v>
      </c>
      <c r="N801" t="str">
        <f>IF(Table1[[#This Row],[vs Kompetitor]]&gt;0,"Win", "Lose")</f>
        <v>Win</v>
      </c>
    </row>
    <row r="802" spans="1:14" x14ac:dyDescent="0.25">
      <c r="A802">
        <v>801</v>
      </c>
      <c r="B802" t="s">
        <v>5</v>
      </c>
      <c r="C802" t="s">
        <v>111</v>
      </c>
      <c r="D802">
        <v>7</v>
      </c>
      <c r="E802">
        <v>2021</v>
      </c>
      <c r="F802" s="2">
        <f>DATE(Table1[[#This Row],[Tahun]],Table1[[#This Row],[Bulan]],1)</f>
        <v>44378</v>
      </c>
      <c r="G802">
        <v>536</v>
      </c>
      <c r="H802">
        <v>573</v>
      </c>
      <c r="I802" s="6">
        <f>(Table1[[#This Row],[Aktual]]-Table1[[#This Row],[Target]])</f>
        <v>-37</v>
      </c>
      <c r="J802" s="3">
        <f>(Table1[[#This Row],[Aktual]]-Table1[[#This Row],[Target]])/Table1[[#This Row],[Target]]</f>
        <v>-6.4572425828970326E-2</v>
      </c>
      <c r="K802" t="str">
        <f>IF(Table1[[#This Row],[Performance Gap (%)]]&lt;0,"Tidak mencapai target", IF(Table1[[#This Row],[Performance Gap (%)]]=0,"Mencapai target", "Melebihi Target"))</f>
        <v>Tidak mencapai target</v>
      </c>
      <c r="L802">
        <f>VLOOKUP(Table1[[#This Row],[Propinsi]]&amp;"_"&amp;Table1[[#This Row],[Dati 2]]&amp;"_"&amp;Table1[[#This Row],[Tanggal]],Table2[[#All],[Kompetitor area]:[Jumlah Kompetitor]],7,0)</f>
        <v>88</v>
      </c>
      <c r="M802">
        <f>Table1[[#This Row],[Aktual]]-Table1[[#This Row],[Jumlah Kompetitor]]</f>
        <v>448</v>
      </c>
      <c r="N802" t="str">
        <f>IF(Table1[[#This Row],[vs Kompetitor]]&gt;0,"Win", "Lose")</f>
        <v>Win</v>
      </c>
    </row>
    <row r="803" spans="1:14" x14ac:dyDescent="0.25">
      <c r="A803">
        <v>802</v>
      </c>
      <c r="B803" t="s">
        <v>5</v>
      </c>
      <c r="C803" t="s">
        <v>112</v>
      </c>
      <c r="D803">
        <v>7</v>
      </c>
      <c r="E803">
        <v>2021</v>
      </c>
      <c r="F803" s="2">
        <f>DATE(Table1[[#This Row],[Tahun]],Table1[[#This Row],[Bulan]],1)</f>
        <v>44378</v>
      </c>
      <c r="G803">
        <v>326</v>
      </c>
      <c r="H803">
        <v>289</v>
      </c>
      <c r="I803" s="6">
        <f>(Table1[[#This Row],[Aktual]]-Table1[[#This Row],[Target]])</f>
        <v>37</v>
      </c>
      <c r="J803" s="3">
        <f>(Table1[[#This Row],[Aktual]]-Table1[[#This Row],[Target]])/Table1[[#This Row],[Target]]</f>
        <v>0.12802768166089964</v>
      </c>
      <c r="K803" t="str">
        <f>IF(Table1[[#This Row],[Performance Gap (%)]]&lt;0,"Tidak mencapai target", IF(Table1[[#This Row],[Performance Gap (%)]]=0,"Mencapai target", "Melebihi Target"))</f>
        <v>Melebihi Target</v>
      </c>
      <c r="L803">
        <f>VLOOKUP(Table1[[#This Row],[Propinsi]]&amp;"_"&amp;Table1[[#This Row],[Dati 2]]&amp;"_"&amp;Table1[[#This Row],[Tanggal]],Table2[[#All],[Kompetitor area]:[Jumlah Kompetitor]],7,0)</f>
        <v>54</v>
      </c>
      <c r="M803">
        <f>Table1[[#This Row],[Aktual]]-Table1[[#This Row],[Jumlah Kompetitor]]</f>
        <v>272</v>
      </c>
      <c r="N803" t="str">
        <f>IF(Table1[[#This Row],[vs Kompetitor]]&gt;0,"Win", "Lose")</f>
        <v>Win</v>
      </c>
    </row>
    <row r="804" spans="1:14" x14ac:dyDescent="0.25">
      <c r="A804">
        <v>803</v>
      </c>
      <c r="B804" t="s">
        <v>5</v>
      </c>
      <c r="C804" t="s">
        <v>113</v>
      </c>
      <c r="D804">
        <v>7</v>
      </c>
      <c r="E804">
        <v>2021</v>
      </c>
      <c r="F804" s="2">
        <f>DATE(Table1[[#This Row],[Tahun]],Table1[[#This Row],[Bulan]],1)</f>
        <v>44378</v>
      </c>
      <c r="G804">
        <v>868</v>
      </c>
      <c r="H804">
        <v>717</v>
      </c>
      <c r="I804" s="6">
        <f>(Table1[[#This Row],[Aktual]]-Table1[[#This Row],[Target]])</f>
        <v>151</v>
      </c>
      <c r="J804" s="3">
        <f>(Table1[[#This Row],[Aktual]]-Table1[[#This Row],[Target]])/Table1[[#This Row],[Target]]</f>
        <v>0.2105997210599721</v>
      </c>
      <c r="K804" t="str">
        <f>IF(Table1[[#This Row],[Performance Gap (%)]]&lt;0,"Tidak mencapai target", IF(Table1[[#This Row],[Performance Gap (%)]]=0,"Mencapai target", "Melebihi Target"))</f>
        <v>Melebihi Target</v>
      </c>
      <c r="L804">
        <f>VLOOKUP(Table1[[#This Row],[Propinsi]]&amp;"_"&amp;Table1[[#This Row],[Dati 2]]&amp;"_"&amp;Table1[[#This Row],[Tanggal]],Table2[[#All],[Kompetitor area]:[Jumlah Kompetitor]],7,0)</f>
        <v>16</v>
      </c>
      <c r="M804">
        <f>Table1[[#This Row],[Aktual]]-Table1[[#This Row],[Jumlah Kompetitor]]</f>
        <v>852</v>
      </c>
      <c r="N804" t="str">
        <f>IF(Table1[[#This Row],[vs Kompetitor]]&gt;0,"Win", "Lose")</f>
        <v>Win</v>
      </c>
    </row>
    <row r="805" spans="1:14" x14ac:dyDescent="0.25">
      <c r="A805">
        <v>804</v>
      </c>
      <c r="B805" t="s">
        <v>5</v>
      </c>
      <c r="C805" t="s">
        <v>114</v>
      </c>
      <c r="D805">
        <v>7</v>
      </c>
      <c r="E805">
        <v>2021</v>
      </c>
      <c r="F805" s="2">
        <f>DATE(Table1[[#This Row],[Tahun]],Table1[[#This Row],[Bulan]],1)</f>
        <v>44378</v>
      </c>
      <c r="G805">
        <v>509</v>
      </c>
      <c r="H805">
        <v>566</v>
      </c>
      <c r="I805" s="6">
        <f>(Table1[[#This Row],[Aktual]]-Table1[[#This Row],[Target]])</f>
        <v>-57</v>
      </c>
      <c r="J805" s="3">
        <f>(Table1[[#This Row],[Aktual]]-Table1[[#This Row],[Target]])/Table1[[#This Row],[Target]]</f>
        <v>-0.10070671378091872</v>
      </c>
      <c r="K805" t="str">
        <f>IF(Table1[[#This Row],[Performance Gap (%)]]&lt;0,"Tidak mencapai target", IF(Table1[[#This Row],[Performance Gap (%)]]=0,"Mencapai target", "Melebihi Target"))</f>
        <v>Tidak mencapai target</v>
      </c>
      <c r="L805">
        <f>VLOOKUP(Table1[[#This Row],[Propinsi]]&amp;"_"&amp;Table1[[#This Row],[Dati 2]]&amp;"_"&amp;Table1[[#This Row],[Tanggal]],Table2[[#All],[Kompetitor area]:[Jumlah Kompetitor]],7,0)</f>
        <v>44</v>
      </c>
      <c r="M805">
        <f>Table1[[#This Row],[Aktual]]-Table1[[#This Row],[Jumlah Kompetitor]]</f>
        <v>465</v>
      </c>
      <c r="N805" t="str">
        <f>IF(Table1[[#This Row],[vs Kompetitor]]&gt;0,"Win", "Lose")</f>
        <v>Win</v>
      </c>
    </row>
    <row r="806" spans="1:14" x14ac:dyDescent="0.25">
      <c r="A806">
        <v>805</v>
      </c>
      <c r="B806" t="s">
        <v>5</v>
      </c>
      <c r="C806" t="s">
        <v>115</v>
      </c>
      <c r="D806">
        <v>7</v>
      </c>
      <c r="E806">
        <v>2021</v>
      </c>
      <c r="F806" s="2">
        <f>DATE(Table1[[#This Row],[Tahun]],Table1[[#This Row],[Bulan]],1)</f>
        <v>44378</v>
      </c>
      <c r="G806">
        <v>497</v>
      </c>
      <c r="H806">
        <v>516</v>
      </c>
      <c r="I806" s="6">
        <f>(Table1[[#This Row],[Aktual]]-Table1[[#This Row],[Target]])</f>
        <v>-19</v>
      </c>
      <c r="J806" s="3">
        <f>(Table1[[#This Row],[Aktual]]-Table1[[#This Row],[Target]])/Table1[[#This Row],[Target]]</f>
        <v>-3.6821705426356592E-2</v>
      </c>
      <c r="K806" t="str">
        <f>IF(Table1[[#This Row],[Performance Gap (%)]]&lt;0,"Tidak mencapai target", IF(Table1[[#This Row],[Performance Gap (%)]]=0,"Mencapai target", "Melebihi Target"))</f>
        <v>Tidak mencapai target</v>
      </c>
      <c r="L806">
        <f>VLOOKUP(Table1[[#This Row],[Propinsi]]&amp;"_"&amp;Table1[[#This Row],[Dati 2]]&amp;"_"&amp;Table1[[#This Row],[Tanggal]],Table2[[#All],[Kompetitor area]:[Jumlah Kompetitor]],7,0)</f>
        <v>33</v>
      </c>
      <c r="M806">
        <f>Table1[[#This Row],[Aktual]]-Table1[[#This Row],[Jumlah Kompetitor]]</f>
        <v>464</v>
      </c>
      <c r="N806" t="str">
        <f>IF(Table1[[#This Row],[vs Kompetitor]]&gt;0,"Win", "Lose")</f>
        <v>Win</v>
      </c>
    </row>
    <row r="807" spans="1:14" x14ac:dyDescent="0.25">
      <c r="A807">
        <v>806</v>
      </c>
      <c r="B807" t="s">
        <v>5</v>
      </c>
      <c r="C807" t="s">
        <v>116</v>
      </c>
      <c r="D807">
        <v>7</v>
      </c>
      <c r="E807">
        <v>2021</v>
      </c>
      <c r="F807" s="2">
        <f>DATE(Table1[[#This Row],[Tahun]],Table1[[#This Row],[Bulan]],1)</f>
        <v>44378</v>
      </c>
      <c r="G807">
        <v>1042</v>
      </c>
      <c r="H807">
        <v>819</v>
      </c>
      <c r="I807" s="6">
        <f>(Table1[[#This Row],[Aktual]]-Table1[[#This Row],[Target]])</f>
        <v>223</v>
      </c>
      <c r="J807" s="3">
        <f>(Table1[[#This Row],[Aktual]]-Table1[[#This Row],[Target]])/Table1[[#This Row],[Target]]</f>
        <v>0.27228327228327226</v>
      </c>
      <c r="K807" t="str">
        <f>IF(Table1[[#This Row],[Performance Gap (%)]]&lt;0,"Tidak mencapai target", IF(Table1[[#This Row],[Performance Gap (%)]]=0,"Mencapai target", "Melebihi Target"))</f>
        <v>Melebihi Target</v>
      </c>
      <c r="L807">
        <f>VLOOKUP(Table1[[#This Row],[Propinsi]]&amp;"_"&amp;Table1[[#This Row],[Dati 2]]&amp;"_"&amp;Table1[[#This Row],[Tanggal]],Table2[[#All],[Kompetitor area]:[Jumlah Kompetitor]],7,0)</f>
        <v>63</v>
      </c>
      <c r="M807">
        <f>Table1[[#This Row],[Aktual]]-Table1[[#This Row],[Jumlah Kompetitor]]</f>
        <v>979</v>
      </c>
      <c r="N807" t="str">
        <f>IF(Table1[[#This Row],[vs Kompetitor]]&gt;0,"Win", "Lose")</f>
        <v>Win</v>
      </c>
    </row>
    <row r="808" spans="1:14" x14ac:dyDescent="0.25">
      <c r="A808">
        <v>807</v>
      </c>
      <c r="B808" t="s">
        <v>5</v>
      </c>
      <c r="C808" t="s">
        <v>117</v>
      </c>
      <c r="D808">
        <v>7</v>
      </c>
      <c r="E808">
        <v>2021</v>
      </c>
      <c r="F808" s="2">
        <f>DATE(Table1[[#This Row],[Tahun]],Table1[[#This Row],[Bulan]],1)</f>
        <v>44378</v>
      </c>
      <c r="G808">
        <v>1098</v>
      </c>
      <c r="H808">
        <v>1041</v>
      </c>
      <c r="I808" s="6">
        <f>(Table1[[#This Row],[Aktual]]-Table1[[#This Row],[Target]])</f>
        <v>57</v>
      </c>
      <c r="J808" s="3">
        <f>(Table1[[#This Row],[Aktual]]-Table1[[#This Row],[Target]])/Table1[[#This Row],[Target]]</f>
        <v>5.4755043227665709E-2</v>
      </c>
      <c r="K808" t="str">
        <f>IF(Table1[[#This Row],[Performance Gap (%)]]&lt;0,"Tidak mencapai target", IF(Table1[[#This Row],[Performance Gap (%)]]=0,"Mencapai target", "Melebihi Target"))</f>
        <v>Melebihi Target</v>
      </c>
      <c r="L808">
        <f>VLOOKUP(Table1[[#This Row],[Propinsi]]&amp;"_"&amp;Table1[[#This Row],[Dati 2]]&amp;"_"&amp;Table1[[#This Row],[Tanggal]],Table2[[#All],[Kompetitor area]:[Jumlah Kompetitor]],7,0)</f>
        <v>16</v>
      </c>
      <c r="M808">
        <f>Table1[[#This Row],[Aktual]]-Table1[[#This Row],[Jumlah Kompetitor]]</f>
        <v>1082</v>
      </c>
      <c r="N808" t="str">
        <f>IF(Table1[[#This Row],[vs Kompetitor]]&gt;0,"Win", "Lose")</f>
        <v>Win</v>
      </c>
    </row>
    <row r="809" spans="1:14" x14ac:dyDescent="0.25">
      <c r="A809">
        <v>808</v>
      </c>
      <c r="B809" t="s">
        <v>5</v>
      </c>
      <c r="C809" t="s">
        <v>118</v>
      </c>
      <c r="D809">
        <v>7</v>
      </c>
      <c r="E809">
        <v>2021</v>
      </c>
      <c r="F809" s="2">
        <f>DATE(Table1[[#This Row],[Tahun]],Table1[[#This Row],[Bulan]],1)</f>
        <v>44378</v>
      </c>
      <c r="G809">
        <v>686</v>
      </c>
      <c r="H809">
        <v>628</v>
      </c>
      <c r="I809" s="6">
        <f>(Table1[[#This Row],[Aktual]]-Table1[[#This Row],[Target]])</f>
        <v>58</v>
      </c>
      <c r="J809" s="3">
        <f>(Table1[[#This Row],[Aktual]]-Table1[[#This Row],[Target]])/Table1[[#This Row],[Target]]</f>
        <v>9.2356687898089165E-2</v>
      </c>
      <c r="K809" t="str">
        <f>IF(Table1[[#This Row],[Performance Gap (%)]]&lt;0,"Tidak mencapai target", IF(Table1[[#This Row],[Performance Gap (%)]]=0,"Mencapai target", "Melebihi Target"))</f>
        <v>Melebihi Target</v>
      </c>
      <c r="L809">
        <f>VLOOKUP(Table1[[#This Row],[Propinsi]]&amp;"_"&amp;Table1[[#This Row],[Dati 2]]&amp;"_"&amp;Table1[[#This Row],[Tanggal]],Table2[[#All],[Kompetitor area]:[Jumlah Kompetitor]],7,0)</f>
        <v>145</v>
      </c>
      <c r="M809">
        <f>Table1[[#This Row],[Aktual]]-Table1[[#This Row],[Jumlah Kompetitor]]</f>
        <v>541</v>
      </c>
      <c r="N809" t="str">
        <f>IF(Table1[[#This Row],[vs Kompetitor]]&gt;0,"Win", "Lose")</f>
        <v>Win</v>
      </c>
    </row>
    <row r="810" spans="1:14" x14ac:dyDescent="0.25">
      <c r="A810">
        <v>809</v>
      </c>
      <c r="B810" t="s">
        <v>5</v>
      </c>
      <c r="C810" t="s">
        <v>119</v>
      </c>
      <c r="D810">
        <v>7</v>
      </c>
      <c r="E810">
        <v>2021</v>
      </c>
      <c r="F810" s="2">
        <f>DATE(Table1[[#This Row],[Tahun]],Table1[[#This Row],[Bulan]],1)</f>
        <v>44378</v>
      </c>
      <c r="G810">
        <v>732</v>
      </c>
      <c r="H810">
        <v>791</v>
      </c>
      <c r="I810" s="6">
        <f>(Table1[[#This Row],[Aktual]]-Table1[[#This Row],[Target]])</f>
        <v>-59</v>
      </c>
      <c r="J810" s="3">
        <f>(Table1[[#This Row],[Aktual]]-Table1[[#This Row],[Target]])/Table1[[#This Row],[Target]]</f>
        <v>-7.4589127686472814E-2</v>
      </c>
      <c r="K810" t="str">
        <f>IF(Table1[[#This Row],[Performance Gap (%)]]&lt;0,"Tidak mencapai target", IF(Table1[[#This Row],[Performance Gap (%)]]=0,"Mencapai target", "Melebihi Target"))</f>
        <v>Tidak mencapai target</v>
      </c>
      <c r="L810">
        <f>VLOOKUP(Table1[[#This Row],[Propinsi]]&amp;"_"&amp;Table1[[#This Row],[Dati 2]]&amp;"_"&amp;Table1[[#This Row],[Tanggal]],Table2[[#All],[Kompetitor area]:[Jumlah Kompetitor]],7,0)</f>
        <v>97</v>
      </c>
      <c r="M810">
        <f>Table1[[#This Row],[Aktual]]-Table1[[#This Row],[Jumlah Kompetitor]]</f>
        <v>635</v>
      </c>
      <c r="N810" t="str">
        <f>IF(Table1[[#This Row],[vs Kompetitor]]&gt;0,"Win", "Lose")</f>
        <v>Win</v>
      </c>
    </row>
    <row r="811" spans="1:14" x14ac:dyDescent="0.25">
      <c r="A811">
        <v>810</v>
      </c>
      <c r="B811" t="s">
        <v>5</v>
      </c>
      <c r="C811" t="s">
        <v>120</v>
      </c>
      <c r="D811">
        <v>7</v>
      </c>
      <c r="E811">
        <v>2021</v>
      </c>
      <c r="F811" s="2">
        <f>DATE(Table1[[#This Row],[Tahun]],Table1[[#This Row],[Bulan]],1)</f>
        <v>44378</v>
      </c>
      <c r="G811">
        <v>839</v>
      </c>
      <c r="H811">
        <v>637</v>
      </c>
      <c r="I811" s="6">
        <f>(Table1[[#This Row],[Aktual]]-Table1[[#This Row],[Target]])</f>
        <v>202</v>
      </c>
      <c r="J811" s="3">
        <f>(Table1[[#This Row],[Aktual]]-Table1[[#This Row],[Target]])/Table1[[#This Row],[Target]]</f>
        <v>0.31711145996860285</v>
      </c>
      <c r="K811" t="str">
        <f>IF(Table1[[#This Row],[Performance Gap (%)]]&lt;0,"Tidak mencapai target", IF(Table1[[#This Row],[Performance Gap (%)]]=0,"Mencapai target", "Melebihi Target"))</f>
        <v>Melebihi Target</v>
      </c>
      <c r="L811">
        <f>VLOOKUP(Table1[[#This Row],[Propinsi]]&amp;"_"&amp;Table1[[#This Row],[Dati 2]]&amp;"_"&amp;Table1[[#This Row],[Tanggal]],Table2[[#All],[Kompetitor area]:[Jumlah Kompetitor]],7,0)</f>
        <v>57</v>
      </c>
      <c r="M811">
        <f>Table1[[#This Row],[Aktual]]-Table1[[#This Row],[Jumlah Kompetitor]]</f>
        <v>782</v>
      </c>
      <c r="N811" t="str">
        <f>IF(Table1[[#This Row],[vs Kompetitor]]&gt;0,"Win", "Lose")</f>
        <v>Win</v>
      </c>
    </row>
    <row r="812" spans="1:14" x14ac:dyDescent="0.25">
      <c r="A812">
        <v>811</v>
      </c>
      <c r="B812" t="s">
        <v>5</v>
      </c>
      <c r="C812" t="s">
        <v>121</v>
      </c>
      <c r="D812">
        <v>7</v>
      </c>
      <c r="E812">
        <v>2021</v>
      </c>
      <c r="F812" s="2">
        <f>DATE(Table1[[#This Row],[Tahun]],Table1[[#This Row],[Bulan]],1)</f>
        <v>44378</v>
      </c>
      <c r="G812">
        <v>1017</v>
      </c>
      <c r="H812">
        <v>964</v>
      </c>
      <c r="I812" s="6">
        <f>(Table1[[#This Row],[Aktual]]-Table1[[#This Row],[Target]])</f>
        <v>53</v>
      </c>
      <c r="J812" s="3">
        <f>(Table1[[#This Row],[Aktual]]-Table1[[#This Row],[Target]])/Table1[[#This Row],[Target]]</f>
        <v>5.4979253112033194E-2</v>
      </c>
      <c r="K812" t="str">
        <f>IF(Table1[[#This Row],[Performance Gap (%)]]&lt;0,"Tidak mencapai target", IF(Table1[[#This Row],[Performance Gap (%)]]=0,"Mencapai target", "Melebihi Target"))</f>
        <v>Melebihi Target</v>
      </c>
      <c r="L812">
        <f>VLOOKUP(Table1[[#This Row],[Propinsi]]&amp;"_"&amp;Table1[[#This Row],[Dati 2]]&amp;"_"&amp;Table1[[#This Row],[Tanggal]],Table2[[#All],[Kompetitor area]:[Jumlah Kompetitor]],7,0)</f>
        <v>851</v>
      </c>
      <c r="M812">
        <f>Table1[[#This Row],[Aktual]]-Table1[[#This Row],[Jumlah Kompetitor]]</f>
        <v>166</v>
      </c>
      <c r="N812" t="str">
        <f>IF(Table1[[#This Row],[vs Kompetitor]]&gt;0,"Win", "Lose")</f>
        <v>Win</v>
      </c>
    </row>
    <row r="813" spans="1:14" x14ac:dyDescent="0.25">
      <c r="A813">
        <v>812</v>
      </c>
      <c r="B813" t="s">
        <v>5</v>
      </c>
      <c r="C813" t="s">
        <v>122</v>
      </c>
      <c r="D813">
        <v>7</v>
      </c>
      <c r="E813">
        <v>2021</v>
      </c>
      <c r="F813" s="2">
        <f>DATE(Table1[[#This Row],[Tahun]],Table1[[#This Row],[Bulan]],1)</f>
        <v>44378</v>
      </c>
      <c r="G813">
        <v>526</v>
      </c>
      <c r="H813">
        <v>507</v>
      </c>
      <c r="I813" s="6">
        <f>(Table1[[#This Row],[Aktual]]-Table1[[#This Row],[Target]])</f>
        <v>19</v>
      </c>
      <c r="J813" s="3">
        <f>(Table1[[#This Row],[Aktual]]-Table1[[#This Row],[Target]])/Table1[[#This Row],[Target]]</f>
        <v>3.7475345167652857E-2</v>
      </c>
      <c r="K813" t="str">
        <f>IF(Table1[[#This Row],[Performance Gap (%)]]&lt;0,"Tidak mencapai target", IF(Table1[[#This Row],[Performance Gap (%)]]=0,"Mencapai target", "Melebihi Target"))</f>
        <v>Melebihi Target</v>
      </c>
      <c r="L813">
        <f>VLOOKUP(Table1[[#This Row],[Propinsi]]&amp;"_"&amp;Table1[[#This Row],[Dati 2]]&amp;"_"&amp;Table1[[#This Row],[Tanggal]],Table2[[#All],[Kompetitor area]:[Jumlah Kompetitor]],7,0)</f>
        <v>498</v>
      </c>
      <c r="M813">
        <f>Table1[[#This Row],[Aktual]]-Table1[[#This Row],[Jumlah Kompetitor]]</f>
        <v>28</v>
      </c>
      <c r="N813" t="str">
        <f>IF(Table1[[#This Row],[vs Kompetitor]]&gt;0,"Win", "Lose")</f>
        <v>Win</v>
      </c>
    </row>
    <row r="814" spans="1:14" x14ac:dyDescent="0.25">
      <c r="A814">
        <v>813</v>
      </c>
      <c r="B814" t="s">
        <v>5</v>
      </c>
      <c r="C814" t="s">
        <v>123</v>
      </c>
      <c r="D814">
        <v>7</v>
      </c>
      <c r="E814">
        <v>2021</v>
      </c>
      <c r="F814" s="2">
        <f>DATE(Table1[[#This Row],[Tahun]],Table1[[#This Row],[Bulan]],1)</f>
        <v>44378</v>
      </c>
      <c r="G814">
        <v>488</v>
      </c>
      <c r="H814">
        <v>492</v>
      </c>
      <c r="I814" s="6">
        <f>(Table1[[#This Row],[Aktual]]-Table1[[#This Row],[Target]])</f>
        <v>-4</v>
      </c>
      <c r="J814" s="3">
        <f>(Table1[[#This Row],[Aktual]]-Table1[[#This Row],[Target]])/Table1[[#This Row],[Target]]</f>
        <v>-8.130081300813009E-3</v>
      </c>
      <c r="K814" t="str">
        <f>IF(Table1[[#This Row],[Performance Gap (%)]]&lt;0,"Tidak mencapai target", IF(Table1[[#This Row],[Performance Gap (%)]]=0,"Mencapai target", "Melebihi Target"))</f>
        <v>Tidak mencapai target</v>
      </c>
      <c r="L814">
        <f>VLOOKUP(Table1[[#This Row],[Propinsi]]&amp;"_"&amp;Table1[[#This Row],[Dati 2]]&amp;"_"&amp;Table1[[#This Row],[Tanggal]],Table2[[#All],[Kompetitor area]:[Jumlah Kompetitor]],7,0)</f>
        <v>513</v>
      </c>
      <c r="M814">
        <f>Table1[[#This Row],[Aktual]]-Table1[[#This Row],[Jumlah Kompetitor]]</f>
        <v>-25</v>
      </c>
      <c r="N814" t="str">
        <f>IF(Table1[[#This Row],[vs Kompetitor]]&gt;0,"Win", "Lose")</f>
        <v>Lose</v>
      </c>
    </row>
    <row r="815" spans="1:14" x14ac:dyDescent="0.25">
      <c r="A815">
        <v>814</v>
      </c>
      <c r="B815" t="s">
        <v>5</v>
      </c>
      <c r="C815" t="s">
        <v>124</v>
      </c>
      <c r="D815">
        <v>7</v>
      </c>
      <c r="E815">
        <v>2021</v>
      </c>
      <c r="F815" s="2">
        <f>DATE(Table1[[#This Row],[Tahun]],Table1[[#This Row],[Bulan]],1)</f>
        <v>44378</v>
      </c>
      <c r="G815">
        <v>635</v>
      </c>
      <c r="H815">
        <v>593</v>
      </c>
      <c r="I815" s="6">
        <f>(Table1[[#This Row],[Aktual]]-Table1[[#This Row],[Target]])</f>
        <v>42</v>
      </c>
      <c r="J815" s="3">
        <f>(Table1[[#This Row],[Aktual]]-Table1[[#This Row],[Target]])/Table1[[#This Row],[Target]]</f>
        <v>7.0826306913996634E-2</v>
      </c>
      <c r="K815" t="str">
        <f>IF(Table1[[#This Row],[Performance Gap (%)]]&lt;0,"Tidak mencapai target", IF(Table1[[#This Row],[Performance Gap (%)]]=0,"Mencapai target", "Melebihi Target"))</f>
        <v>Melebihi Target</v>
      </c>
      <c r="L815">
        <f>VLOOKUP(Table1[[#This Row],[Propinsi]]&amp;"_"&amp;Table1[[#This Row],[Dati 2]]&amp;"_"&amp;Table1[[#This Row],[Tanggal]],Table2[[#All],[Kompetitor area]:[Jumlah Kompetitor]],7,0)</f>
        <v>584</v>
      </c>
      <c r="M815">
        <f>Table1[[#This Row],[Aktual]]-Table1[[#This Row],[Jumlah Kompetitor]]</f>
        <v>51</v>
      </c>
      <c r="N815" t="str">
        <f>IF(Table1[[#This Row],[vs Kompetitor]]&gt;0,"Win", "Lose")</f>
        <v>Win</v>
      </c>
    </row>
    <row r="816" spans="1:14" x14ac:dyDescent="0.25">
      <c r="A816">
        <v>815</v>
      </c>
      <c r="B816" t="s">
        <v>5</v>
      </c>
      <c r="C816" t="s">
        <v>125</v>
      </c>
      <c r="D816">
        <v>7</v>
      </c>
      <c r="E816">
        <v>2021</v>
      </c>
      <c r="F816" s="2">
        <f>DATE(Table1[[#This Row],[Tahun]],Table1[[#This Row],[Bulan]],1)</f>
        <v>44378</v>
      </c>
      <c r="G816">
        <v>431</v>
      </c>
      <c r="H816">
        <v>391</v>
      </c>
      <c r="I816" s="6">
        <f>(Table1[[#This Row],[Aktual]]-Table1[[#This Row],[Target]])</f>
        <v>40</v>
      </c>
      <c r="J816" s="3">
        <f>(Table1[[#This Row],[Aktual]]-Table1[[#This Row],[Target]])/Table1[[#This Row],[Target]]</f>
        <v>0.10230179028132992</v>
      </c>
      <c r="K816" t="str">
        <f>IF(Table1[[#This Row],[Performance Gap (%)]]&lt;0,"Tidak mencapai target", IF(Table1[[#This Row],[Performance Gap (%)]]=0,"Mencapai target", "Melebihi Target"))</f>
        <v>Melebihi Target</v>
      </c>
      <c r="L816">
        <f>VLOOKUP(Table1[[#This Row],[Propinsi]]&amp;"_"&amp;Table1[[#This Row],[Dati 2]]&amp;"_"&amp;Table1[[#This Row],[Tanggal]],Table2[[#All],[Kompetitor area]:[Jumlah Kompetitor]],7,0)</f>
        <v>407</v>
      </c>
      <c r="M816">
        <f>Table1[[#This Row],[Aktual]]-Table1[[#This Row],[Jumlah Kompetitor]]</f>
        <v>24</v>
      </c>
      <c r="N816" t="str">
        <f>IF(Table1[[#This Row],[vs Kompetitor]]&gt;0,"Win", "Lose")</f>
        <v>Win</v>
      </c>
    </row>
    <row r="817" spans="1:14" x14ac:dyDescent="0.25">
      <c r="A817">
        <v>816</v>
      </c>
      <c r="B817" t="s">
        <v>7</v>
      </c>
      <c r="C817" t="s">
        <v>126</v>
      </c>
      <c r="D817">
        <v>7</v>
      </c>
      <c r="E817">
        <v>2021</v>
      </c>
      <c r="F817" s="2">
        <f>DATE(Table1[[#This Row],[Tahun]],Table1[[#This Row],[Bulan]],1)</f>
        <v>44378</v>
      </c>
      <c r="G817">
        <v>939</v>
      </c>
      <c r="H817">
        <v>948</v>
      </c>
      <c r="I817" s="6">
        <f>(Table1[[#This Row],[Aktual]]-Table1[[#This Row],[Target]])</f>
        <v>-9</v>
      </c>
      <c r="J817" s="3">
        <f>(Table1[[#This Row],[Aktual]]-Table1[[#This Row],[Target]])/Table1[[#This Row],[Target]]</f>
        <v>-9.4936708860759497E-3</v>
      </c>
      <c r="K817" t="str">
        <f>IF(Table1[[#This Row],[Performance Gap (%)]]&lt;0,"Tidak mencapai target", IF(Table1[[#This Row],[Performance Gap (%)]]=0,"Mencapai target", "Melebihi Target"))</f>
        <v>Tidak mencapai target</v>
      </c>
      <c r="L817">
        <f>VLOOKUP(Table1[[#This Row],[Propinsi]]&amp;"_"&amp;Table1[[#This Row],[Dati 2]]&amp;"_"&amp;Table1[[#This Row],[Tanggal]],Table2[[#All],[Kompetitor area]:[Jumlah Kompetitor]],7,0)</f>
        <v>954</v>
      </c>
      <c r="M817">
        <f>Table1[[#This Row],[Aktual]]-Table1[[#This Row],[Jumlah Kompetitor]]</f>
        <v>-15</v>
      </c>
      <c r="N817" t="str">
        <f>IF(Table1[[#This Row],[vs Kompetitor]]&gt;0,"Win", "Lose")</f>
        <v>Lose</v>
      </c>
    </row>
    <row r="818" spans="1:14" x14ac:dyDescent="0.25">
      <c r="A818">
        <v>817</v>
      </c>
      <c r="B818" t="s">
        <v>7</v>
      </c>
      <c r="C818" t="s">
        <v>127</v>
      </c>
      <c r="D818">
        <v>7</v>
      </c>
      <c r="E818">
        <v>2021</v>
      </c>
      <c r="F818" s="2">
        <f>DATE(Table1[[#This Row],[Tahun]],Table1[[#This Row],[Bulan]],1)</f>
        <v>44378</v>
      </c>
      <c r="G818">
        <v>739</v>
      </c>
      <c r="H818">
        <v>610</v>
      </c>
      <c r="I818" s="6">
        <f>(Table1[[#This Row],[Aktual]]-Table1[[#This Row],[Target]])</f>
        <v>129</v>
      </c>
      <c r="J818" s="3">
        <f>(Table1[[#This Row],[Aktual]]-Table1[[#This Row],[Target]])/Table1[[#This Row],[Target]]</f>
        <v>0.21147540983606558</v>
      </c>
      <c r="K818" t="str">
        <f>IF(Table1[[#This Row],[Performance Gap (%)]]&lt;0,"Tidak mencapai target", IF(Table1[[#This Row],[Performance Gap (%)]]=0,"Mencapai target", "Melebihi Target"))</f>
        <v>Melebihi Target</v>
      </c>
      <c r="L818">
        <f>VLOOKUP(Table1[[#This Row],[Propinsi]]&amp;"_"&amp;Table1[[#This Row],[Dati 2]]&amp;"_"&amp;Table1[[#This Row],[Tanggal]],Table2[[#All],[Kompetitor area]:[Jumlah Kompetitor]],7,0)</f>
        <v>617</v>
      </c>
      <c r="M818">
        <f>Table1[[#This Row],[Aktual]]-Table1[[#This Row],[Jumlah Kompetitor]]</f>
        <v>122</v>
      </c>
      <c r="N818" t="str">
        <f>IF(Table1[[#This Row],[vs Kompetitor]]&gt;0,"Win", "Lose")</f>
        <v>Win</v>
      </c>
    </row>
    <row r="819" spans="1:14" x14ac:dyDescent="0.25">
      <c r="A819">
        <v>818</v>
      </c>
      <c r="B819" t="s">
        <v>7</v>
      </c>
      <c r="C819" t="s">
        <v>128</v>
      </c>
      <c r="D819">
        <v>7</v>
      </c>
      <c r="E819">
        <v>2021</v>
      </c>
      <c r="F819" s="2">
        <f>DATE(Table1[[#This Row],[Tahun]],Table1[[#This Row],[Bulan]],1)</f>
        <v>44378</v>
      </c>
      <c r="G819">
        <v>425</v>
      </c>
      <c r="H819">
        <v>416</v>
      </c>
      <c r="I819" s="6">
        <f>(Table1[[#This Row],[Aktual]]-Table1[[#This Row],[Target]])</f>
        <v>9</v>
      </c>
      <c r="J819" s="3">
        <f>(Table1[[#This Row],[Aktual]]-Table1[[#This Row],[Target]])/Table1[[#This Row],[Target]]</f>
        <v>2.1634615384615384E-2</v>
      </c>
      <c r="K819" t="str">
        <f>IF(Table1[[#This Row],[Performance Gap (%)]]&lt;0,"Tidak mencapai target", IF(Table1[[#This Row],[Performance Gap (%)]]=0,"Mencapai target", "Melebihi Target"))</f>
        <v>Melebihi Target</v>
      </c>
      <c r="L819">
        <f>VLOOKUP(Table1[[#This Row],[Propinsi]]&amp;"_"&amp;Table1[[#This Row],[Dati 2]]&amp;"_"&amp;Table1[[#This Row],[Tanggal]],Table2[[#All],[Kompetitor area]:[Jumlah Kompetitor]],7,0)</f>
        <v>440</v>
      </c>
      <c r="M819">
        <f>Table1[[#This Row],[Aktual]]-Table1[[#This Row],[Jumlah Kompetitor]]</f>
        <v>-15</v>
      </c>
      <c r="N819" t="str">
        <f>IF(Table1[[#This Row],[vs Kompetitor]]&gt;0,"Win", "Lose")</f>
        <v>Lose</v>
      </c>
    </row>
    <row r="820" spans="1:14" x14ac:dyDescent="0.25">
      <c r="A820">
        <v>819</v>
      </c>
      <c r="B820" t="s">
        <v>7</v>
      </c>
      <c r="C820" t="s">
        <v>129</v>
      </c>
      <c r="D820">
        <v>7</v>
      </c>
      <c r="E820">
        <v>2021</v>
      </c>
      <c r="F820" s="2">
        <f>DATE(Table1[[#This Row],[Tahun]],Table1[[#This Row],[Bulan]],1)</f>
        <v>44378</v>
      </c>
      <c r="G820">
        <v>228</v>
      </c>
      <c r="H820">
        <v>241</v>
      </c>
      <c r="I820" s="6">
        <f>(Table1[[#This Row],[Aktual]]-Table1[[#This Row],[Target]])</f>
        <v>-13</v>
      </c>
      <c r="J820" s="3">
        <f>(Table1[[#This Row],[Aktual]]-Table1[[#This Row],[Target]])/Table1[[#This Row],[Target]]</f>
        <v>-5.3941908713692949E-2</v>
      </c>
      <c r="K820" t="str">
        <f>IF(Table1[[#This Row],[Performance Gap (%)]]&lt;0,"Tidak mencapai target", IF(Table1[[#This Row],[Performance Gap (%)]]=0,"Mencapai target", "Melebihi Target"))</f>
        <v>Tidak mencapai target</v>
      </c>
      <c r="L820">
        <f>VLOOKUP(Table1[[#This Row],[Propinsi]]&amp;"_"&amp;Table1[[#This Row],[Dati 2]]&amp;"_"&amp;Table1[[#This Row],[Tanggal]],Table2[[#All],[Kompetitor area]:[Jumlah Kompetitor]],7,0)</f>
        <v>249</v>
      </c>
      <c r="M820">
        <f>Table1[[#This Row],[Aktual]]-Table1[[#This Row],[Jumlah Kompetitor]]</f>
        <v>-21</v>
      </c>
      <c r="N820" t="str">
        <f>IF(Table1[[#This Row],[vs Kompetitor]]&gt;0,"Win", "Lose")</f>
        <v>Lose</v>
      </c>
    </row>
    <row r="821" spans="1:14" x14ac:dyDescent="0.25">
      <c r="A821">
        <v>820</v>
      </c>
      <c r="B821" t="s">
        <v>7</v>
      </c>
      <c r="C821" t="s">
        <v>130</v>
      </c>
      <c r="D821">
        <v>7</v>
      </c>
      <c r="E821">
        <v>2021</v>
      </c>
      <c r="F821" s="2">
        <f>DATE(Table1[[#This Row],[Tahun]],Table1[[#This Row],[Bulan]],1)</f>
        <v>44378</v>
      </c>
      <c r="G821">
        <v>166</v>
      </c>
      <c r="H821">
        <v>155</v>
      </c>
      <c r="I821" s="6">
        <f>(Table1[[#This Row],[Aktual]]-Table1[[#This Row],[Target]])</f>
        <v>11</v>
      </c>
      <c r="J821" s="3">
        <f>(Table1[[#This Row],[Aktual]]-Table1[[#This Row],[Target]])/Table1[[#This Row],[Target]]</f>
        <v>7.0967741935483872E-2</v>
      </c>
      <c r="K821" t="str">
        <f>IF(Table1[[#This Row],[Performance Gap (%)]]&lt;0,"Tidak mencapai target", IF(Table1[[#This Row],[Performance Gap (%)]]=0,"Mencapai target", "Melebihi Target"))</f>
        <v>Melebihi Target</v>
      </c>
      <c r="L821">
        <f>VLOOKUP(Table1[[#This Row],[Propinsi]]&amp;"_"&amp;Table1[[#This Row],[Dati 2]]&amp;"_"&amp;Table1[[#This Row],[Tanggal]],Table2[[#All],[Kompetitor area]:[Jumlah Kompetitor]],7,0)</f>
        <v>163</v>
      </c>
      <c r="M821">
        <f>Table1[[#This Row],[Aktual]]-Table1[[#This Row],[Jumlah Kompetitor]]</f>
        <v>3</v>
      </c>
      <c r="N821" t="str">
        <f>IF(Table1[[#This Row],[vs Kompetitor]]&gt;0,"Win", "Lose")</f>
        <v>Win</v>
      </c>
    </row>
    <row r="822" spans="1:14" x14ac:dyDescent="0.25">
      <c r="A822">
        <v>821</v>
      </c>
      <c r="B822" t="s">
        <v>7</v>
      </c>
      <c r="C822" t="s">
        <v>131</v>
      </c>
      <c r="D822">
        <v>7</v>
      </c>
      <c r="E822">
        <v>2021</v>
      </c>
      <c r="F822" s="2">
        <f>DATE(Table1[[#This Row],[Tahun]],Table1[[#This Row],[Bulan]],1)</f>
        <v>44378</v>
      </c>
      <c r="G822">
        <v>142</v>
      </c>
      <c r="H822">
        <v>152</v>
      </c>
      <c r="I822" s="6">
        <f>(Table1[[#This Row],[Aktual]]-Table1[[#This Row],[Target]])</f>
        <v>-10</v>
      </c>
      <c r="J822" s="3">
        <f>(Table1[[#This Row],[Aktual]]-Table1[[#This Row],[Target]])/Table1[[#This Row],[Target]]</f>
        <v>-6.5789473684210523E-2</v>
      </c>
      <c r="K822" t="str">
        <f>IF(Table1[[#This Row],[Performance Gap (%)]]&lt;0,"Tidak mencapai target", IF(Table1[[#This Row],[Performance Gap (%)]]=0,"Mencapai target", "Melebihi Target"))</f>
        <v>Tidak mencapai target</v>
      </c>
      <c r="L822">
        <f>VLOOKUP(Table1[[#This Row],[Propinsi]]&amp;"_"&amp;Table1[[#This Row],[Dati 2]]&amp;"_"&amp;Table1[[#This Row],[Tanggal]],Table2[[#All],[Kompetitor area]:[Jumlah Kompetitor]],7,0)</f>
        <v>148</v>
      </c>
      <c r="M822">
        <f>Table1[[#This Row],[Aktual]]-Table1[[#This Row],[Jumlah Kompetitor]]</f>
        <v>-6</v>
      </c>
      <c r="N822" t="str">
        <f>IF(Table1[[#This Row],[vs Kompetitor]]&gt;0,"Win", "Lose")</f>
        <v>Lose</v>
      </c>
    </row>
    <row r="823" spans="1:14" x14ac:dyDescent="0.25">
      <c r="A823">
        <v>822</v>
      </c>
      <c r="B823" t="s">
        <v>7</v>
      </c>
      <c r="C823" t="s">
        <v>132</v>
      </c>
      <c r="D823">
        <v>7</v>
      </c>
      <c r="E823">
        <v>2021</v>
      </c>
      <c r="F823" s="2">
        <f>DATE(Table1[[#This Row],[Tahun]],Table1[[#This Row],[Bulan]],1)</f>
        <v>44378</v>
      </c>
      <c r="G823">
        <v>213</v>
      </c>
      <c r="H823">
        <v>177</v>
      </c>
      <c r="I823" s="6">
        <f>(Table1[[#This Row],[Aktual]]-Table1[[#This Row],[Target]])</f>
        <v>36</v>
      </c>
      <c r="J823" s="3">
        <f>(Table1[[#This Row],[Aktual]]-Table1[[#This Row],[Target]])/Table1[[#This Row],[Target]]</f>
        <v>0.20338983050847459</v>
      </c>
      <c r="K823" t="str">
        <f>IF(Table1[[#This Row],[Performance Gap (%)]]&lt;0,"Tidak mencapai target", IF(Table1[[#This Row],[Performance Gap (%)]]=0,"Mencapai target", "Melebihi Target"))</f>
        <v>Melebihi Target</v>
      </c>
      <c r="L823">
        <f>VLOOKUP(Table1[[#This Row],[Propinsi]]&amp;"_"&amp;Table1[[#This Row],[Dati 2]]&amp;"_"&amp;Table1[[#This Row],[Tanggal]],Table2[[#All],[Kompetitor area]:[Jumlah Kompetitor]],7,0)</f>
        <v>205</v>
      </c>
      <c r="M823">
        <f>Table1[[#This Row],[Aktual]]-Table1[[#This Row],[Jumlah Kompetitor]]</f>
        <v>8</v>
      </c>
      <c r="N823" t="str">
        <f>IF(Table1[[#This Row],[vs Kompetitor]]&gt;0,"Win", "Lose")</f>
        <v>Win</v>
      </c>
    </row>
    <row r="824" spans="1:14" x14ac:dyDescent="0.25">
      <c r="A824">
        <v>823</v>
      </c>
      <c r="B824" t="s">
        <v>7</v>
      </c>
      <c r="C824" t="s">
        <v>133</v>
      </c>
      <c r="D824">
        <v>7</v>
      </c>
      <c r="E824">
        <v>2021</v>
      </c>
      <c r="F824" s="2">
        <f>DATE(Table1[[#This Row],[Tahun]],Table1[[#This Row],[Bulan]],1)</f>
        <v>44378</v>
      </c>
      <c r="G824">
        <v>231</v>
      </c>
      <c r="H824">
        <v>184</v>
      </c>
      <c r="I824" s="6">
        <f>(Table1[[#This Row],[Aktual]]-Table1[[#This Row],[Target]])</f>
        <v>47</v>
      </c>
      <c r="J824" s="3">
        <f>(Table1[[#This Row],[Aktual]]-Table1[[#This Row],[Target]])/Table1[[#This Row],[Target]]</f>
        <v>0.25543478260869568</v>
      </c>
      <c r="K824" t="str">
        <f>IF(Table1[[#This Row],[Performance Gap (%)]]&lt;0,"Tidak mencapai target", IF(Table1[[#This Row],[Performance Gap (%)]]=0,"Mencapai target", "Melebihi Target"))</f>
        <v>Melebihi Target</v>
      </c>
      <c r="L824">
        <f>VLOOKUP(Table1[[#This Row],[Propinsi]]&amp;"_"&amp;Table1[[#This Row],[Dati 2]]&amp;"_"&amp;Table1[[#This Row],[Tanggal]],Table2[[#All],[Kompetitor area]:[Jumlah Kompetitor]],7,0)</f>
        <v>195</v>
      </c>
      <c r="M824">
        <f>Table1[[#This Row],[Aktual]]-Table1[[#This Row],[Jumlah Kompetitor]]</f>
        <v>36</v>
      </c>
      <c r="N824" t="str">
        <f>IF(Table1[[#This Row],[vs Kompetitor]]&gt;0,"Win", "Lose")</f>
        <v>Win</v>
      </c>
    </row>
    <row r="825" spans="1:14" x14ac:dyDescent="0.25">
      <c r="A825">
        <v>824</v>
      </c>
      <c r="B825" t="s">
        <v>7</v>
      </c>
      <c r="C825" t="s">
        <v>134</v>
      </c>
      <c r="D825">
        <v>7</v>
      </c>
      <c r="E825">
        <v>2021</v>
      </c>
      <c r="F825" s="2">
        <f>DATE(Table1[[#This Row],[Tahun]],Table1[[#This Row],[Bulan]],1)</f>
        <v>44378</v>
      </c>
      <c r="G825">
        <v>107</v>
      </c>
      <c r="H825">
        <v>102</v>
      </c>
      <c r="I825" s="6">
        <f>(Table1[[#This Row],[Aktual]]-Table1[[#This Row],[Target]])</f>
        <v>5</v>
      </c>
      <c r="J825" s="3">
        <f>(Table1[[#This Row],[Aktual]]-Table1[[#This Row],[Target]])/Table1[[#This Row],[Target]]</f>
        <v>4.9019607843137254E-2</v>
      </c>
      <c r="K825" t="str">
        <f>IF(Table1[[#This Row],[Performance Gap (%)]]&lt;0,"Tidak mencapai target", IF(Table1[[#This Row],[Performance Gap (%)]]=0,"Mencapai target", "Melebihi Target"))</f>
        <v>Melebihi Target</v>
      </c>
      <c r="L825">
        <f>VLOOKUP(Table1[[#This Row],[Propinsi]]&amp;"_"&amp;Table1[[#This Row],[Dati 2]]&amp;"_"&amp;Table1[[#This Row],[Tanggal]],Table2[[#All],[Kompetitor area]:[Jumlah Kompetitor]],7,0)</f>
        <v>111</v>
      </c>
      <c r="M825">
        <f>Table1[[#This Row],[Aktual]]-Table1[[#This Row],[Jumlah Kompetitor]]</f>
        <v>-4</v>
      </c>
      <c r="N825" t="str">
        <f>IF(Table1[[#This Row],[vs Kompetitor]]&gt;0,"Win", "Lose")</f>
        <v>Lose</v>
      </c>
    </row>
    <row r="826" spans="1:14" x14ac:dyDescent="0.25">
      <c r="A826">
        <v>825</v>
      </c>
      <c r="B826" t="s">
        <v>7</v>
      </c>
      <c r="C826" t="s">
        <v>135</v>
      </c>
      <c r="D826">
        <v>7</v>
      </c>
      <c r="E826">
        <v>2021</v>
      </c>
      <c r="F826" s="2">
        <f>DATE(Table1[[#This Row],[Tahun]],Table1[[#This Row],[Bulan]],1)</f>
        <v>44378</v>
      </c>
      <c r="G826">
        <v>308</v>
      </c>
      <c r="H826">
        <v>271</v>
      </c>
      <c r="I826" s="6">
        <f>(Table1[[#This Row],[Aktual]]-Table1[[#This Row],[Target]])</f>
        <v>37</v>
      </c>
      <c r="J826" s="3">
        <f>(Table1[[#This Row],[Aktual]]-Table1[[#This Row],[Target]])/Table1[[#This Row],[Target]]</f>
        <v>0.13653136531365315</v>
      </c>
      <c r="K826" t="str">
        <f>IF(Table1[[#This Row],[Performance Gap (%)]]&lt;0,"Tidak mencapai target", IF(Table1[[#This Row],[Performance Gap (%)]]=0,"Mencapai target", "Melebihi Target"))</f>
        <v>Melebihi Target</v>
      </c>
      <c r="L826">
        <f>VLOOKUP(Table1[[#This Row],[Propinsi]]&amp;"_"&amp;Table1[[#This Row],[Dati 2]]&amp;"_"&amp;Table1[[#This Row],[Tanggal]],Table2[[#All],[Kompetitor area]:[Jumlah Kompetitor]],7,0)</f>
        <v>291</v>
      </c>
      <c r="M826">
        <f>Table1[[#This Row],[Aktual]]-Table1[[#This Row],[Jumlah Kompetitor]]</f>
        <v>17</v>
      </c>
      <c r="N826" t="str">
        <f>IF(Table1[[#This Row],[vs Kompetitor]]&gt;0,"Win", "Lose")</f>
        <v>Win</v>
      </c>
    </row>
    <row r="827" spans="1:14" x14ac:dyDescent="0.25">
      <c r="A827">
        <v>826</v>
      </c>
      <c r="B827" t="s">
        <v>7</v>
      </c>
      <c r="C827" t="s">
        <v>136</v>
      </c>
      <c r="D827">
        <v>7</v>
      </c>
      <c r="E827">
        <v>2021</v>
      </c>
      <c r="F827" s="2">
        <f>DATE(Table1[[#This Row],[Tahun]],Table1[[#This Row],[Bulan]],1)</f>
        <v>44378</v>
      </c>
      <c r="G827">
        <v>139</v>
      </c>
      <c r="H827">
        <v>122</v>
      </c>
      <c r="I827" s="6">
        <f>(Table1[[#This Row],[Aktual]]-Table1[[#This Row],[Target]])</f>
        <v>17</v>
      </c>
      <c r="J827" s="3">
        <f>(Table1[[#This Row],[Aktual]]-Table1[[#This Row],[Target]])/Table1[[#This Row],[Target]]</f>
        <v>0.13934426229508196</v>
      </c>
      <c r="K827" t="str">
        <f>IF(Table1[[#This Row],[Performance Gap (%)]]&lt;0,"Tidak mencapai target", IF(Table1[[#This Row],[Performance Gap (%)]]=0,"Mencapai target", "Melebihi Target"))</f>
        <v>Melebihi Target</v>
      </c>
      <c r="L827">
        <f>VLOOKUP(Table1[[#This Row],[Propinsi]]&amp;"_"&amp;Table1[[#This Row],[Dati 2]]&amp;"_"&amp;Table1[[#This Row],[Tanggal]],Table2[[#All],[Kompetitor area]:[Jumlah Kompetitor]],7,0)</f>
        <v>149</v>
      </c>
      <c r="M827">
        <f>Table1[[#This Row],[Aktual]]-Table1[[#This Row],[Jumlah Kompetitor]]</f>
        <v>-10</v>
      </c>
      <c r="N827" t="str">
        <f>IF(Table1[[#This Row],[vs Kompetitor]]&gt;0,"Win", "Lose")</f>
        <v>Lose</v>
      </c>
    </row>
    <row r="828" spans="1:14" x14ac:dyDescent="0.25">
      <c r="A828">
        <v>827</v>
      </c>
      <c r="B828" t="s">
        <v>7</v>
      </c>
      <c r="C828" t="s">
        <v>137</v>
      </c>
      <c r="D828">
        <v>7</v>
      </c>
      <c r="E828">
        <v>2021</v>
      </c>
      <c r="F828" s="2">
        <f>DATE(Table1[[#This Row],[Tahun]],Table1[[#This Row],[Bulan]],1)</f>
        <v>44378</v>
      </c>
      <c r="G828">
        <v>92</v>
      </c>
      <c r="H828">
        <v>79</v>
      </c>
      <c r="I828" s="6">
        <f>(Table1[[#This Row],[Aktual]]-Table1[[#This Row],[Target]])</f>
        <v>13</v>
      </c>
      <c r="J828" s="3">
        <f>(Table1[[#This Row],[Aktual]]-Table1[[#This Row],[Target]])/Table1[[#This Row],[Target]]</f>
        <v>0.16455696202531644</v>
      </c>
      <c r="K828" t="str">
        <f>IF(Table1[[#This Row],[Performance Gap (%)]]&lt;0,"Tidak mencapai target", IF(Table1[[#This Row],[Performance Gap (%)]]=0,"Mencapai target", "Melebihi Target"))</f>
        <v>Melebihi Target</v>
      </c>
      <c r="L828">
        <f>VLOOKUP(Table1[[#This Row],[Propinsi]]&amp;"_"&amp;Table1[[#This Row],[Dati 2]]&amp;"_"&amp;Table1[[#This Row],[Tanggal]],Table2[[#All],[Kompetitor area]:[Jumlah Kompetitor]],7,0)</f>
        <v>95</v>
      </c>
      <c r="M828">
        <f>Table1[[#This Row],[Aktual]]-Table1[[#This Row],[Jumlah Kompetitor]]</f>
        <v>-3</v>
      </c>
      <c r="N828" t="str">
        <f>IF(Table1[[#This Row],[vs Kompetitor]]&gt;0,"Win", "Lose")</f>
        <v>Lose</v>
      </c>
    </row>
    <row r="829" spans="1:14" x14ac:dyDescent="0.25">
      <c r="A829">
        <v>828</v>
      </c>
      <c r="B829" t="s">
        <v>7</v>
      </c>
      <c r="C829" t="s">
        <v>138</v>
      </c>
      <c r="D829">
        <v>7</v>
      </c>
      <c r="E829">
        <v>2021</v>
      </c>
      <c r="F829" s="2">
        <f>DATE(Table1[[#This Row],[Tahun]],Table1[[#This Row],[Bulan]],1)</f>
        <v>44378</v>
      </c>
      <c r="G829">
        <v>176</v>
      </c>
      <c r="H829">
        <v>148</v>
      </c>
      <c r="I829" s="6">
        <f>(Table1[[#This Row],[Aktual]]-Table1[[#This Row],[Target]])</f>
        <v>28</v>
      </c>
      <c r="J829" s="3">
        <f>(Table1[[#This Row],[Aktual]]-Table1[[#This Row],[Target]])/Table1[[#This Row],[Target]]</f>
        <v>0.1891891891891892</v>
      </c>
      <c r="K829" t="str">
        <f>IF(Table1[[#This Row],[Performance Gap (%)]]&lt;0,"Tidak mencapai target", IF(Table1[[#This Row],[Performance Gap (%)]]=0,"Mencapai target", "Melebihi Target"))</f>
        <v>Melebihi Target</v>
      </c>
      <c r="L829">
        <f>VLOOKUP(Table1[[#This Row],[Propinsi]]&amp;"_"&amp;Table1[[#This Row],[Dati 2]]&amp;"_"&amp;Table1[[#This Row],[Tanggal]],Table2[[#All],[Kompetitor area]:[Jumlah Kompetitor]],7,0)</f>
        <v>175</v>
      </c>
      <c r="M829">
        <f>Table1[[#This Row],[Aktual]]-Table1[[#This Row],[Jumlah Kompetitor]]</f>
        <v>1</v>
      </c>
      <c r="N829" t="str">
        <f>IF(Table1[[#This Row],[vs Kompetitor]]&gt;0,"Win", "Lose")</f>
        <v>Win</v>
      </c>
    </row>
    <row r="830" spans="1:14" x14ac:dyDescent="0.25">
      <c r="A830">
        <v>829</v>
      </c>
      <c r="B830" t="s">
        <v>7</v>
      </c>
      <c r="C830" t="s">
        <v>139</v>
      </c>
      <c r="D830">
        <v>7</v>
      </c>
      <c r="E830">
        <v>2021</v>
      </c>
      <c r="F830" s="2">
        <f>DATE(Table1[[#This Row],[Tahun]],Table1[[#This Row],[Bulan]],1)</f>
        <v>44378</v>
      </c>
      <c r="G830">
        <v>224</v>
      </c>
      <c r="H830">
        <v>235</v>
      </c>
      <c r="I830" s="6">
        <f>(Table1[[#This Row],[Aktual]]-Table1[[#This Row],[Target]])</f>
        <v>-11</v>
      </c>
      <c r="J830" s="3">
        <f>(Table1[[#This Row],[Aktual]]-Table1[[#This Row],[Target]])/Table1[[#This Row],[Target]]</f>
        <v>-4.6808510638297871E-2</v>
      </c>
      <c r="K830" t="str">
        <f>IF(Table1[[#This Row],[Performance Gap (%)]]&lt;0,"Tidak mencapai target", IF(Table1[[#This Row],[Performance Gap (%)]]=0,"Mencapai target", "Melebihi Target"))</f>
        <v>Tidak mencapai target</v>
      </c>
      <c r="L830">
        <f>VLOOKUP(Table1[[#This Row],[Propinsi]]&amp;"_"&amp;Table1[[#This Row],[Dati 2]]&amp;"_"&amp;Table1[[#This Row],[Tanggal]],Table2[[#All],[Kompetitor area]:[Jumlah Kompetitor]],7,0)</f>
        <v>224</v>
      </c>
      <c r="M830">
        <f>Table1[[#This Row],[Aktual]]-Table1[[#This Row],[Jumlah Kompetitor]]</f>
        <v>0</v>
      </c>
      <c r="N830" t="str">
        <f>IF(Table1[[#This Row],[vs Kompetitor]]&gt;0,"Win", "Lose")</f>
        <v>Lose</v>
      </c>
    </row>
    <row r="831" spans="1:14" x14ac:dyDescent="0.25">
      <c r="A831">
        <v>830</v>
      </c>
      <c r="B831" t="s">
        <v>7</v>
      </c>
      <c r="C831" t="s">
        <v>140</v>
      </c>
      <c r="D831">
        <v>7</v>
      </c>
      <c r="E831">
        <v>2021</v>
      </c>
      <c r="F831" s="2">
        <f>DATE(Table1[[#This Row],[Tahun]],Table1[[#This Row],[Bulan]],1)</f>
        <v>44378</v>
      </c>
      <c r="G831">
        <v>207</v>
      </c>
      <c r="H831">
        <v>168</v>
      </c>
      <c r="I831" s="6">
        <f>(Table1[[#This Row],[Aktual]]-Table1[[#This Row],[Target]])</f>
        <v>39</v>
      </c>
      <c r="J831" s="3">
        <f>(Table1[[#This Row],[Aktual]]-Table1[[#This Row],[Target]])/Table1[[#This Row],[Target]]</f>
        <v>0.23214285714285715</v>
      </c>
      <c r="K831" t="str">
        <f>IF(Table1[[#This Row],[Performance Gap (%)]]&lt;0,"Tidak mencapai target", IF(Table1[[#This Row],[Performance Gap (%)]]=0,"Mencapai target", "Melebihi Target"))</f>
        <v>Melebihi Target</v>
      </c>
      <c r="L831">
        <f>VLOOKUP(Table1[[#This Row],[Propinsi]]&amp;"_"&amp;Table1[[#This Row],[Dati 2]]&amp;"_"&amp;Table1[[#This Row],[Tanggal]],Table2[[#All],[Kompetitor area]:[Jumlah Kompetitor]],7,0)</f>
        <v>196</v>
      </c>
      <c r="M831">
        <f>Table1[[#This Row],[Aktual]]-Table1[[#This Row],[Jumlah Kompetitor]]</f>
        <v>11</v>
      </c>
      <c r="N831" t="str">
        <f>IF(Table1[[#This Row],[vs Kompetitor]]&gt;0,"Win", "Lose")</f>
        <v>Win</v>
      </c>
    </row>
    <row r="832" spans="1:14" x14ac:dyDescent="0.25">
      <c r="A832">
        <v>831</v>
      </c>
      <c r="B832" t="s">
        <v>7</v>
      </c>
      <c r="C832" t="s">
        <v>141</v>
      </c>
      <c r="D832">
        <v>7</v>
      </c>
      <c r="E832">
        <v>2021</v>
      </c>
      <c r="F832" s="2">
        <f>DATE(Table1[[#This Row],[Tahun]],Table1[[#This Row],[Bulan]],1)</f>
        <v>44378</v>
      </c>
      <c r="G832">
        <v>149</v>
      </c>
      <c r="H832">
        <v>127</v>
      </c>
      <c r="I832" s="6">
        <f>(Table1[[#This Row],[Aktual]]-Table1[[#This Row],[Target]])</f>
        <v>22</v>
      </c>
      <c r="J832" s="3">
        <f>(Table1[[#This Row],[Aktual]]-Table1[[#This Row],[Target]])/Table1[[#This Row],[Target]]</f>
        <v>0.17322834645669291</v>
      </c>
      <c r="K832" t="str">
        <f>IF(Table1[[#This Row],[Performance Gap (%)]]&lt;0,"Tidak mencapai target", IF(Table1[[#This Row],[Performance Gap (%)]]=0,"Mencapai target", "Melebihi Target"))</f>
        <v>Melebihi Target</v>
      </c>
      <c r="L832">
        <f>VLOOKUP(Table1[[#This Row],[Propinsi]]&amp;"_"&amp;Table1[[#This Row],[Dati 2]]&amp;"_"&amp;Table1[[#This Row],[Tanggal]],Table2[[#All],[Kompetitor area]:[Jumlah Kompetitor]],7,0)</f>
        <v>129</v>
      </c>
      <c r="M832">
        <f>Table1[[#This Row],[Aktual]]-Table1[[#This Row],[Jumlah Kompetitor]]</f>
        <v>20</v>
      </c>
      <c r="N832" t="str">
        <f>IF(Table1[[#This Row],[vs Kompetitor]]&gt;0,"Win", "Lose")</f>
        <v>Win</v>
      </c>
    </row>
    <row r="833" spans="1:14" x14ac:dyDescent="0.25">
      <c r="A833">
        <v>832</v>
      </c>
      <c r="B833" t="s">
        <v>7</v>
      </c>
      <c r="C833" t="s">
        <v>142</v>
      </c>
      <c r="D833">
        <v>7</v>
      </c>
      <c r="E833">
        <v>2021</v>
      </c>
      <c r="F833" s="2">
        <f>DATE(Table1[[#This Row],[Tahun]],Table1[[#This Row],[Bulan]],1)</f>
        <v>44378</v>
      </c>
      <c r="G833">
        <v>143</v>
      </c>
      <c r="H833">
        <v>145</v>
      </c>
      <c r="I833" s="6">
        <f>(Table1[[#This Row],[Aktual]]-Table1[[#This Row],[Target]])</f>
        <v>-2</v>
      </c>
      <c r="J833" s="3">
        <f>(Table1[[#This Row],[Aktual]]-Table1[[#This Row],[Target]])/Table1[[#This Row],[Target]]</f>
        <v>-1.3793103448275862E-2</v>
      </c>
      <c r="K833" t="str">
        <f>IF(Table1[[#This Row],[Performance Gap (%)]]&lt;0,"Tidak mencapai target", IF(Table1[[#This Row],[Performance Gap (%)]]=0,"Mencapai target", "Melebihi Target"))</f>
        <v>Tidak mencapai target</v>
      </c>
      <c r="L833">
        <f>VLOOKUP(Table1[[#This Row],[Propinsi]]&amp;"_"&amp;Table1[[#This Row],[Dati 2]]&amp;"_"&amp;Table1[[#This Row],[Tanggal]],Table2[[#All],[Kompetitor area]:[Jumlah Kompetitor]],7,0)</f>
        <v>147</v>
      </c>
      <c r="M833">
        <f>Table1[[#This Row],[Aktual]]-Table1[[#This Row],[Jumlah Kompetitor]]</f>
        <v>-4</v>
      </c>
      <c r="N833" t="str">
        <f>IF(Table1[[#This Row],[vs Kompetitor]]&gt;0,"Win", "Lose")</f>
        <v>Lose</v>
      </c>
    </row>
    <row r="834" spans="1:14" x14ac:dyDescent="0.25">
      <c r="A834">
        <v>833</v>
      </c>
      <c r="B834" t="s">
        <v>7</v>
      </c>
      <c r="C834" t="s">
        <v>143</v>
      </c>
      <c r="D834">
        <v>7</v>
      </c>
      <c r="E834">
        <v>2021</v>
      </c>
      <c r="F834" s="2">
        <f>DATE(Table1[[#This Row],[Tahun]],Table1[[#This Row],[Bulan]],1)</f>
        <v>44378</v>
      </c>
      <c r="G834">
        <v>204</v>
      </c>
      <c r="H834">
        <v>170</v>
      </c>
      <c r="I834" s="6">
        <f>(Table1[[#This Row],[Aktual]]-Table1[[#This Row],[Target]])</f>
        <v>34</v>
      </c>
      <c r="J834" s="3">
        <f>(Table1[[#This Row],[Aktual]]-Table1[[#This Row],[Target]])/Table1[[#This Row],[Target]]</f>
        <v>0.2</v>
      </c>
      <c r="K834" t="str">
        <f>IF(Table1[[#This Row],[Performance Gap (%)]]&lt;0,"Tidak mencapai target", IF(Table1[[#This Row],[Performance Gap (%)]]=0,"Mencapai target", "Melebihi Target"))</f>
        <v>Melebihi Target</v>
      </c>
      <c r="L834">
        <f>VLOOKUP(Table1[[#This Row],[Propinsi]]&amp;"_"&amp;Table1[[#This Row],[Dati 2]]&amp;"_"&amp;Table1[[#This Row],[Tanggal]],Table2[[#All],[Kompetitor area]:[Jumlah Kompetitor]],7,0)</f>
        <v>189</v>
      </c>
      <c r="M834">
        <f>Table1[[#This Row],[Aktual]]-Table1[[#This Row],[Jumlah Kompetitor]]</f>
        <v>15</v>
      </c>
      <c r="N834" t="str">
        <f>IF(Table1[[#This Row],[vs Kompetitor]]&gt;0,"Win", "Lose")</f>
        <v>Win</v>
      </c>
    </row>
    <row r="835" spans="1:14" x14ac:dyDescent="0.25">
      <c r="A835">
        <v>834</v>
      </c>
      <c r="B835" t="s">
        <v>7</v>
      </c>
      <c r="C835" t="s">
        <v>144</v>
      </c>
      <c r="D835">
        <v>7</v>
      </c>
      <c r="E835">
        <v>2021</v>
      </c>
      <c r="F835" s="2">
        <f>DATE(Table1[[#This Row],[Tahun]],Table1[[#This Row],[Bulan]],1)</f>
        <v>44378</v>
      </c>
      <c r="G835">
        <v>110</v>
      </c>
      <c r="H835">
        <v>101</v>
      </c>
      <c r="I835" s="6">
        <f>(Table1[[#This Row],[Aktual]]-Table1[[#This Row],[Target]])</f>
        <v>9</v>
      </c>
      <c r="J835" s="3">
        <f>(Table1[[#This Row],[Aktual]]-Table1[[#This Row],[Target]])/Table1[[#This Row],[Target]]</f>
        <v>8.9108910891089105E-2</v>
      </c>
      <c r="K835" t="str">
        <f>IF(Table1[[#This Row],[Performance Gap (%)]]&lt;0,"Tidak mencapai target", IF(Table1[[#This Row],[Performance Gap (%)]]=0,"Mencapai target", "Melebihi Target"))</f>
        <v>Melebihi Target</v>
      </c>
      <c r="L835">
        <f>VLOOKUP(Table1[[#This Row],[Propinsi]]&amp;"_"&amp;Table1[[#This Row],[Dati 2]]&amp;"_"&amp;Table1[[#This Row],[Tanggal]],Table2[[#All],[Kompetitor area]:[Jumlah Kompetitor]],7,0)</f>
        <v>103</v>
      </c>
      <c r="M835">
        <f>Table1[[#This Row],[Aktual]]-Table1[[#This Row],[Jumlah Kompetitor]]</f>
        <v>7</v>
      </c>
      <c r="N835" t="str">
        <f>IF(Table1[[#This Row],[vs Kompetitor]]&gt;0,"Win", "Lose")</f>
        <v>Win</v>
      </c>
    </row>
    <row r="836" spans="1:14" x14ac:dyDescent="0.25">
      <c r="A836">
        <v>835</v>
      </c>
      <c r="B836" t="s">
        <v>7</v>
      </c>
      <c r="C836" t="s">
        <v>145</v>
      </c>
      <c r="D836">
        <v>7</v>
      </c>
      <c r="E836">
        <v>2021</v>
      </c>
      <c r="F836" s="2">
        <f>DATE(Table1[[#This Row],[Tahun]],Table1[[#This Row],[Bulan]],1)</f>
        <v>44378</v>
      </c>
      <c r="G836">
        <v>111</v>
      </c>
      <c r="H836">
        <v>114</v>
      </c>
      <c r="I836" s="6">
        <f>(Table1[[#This Row],[Aktual]]-Table1[[#This Row],[Target]])</f>
        <v>-3</v>
      </c>
      <c r="J836" s="3">
        <f>(Table1[[#This Row],[Aktual]]-Table1[[#This Row],[Target]])/Table1[[#This Row],[Target]]</f>
        <v>-2.6315789473684209E-2</v>
      </c>
      <c r="K836" t="str">
        <f>IF(Table1[[#This Row],[Performance Gap (%)]]&lt;0,"Tidak mencapai target", IF(Table1[[#This Row],[Performance Gap (%)]]=0,"Mencapai target", "Melebihi Target"))</f>
        <v>Tidak mencapai target</v>
      </c>
      <c r="L836">
        <f>VLOOKUP(Table1[[#This Row],[Propinsi]]&amp;"_"&amp;Table1[[#This Row],[Dati 2]]&amp;"_"&amp;Table1[[#This Row],[Tanggal]],Table2[[#All],[Kompetitor area]:[Jumlah Kompetitor]],7,0)</f>
        <v>125</v>
      </c>
      <c r="M836">
        <f>Table1[[#This Row],[Aktual]]-Table1[[#This Row],[Jumlah Kompetitor]]</f>
        <v>-14</v>
      </c>
      <c r="N836" t="str">
        <f>IF(Table1[[#This Row],[vs Kompetitor]]&gt;0,"Win", "Lose")</f>
        <v>Lose</v>
      </c>
    </row>
    <row r="837" spans="1:14" x14ac:dyDescent="0.25">
      <c r="A837">
        <v>836</v>
      </c>
      <c r="B837" t="s">
        <v>7</v>
      </c>
      <c r="C837" t="s">
        <v>146</v>
      </c>
      <c r="D837">
        <v>7</v>
      </c>
      <c r="E837">
        <v>2021</v>
      </c>
      <c r="F837" s="2">
        <f>DATE(Table1[[#This Row],[Tahun]],Table1[[#This Row],[Bulan]],1)</f>
        <v>44378</v>
      </c>
      <c r="G837">
        <v>227</v>
      </c>
      <c r="H837">
        <v>197</v>
      </c>
      <c r="I837" s="6">
        <f>(Table1[[#This Row],[Aktual]]-Table1[[#This Row],[Target]])</f>
        <v>30</v>
      </c>
      <c r="J837" s="3">
        <f>(Table1[[#This Row],[Aktual]]-Table1[[#This Row],[Target]])/Table1[[#This Row],[Target]]</f>
        <v>0.15228426395939088</v>
      </c>
      <c r="K837" t="str">
        <f>IF(Table1[[#This Row],[Performance Gap (%)]]&lt;0,"Tidak mencapai target", IF(Table1[[#This Row],[Performance Gap (%)]]=0,"Mencapai target", "Melebihi Target"))</f>
        <v>Melebihi Target</v>
      </c>
      <c r="L837">
        <f>VLOOKUP(Table1[[#This Row],[Propinsi]]&amp;"_"&amp;Table1[[#This Row],[Dati 2]]&amp;"_"&amp;Table1[[#This Row],[Tanggal]],Table2[[#All],[Kompetitor area]:[Jumlah Kompetitor]],7,0)</f>
        <v>210</v>
      </c>
      <c r="M837">
        <f>Table1[[#This Row],[Aktual]]-Table1[[#This Row],[Jumlah Kompetitor]]</f>
        <v>17</v>
      </c>
      <c r="N837" t="str">
        <f>IF(Table1[[#This Row],[vs Kompetitor]]&gt;0,"Win", "Lose")</f>
        <v>Win</v>
      </c>
    </row>
    <row r="838" spans="1:14" x14ac:dyDescent="0.25">
      <c r="A838">
        <v>837</v>
      </c>
      <c r="B838" t="s">
        <v>7</v>
      </c>
      <c r="C838" t="s">
        <v>147</v>
      </c>
      <c r="D838">
        <v>7</v>
      </c>
      <c r="E838">
        <v>2021</v>
      </c>
      <c r="F838" s="2">
        <f>DATE(Table1[[#This Row],[Tahun]],Table1[[#This Row],[Bulan]],1)</f>
        <v>44378</v>
      </c>
      <c r="G838">
        <v>121</v>
      </c>
      <c r="H838">
        <v>104</v>
      </c>
      <c r="I838" s="6">
        <f>(Table1[[#This Row],[Aktual]]-Table1[[#This Row],[Target]])</f>
        <v>17</v>
      </c>
      <c r="J838" s="3">
        <f>(Table1[[#This Row],[Aktual]]-Table1[[#This Row],[Target]])/Table1[[#This Row],[Target]]</f>
        <v>0.16346153846153846</v>
      </c>
      <c r="K838" t="str">
        <f>IF(Table1[[#This Row],[Performance Gap (%)]]&lt;0,"Tidak mencapai target", IF(Table1[[#This Row],[Performance Gap (%)]]=0,"Mencapai target", "Melebihi Target"))</f>
        <v>Melebihi Target</v>
      </c>
      <c r="L838">
        <f>VLOOKUP(Table1[[#This Row],[Propinsi]]&amp;"_"&amp;Table1[[#This Row],[Dati 2]]&amp;"_"&amp;Table1[[#This Row],[Tanggal]],Table2[[#All],[Kompetitor area]:[Jumlah Kompetitor]],7,0)</f>
        <v>125</v>
      </c>
      <c r="M838">
        <f>Table1[[#This Row],[Aktual]]-Table1[[#This Row],[Jumlah Kompetitor]]</f>
        <v>-4</v>
      </c>
      <c r="N838" t="str">
        <f>IF(Table1[[#This Row],[vs Kompetitor]]&gt;0,"Win", "Lose")</f>
        <v>Lose</v>
      </c>
    </row>
    <row r="839" spans="1:14" x14ac:dyDescent="0.25">
      <c r="A839">
        <v>838</v>
      </c>
      <c r="B839" t="s">
        <v>7</v>
      </c>
      <c r="C839" t="s">
        <v>148</v>
      </c>
      <c r="D839">
        <v>7</v>
      </c>
      <c r="E839">
        <v>2021</v>
      </c>
      <c r="F839" s="2">
        <f>DATE(Table1[[#This Row],[Tahun]],Table1[[#This Row],[Bulan]],1)</f>
        <v>44378</v>
      </c>
      <c r="G839">
        <v>163</v>
      </c>
      <c r="H839">
        <v>174</v>
      </c>
      <c r="I839" s="6">
        <f>(Table1[[#This Row],[Aktual]]-Table1[[#This Row],[Target]])</f>
        <v>-11</v>
      </c>
      <c r="J839" s="3">
        <f>(Table1[[#This Row],[Aktual]]-Table1[[#This Row],[Target]])/Table1[[#This Row],[Target]]</f>
        <v>-6.3218390804597707E-2</v>
      </c>
      <c r="K839" t="str">
        <f>IF(Table1[[#This Row],[Performance Gap (%)]]&lt;0,"Tidak mencapai target", IF(Table1[[#This Row],[Performance Gap (%)]]=0,"Mencapai target", "Melebihi Target"))</f>
        <v>Tidak mencapai target</v>
      </c>
      <c r="L839">
        <f>VLOOKUP(Table1[[#This Row],[Propinsi]]&amp;"_"&amp;Table1[[#This Row],[Dati 2]]&amp;"_"&amp;Table1[[#This Row],[Tanggal]],Table2[[#All],[Kompetitor area]:[Jumlah Kompetitor]],7,0)</f>
        <v>165</v>
      </c>
      <c r="M839">
        <f>Table1[[#This Row],[Aktual]]-Table1[[#This Row],[Jumlah Kompetitor]]</f>
        <v>-2</v>
      </c>
      <c r="N839" t="str">
        <f>IF(Table1[[#This Row],[vs Kompetitor]]&gt;0,"Win", "Lose")</f>
        <v>Lose</v>
      </c>
    </row>
    <row r="840" spans="1:14" x14ac:dyDescent="0.25">
      <c r="A840">
        <v>839</v>
      </c>
      <c r="B840" t="s">
        <v>7</v>
      </c>
      <c r="C840" t="s">
        <v>149</v>
      </c>
      <c r="D840">
        <v>7</v>
      </c>
      <c r="E840">
        <v>2021</v>
      </c>
      <c r="F840" s="2">
        <f>DATE(Table1[[#This Row],[Tahun]],Table1[[#This Row],[Bulan]],1)</f>
        <v>44378</v>
      </c>
      <c r="G840">
        <v>56</v>
      </c>
      <c r="H840">
        <v>53</v>
      </c>
      <c r="I840" s="6">
        <f>(Table1[[#This Row],[Aktual]]-Table1[[#This Row],[Target]])</f>
        <v>3</v>
      </c>
      <c r="J840" s="3">
        <f>(Table1[[#This Row],[Aktual]]-Table1[[#This Row],[Target]])/Table1[[#This Row],[Target]]</f>
        <v>5.6603773584905662E-2</v>
      </c>
      <c r="K840" t="str">
        <f>IF(Table1[[#This Row],[Performance Gap (%)]]&lt;0,"Tidak mencapai target", IF(Table1[[#This Row],[Performance Gap (%)]]=0,"Mencapai target", "Melebihi Target"))</f>
        <v>Melebihi Target</v>
      </c>
      <c r="L840">
        <f>VLOOKUP(Table1[[#This Row],[Propinsi]]&amp;"_"&amp;Table1[[#This Row],[Dati 2]]&amp;"_"&amp;Table1[[#This Row],[Tanggal]],Table2[[#All],[Kompetitor area]:[Jumlah Kompetitor]],7,0)</f>
        <v>58</v>
      </c>
      <c r="M840">
        <f>Table1[[#This Row],[Aktual]]-Table1[[#This Row],[Jumlah Kompetitor]]</f>
        <v>-2</v>
      </c>
      <c r="N840" t="str">
        <f>IF(Table1[[#This Row],[vs Kompetitor]]&gt;0,"Win", "Lose")</f>
        <v>Lose</v>
      </c>
    </row>
    <row r="841" spans="1:14" x14ac:dyDescent="0.25">
      <c r="A841">
        <v>840</v>
      </c>
      <c r="B841" t="s">
        <v>8</v>
      </c>
      <c r="C841" t="s">
        <v>150</v>
      </c>
      <c r="D841">
        <v>7</v>
      </c>
      <c r="E841">
        <v>2021</v>
      </c>
      <c r="F841" s="2">
        <f>DATE(Table1[[#This Row],[Tahun]],Table1[[#This Row],[Bulan]],1)</f>
        <v>44378</v>
      </c>
      <c r="G841">
        <v>695</v>
      </c>
      <c r="H841">
        <v>642</v>
      </c>
      <c r="I841" s="6">
        <f>(Table1[[#This Row],[Aktual]]-Table1[[#This Row],[Target]])</f>
        <v>53</v>
      </c>
      <c r="J841" s="3">
        <f>(Table1[[#This Row],[Aktual]]-Table1[[#This Row],[Target]])/Table1[[#This Row],[Target]]</f>
        <v>8.2554517133956382E-2</v>
      </c>
      <c r="K841" t="str">
        <f>IF(Table1[[#This Row],[Performance Gap (%)]]&lt;0,"Tidak mencapai target", IF(Table1[[#This Row],[Performance Gap (%)]]=0,"Mencapai target", "Melebihi Target"))</f>
        <v>Melebihi Target</v>
      </c>
      <c r="L841">
        <f>VLOOKUP(Table1[[#This Row],[Propinsi]]&amp;"_"&amp;Table1[[#This Row],[Dati 2]]&amp;"_"&amp;Table1[[#This Row],[Tanggal]],Table2[[#All],[Kompetitor area]:[Jumlah Kompetitor]],7,0)</f>
        <v>668</v>
      </c>
      <c r="M841">
        <f>Table1[[#This Row],[Aktual]]-Table1[[#This Row],[Jumlah Kompetitor]]</f>
        <v>27</v>
      </c>
      <c r="N841" t="str">
        <f>IF(Table1[[#This Row],[vs Kompetitor]]&gt;0,"Win", "Lose")</f>
        <v>Win</v>
      </c>
    </row>
    <row r="842" spans="1:14" x14ac:dyDescent="0.25">
      <c r="A842">
        <v>841</v>
      </c>
      <c r="B842" t="s">
        <v>8</v>
      </c>
      <c r="C842" t="s">
        <v>151</v>
      </c>
      <c r="D842">
        <v>7</v>
      </c>
      <c r="E842">
        <v>2021</v>
      </c>
      <c r="F842" s="2">
        <f>DATE(Table1[[#This Row],[Tahun]],Table1[[#This Row],[Bulan]],1)</f>
        <v>44378</v>
      </c>
      <c r="G842">
        <v>548</v>
      </c>
      <c r="H842">
        <v>534</v>
      </c>
      <c r="I842" s="6">
        <f>(Table1[[#This Row],[Aktual]]-Table1[[#This Row],[Target]])</f>
        <v>14</v>
      </c>
      <c r="J842" s="3">
        <f>(Table1[[#This Row],[Aktual]]-Table1[[#This Row],[Target]])/Table1[[#This Row],[Target]]</f>
        <v>2.6217228464419477E-2</v>
      </c>
      <c r="K842" t="str">
        <f>IF(Table1[[#This Row],[Performance Gap (%)]]&lt;0,"Tidak mencapai target", IF(Table1[[#This Row],[Performance Gap (%)]]=0,"Mencapai target", "Melebihi Target"))</f>
        <v>Melebihi Target</v>
      </c>
      <c r="L842">
        <f>VLOOKUP(Table1[[#This Row],[Propinsi]]&amp;"_"&amp;Table1[[#This Row],[Dati 2]]&amp;"_"&amp;Table1[[#This Row],[Tanggal]],Table2[[#All],[Kompetitor area]:[Jumlah Kompetitor]],7,0)</f>
        <v>530</v>
      </c>
      <c r="M842">
        <f>Table1[[#This Row],[Aktual]]-Table1[[#This Row],[Jumlah Kompetitor]]</f>
        <v>18</v>
      </c>
      <c r="N842" t="str">
        <f>IF(Table1[[#This Row],[vs Kompetitor]]&gt;0,"Win", "Lose")</f>
        <v>Win</v>
      </c>
    </row>
    <row r="843" spans="1:14" x14ac:dyDescent="0.25">
      <c r="A843">
        <v>842</v>
      </c>
      <c r="B843" t="s">
        <v>8</v>
      </c>
      <c r="C843" t="s">
        <v>152</v>
      </c>
      <c r="D843">
        <v>7</v>
      </c>
      <c r="E843">
        <v>2021</v>
      </c>
      <c r="F843" s="2">
        <f>DATE(Table1[[#This Row],[Tahun]],Table1[[#This Row],[Bulan]],1)</f>
        <v>44378</v>
      </c>
      <c r="G843">
        <v>196</v>
      </c>
      <c r="H843">
        <v>167</v>
      </c>
      <c r="I843" s="6">
        <f>(Table1[[#This Row],[Aktual]]-Table1[[#This Row],[Target]])</f>
        <v>29</v>
      </c>
      <c r="J843" s="3">
        <f>(Table1[[#This Row],[Aktual]]-Table1[[#This Row],[Target]])/Table1[[#This Row],[Target]]</f>
        <v>0.17365269461077845</v>
      </c>
      <c r="K843" t="str">
        <f>IF(Table1[[#This Row],[Performance Gap (%)]]&lt;0,"Tidak mencapai target", IF(Table1[[#This Row],[Performance Gap (%)]]=0,"Mencapai target", "Melebihi Target"))</f>
        <v>Melebihi Target</v>
      </c>
      <c r="L843">
        <f>VLOOKUP(Table1[[#This Row],[Propinsi]]&amp;"_"&amp;Table1[[#This Row],[Dati 2]]&amp;"_"&amp;Table1[[#This Row],[Tanggal]],Table2[[#All],[Kompetitor area]:[Jumlah Kompetitor]],7,0)</f>
        <v>180</v>
      </c>
      <c r="M843">
        <f>Table1[[#This Row],[Aktual]]-Table1[[#This Row],[Jumlah Kompetitor]]</f>
        <v>16</v>
      </c>
      <c r="N843" t="str">
        <f>IF(Table1[[#This Row],[vs Kompetitor]]&gt;0,"Win", "Lose")</f>
        <v>Win</v>
      </c>
    </row>
    <row r="844" spans="1:14" x14ac:dyDescent="0.25">
      <c r="A844">
        <v>843</v>
      </c>
      <c r="B844" t="s">
        <v>8</v>
      </c>
      <c r="C844" t="s">
        <v>153</v>
      </c>
      <c r="D844">
        <v>7</v>
      </c>
      <c r="E844">
        <v>2021</v>
      </c>
      <c r="F844" s="2">
        <f>DATE(Table1[[#This Row],[Tahun]],Table1[[#This Row],[Bulan]],1)</f>
        <v>44378</v>
      </c>
      <c r="G844">
        <v>424</v>
      </c>
      <c r="H844">
        <v>401</v>
      </c>
      <c r="I844" s="6">
        <f>(Table1[[#This Row],[Aktual]]-Table1[[#This Row],[Target]])</f>
        <v>23</v>
      </c>
      <c r="J844" s="3">
        <f>(Table1[[#This Row],[Aktual]]-Table1[[#This Row],[Target]])/Table1[[#This Row],[Target]]</f>
        <v>5.7356608478802994E-2</v>
      </c>
      <c r="K844" t="str">
        <f>IF(Table1[[#This Row],[Performance Gap (%)]]&lt;0,"Tidak mencapai target", IF(Table1[[#This Row],[Performance Gap (%)]]=0,"Mencapai target", "Melebihi Target"))</f>
        <v>Melebihi Target</v>
      </c>
      <c r="L844">
        <f>VLOOKUP(Table1[[#This Row],[Propinsi]]&amp;"_"&amp;Table1[[#This Row],[Dati 2]]&amp;"_"&amp;Table1[[#This Row],[Tanggal]],Table2[[#All],[Kompetitor area]:[Jumlah Kompetitor]],7,0)</f>
        <v>437</v>
      </c>
      <c r="M844">
        <f>Table1[[#This Row],[Aktual]]-Table1[[#This Row],[Jumlah Kompetitor]]</f>
        <v>-13</v>
      </c>
      <c r="N844" t="str">
        <f>IF(Table1[[#This Row],[vs Kompetitor]]&gt;0,"Win", "Lose")</f>
        <v>Lose</v>
      </c>
    </row>
    <row r="845" spans="1:14" x14ac:dyDescent="0.25">
      <c r="A845">
        <v>844</v>
      </c>
      <c r="B845" t="s">
        <v>8</v>
      </c>
      <c r="C845" t="s">
        <v>154</v>
      </c>
      <c r="D845">
        <v>7</v>
      </c>
      <c r="E845">
        <v>2021</v>
      </c>
      <c r="F845" s="2">
        <f>DATE(Table1[[#This Row],[Tahun]],Table1[[#This Row],[Bulan]],1)</f>
        <v>44378</v>
      </c>
      <c r="G845">
        <v>287</v>
      </c>
      <c r="H845">
        <v>252</v>
      </c>
      <c r="I845" s="6">
        <f>(Table1[[#This Row],[Aktual]]-Table1[[#This Row],[Target]])</f>
        <v>35</v>
      </c>
      <c r="J845" s="3">
        <f>(Table1[[#This Row],[Aktual]]-Table1[[#This Row],[Target]])/Table1[[#This Row],[Target]]</f>
        <v>0.1388888888888889</v>
      </c>
      <c r="K845" t="str">
        <f>IF(Table1[[#This Row],[Performance Gap (%)]]&lt;0,"Tidak mencapai target", IF(Table1[[#This Row],[Performance Gap (%)]]=0,"Mencapai target", "Melebihi Target"))</f>
        <v>Melebihi Target</v>
      </c>
      <c r="L845">
        <f>VLOOKUP(Table1[[#This Row],[Propinsi]]&amp;"_"&amp;Table1[[#This Row],[Dati 2]]&amp;"_"&amp;Table1[[#This Row],[Tanggal]],Table2[[#All],[Kompetitor area]:[Jumlah Kompetitor]],7,0)</f>
        <v>261</v>
      </c>
      <c r="M845">
        <f>Table1[[#This Row],[Aktual]]-Table1[[#This Row],[Jumlah Kompetitor]]</f>
        <v>26</v>
      </c>
      <c r="N845" t="str">
        <f>IF(Table1[[#This Row],[vs Kompetitor]]&gt;0,"Win", "Lose")</f>
        <v>Win</v>
      </c>
    </row>
    <row r="846" spans="1:14" x14ac:dyDescent="0.25">
      <c r="A846">
        <v>845</v>
      </c>
      <c r="B846" t="s">
        <v>8</v>
      </c>
      <c r="C846" t="s">
        <v>155</v>
      </c>
      <c r="D846">
        <v>7</v>
      </c>
      <c r="E846">
        <v>2021</v>
      </c>
      <c r="F846" s="2">
        <f>DATE(Table1[[#This Row],[Tahun]],Table1[[#This Row],[Bulan]],1)</f>
        <v>44378</v>
      </c>
      <c r="G846">
        <v>354</v>
      </c>
      <c r="H846">
        <v>348</v>
      </c>
      <c r="I846" s="6">
        <f>(Table1[[#This Row],[Aktual]]-Table1[[#This Row],[Target]])</f>
        <v>6</v>
      </c>
      <c r="J846" s="3">
        <f>(Table1[[#This Row],[Aktual]]-Table1[[#This Row],[Target]])/Table1[[#This Row],[Target]]</f>
        <v>1.7241379310344827E-2</v>
      </c>
      <c r="K846" t="str">
        <f>IF(Table1[[#This Row],[Performance Gap (%)]]&lt;0,"Tidak mencapai target", IF(Table1[[#This Row],[Performance Gap (%)]]=0,"Mencapai target", "Melebihi Target"))</f>
        <v>Melebihi Target</v>
      </c>
      <c r="L846">
        <f>VLOOKUP(Table1[[#This Row],[Propinsi]]&amp;"_"&amp;Table1[[#This Row],[Dati 2]]&amp;"_"&amp;Table1[[#This Row],[Tanggal]],Table2[[#All],[Kompetitor area]:[Jumlah Kompetitor]],7,0)</f>
        <v>342</v>
      </c>
      <c r="M846">
        <f>Table1[[#This Row],[Aktual]]-Table1[[#This Row],[Jumlah Kompetitor]]</f>
        <v>12</v>
      </c>
      <c r="N846" t="str">
        <f>IF(Table1[[#This Row],[vs Kompetitor]]&gt;0,"Win", "Lose")</f>
        <v>Win</v>
      </c>
    </row>
    <row r="847" spans="1:14" x14ac:dyDescent="0.25">
      <c r="A847">
        <v>846</v>
      </c>
      <c r="B847" t="s">
        <v>8</v>
      </c>
      <c r="C847" t="s">
        <v>156</v>
      </c>
      <c r="D847">
        <v>7</v>
      </c>
      <c r="E847">
        <v>2021</v>
      </c>
      <c r="F847" s="2">
        <f>DATE(Table1[[#This Row],[Tahun]],Table1[[#This Row],[Bulan]],1)</f>
        <v>44378</v>
      </c>
      <c r="G847">
        <v>163</v>
      </c>
      <c r="H847">
        <v>134</v>
      </c>
      <c r="I847" s="6">
        <f>(Table1[[#This Row],[Aktual]]-Table1[[#This Row],[Target]])</f>
        <v>29</v>
      </c>
      <c r="J847" s="3">
        <f>(Table1[[#This Row],[Aktual]]-Table1[[#This Row],[Target]])/Table1[[#This Row],[Target]]</f>
        <v>0.21641791044776118</v>
      </c>
      <c r="K847" t="str">
        <f>IF(Table1[[#This Row],[Performance Gap (%)]]&lt;0,"Tidak mencapai target", IF(Table1[[#This Row],[Performance Gap (%)]]=0,"Mencapai target", "Melebihi Target"))</f>
        <v>Melebihi Target</v>
      </c>
      <c r="L847">
        <f>VLOOKUP(Table1[[#This Row],[Propinsi]]&amp;"_"&amp;Table1[[#This Row],[Dati 2]]&amp;"_"&amp;Table1[[#This Row],[Tanggal]],Table2[[#All],[Kompetitor area]:[Jumlah Kompetitor]],7,0)</f>
        <v>145</v>
      </c>
      <c r="M847">
        <f>Table1[[#This Row],[Aktual]]-Table1[[#This Row],[Jumlah Kompetitor]]</f>
        <v>18</v>
      </c>
      <c r="N847" t="str">
        <f>IF(Table1[[#This Row],[vs Kompetitor]]&gt;0,"Win", "Lose")</f>
        <v>Win</v>
      </c>
    </row>
    <row r="848" spans="1:14" x14ac:dyDescent="0.25">
      <c r="A848">
        <v>847</v>
      </c>
      <c r="B848" t="s">
        <v>8</v>
      </c>
      <c r="C848" t="s">
        <v>157</v>
      </c>
      <c r="D848">
        <v>7</v>
      </c>
      <c r="E848">
        <v>2021</v>
      </c>
      <c r="F848" s="2">
        <f>DATE(Table1[[#This Row],[Tahun]],Table1[[#This Row],[Bulan]],1)</f>
        <v>44378</v>
      </c>
      <c r="G848">
        <v>251</v>
      </c>
      <c r="H848">
        <v>243</v>
      </c>
      <c r="I848" s="6">
        <f>(Table1[[#This Row],[Aktual]]-Table1[[#This Row],[Target]])</f>
        <v>8</v>
      </c>
      <c r="J848" s="3">
        <f>(Table1[[#This Row],[Aktual]]-Table1[[#This Row],[Target]])/Table1[[#This Row],[Target]]</f>
        <v>3.292181069958848E-2</v>
      </c>
      <c r="K848" t="str">
        <f>IF(Table1[[#This Row],[Performance Gap (%)]]&lt;0,"Tidak mencapai target", IF(Table1[[#This Row],[Performance Gap (%)]]=0,"Mencapai target", "Melebihi Target"))</f>
        <v>Melebihi Target</v>
      </c>
      <c r="L848">
        <f>VLOOKUP(Table1[[#This Row],[Propinsi]]&amp;"_"&amp;Table1[[#This Row],[Dati 2]]&amp;"_"&amp;Table1[[#This Row],[Tanggal]],Table2[[#All],[Kompetitor area]:[Jumlah Kompetitor]],7,0)</f>
        <v>222</v>
      </c>
      <c r="M848">
        <f>Table1[[#This Row],[Aktual]]-Table1[[#This Row],[Jumlah Kompetitor]]</f>
        <v>29</v>
      </c>
      <c r="N848" t="str">
        <f>IF(Table1[[#This Row],[vs Kompetitor]]&gt;0,"Win", "Lose")</f>
        <v>Win</v>
      </c>
    </row>
    <row r="849" spans="1:14" x14ac:dyDescent="0.25">
      <c r="A849">
        <v>848</v>
      </c>
      <c r="B849" t="s">
        <v>8</v>
      </c>
      <c r="C849" t="s">
        <v>158</v>
      </c>
      <c r="D849">
        <v>7</v>
      </c>
      <c r="E849">
        <v>2021</v>
      </c>
      <c r="F849" s="2">
        <f>DATE(Table1[[#This Row],[Tahun]],Table1[[#This Row],[Bulan]],1)</f>
        <v>44378</v>
      </c>
      <c r="G849">
        <v>205</v>
      </c>
      <c r="H849">
        <v>177</v>
      </c>
      <c r="I849" s="6">
        <f>(Table1[[#This Row],[Aktual]]-Table1[[#This Row],[Target]])</f>
        <v>28</v>
      </c>
      <c r="J849" s="3">
        <f>(Table1[[#This Row],[Aktual]]-Table1[[#This Row],[Target]])/Table1[[#This Row],[Target]]</f>
        <v>0.15819209039548024</v>
      </c>
      <c r="K849" t="str">
        <f>IF(Table1[[#This Row],[Performance Gap (%)]]&lt;0,"Tidak mencapai target", IF(Table1[[#This Row],[Performance Gap (%)]]=0,"Mencapai target", "Melebihi Target"))</f>
        <v>Melebihi Target</v>
      </c>
      <c r="L849">
        <f>VLOOKUP(Table1[[#This Row],[Propinsi]]&amp;"_"&amp;Table1[[#This Row],[Dati 2]]&amp;"_"&amp;Table1[[#This Row],[Tanggal]],Table2[[#All],[Kompetitor area]:[Jumlah Kompetitor]],7,0)</f>
        <v>207</v>
      </c>
      <c r="M849">
        <f>Table1[[#This Row],[Aktual]]-Table1[[#This Row],[Jumlah Kompetitor]]</f>
        <v>-2</v>
      </c>
      <c r="N849" t="str">
        <f>IF(Table1[[#This Row],[vs Kompetitor]]&gt;0,"Win", "Lose")</f>
        <v>Lose</v>
      </c>
    </row>
    <row r="850" spans="1:14" x14ac:dyDescent="0.25">
      <c r="A850">
        <v>849</v>
      </c>
      <c r="B850" t="s">
        <v>8</v>
      </c>
      <c r="C850" t="s">
        <v>159</v>
      </c>
      <c r="D850">
        <v>7</v>
      </c>
      <c r="E850">
        <v>2021</v>
      </c>
      <c r="F850" s="2">
        <f>DATE(Table1[[#This Row],[Tahun]],Table1[[#This Row],[Bulan]],1)</f>
        <v>44378</v>
      </c>
      <c r="G850">
        <v>198</v>
      </c>
      <c r="H850">
        <v>172</v>
      </c>
      <c r="I850" s="6">
        <f>(Table1[[#This Row],[Aktual]]-Table1[[#This Row],[Target]])</f>
        <v>26</v>
      </c>
      <c r="J850" s="3">
        <f>(Table1[[#This Row],[Aktual]]-Table1[[#This Row],[Target]])/Table1[[#This Row],[Target]]</f>
        <v>0.15116279069767441</v>
      </c>
      <c r="K850" t="str">
        <f>IF(Table1[[#This Row],[Performance Gap (%)]]&lt;0,"Tidak mencapai target", IF(Table1[[#This Row],[Performance Gap (%)]]=0,"Mencapai target", "Melebihi Target"))</f>
        <v>Melebihi Target</v>
      </c>
      <c r="L850">
        <f>VLOOKUP(Table1[[#This Row],[Propinsi]]&amp;"_"&amp;Table1[[#This Row],[Dati 2]]&amp;"_"&amp;Table1[[#This Row],[Tanggal]],Table2[[#All],[Kompetitor area]:[Jumlah Kompetitor]],7,0)</f>
        <v>172</v>
      </c>
      <c r="M850">
        <f>Table1[[#This Row],[Aktual]]-Table1[[#This Row],[Jumlah Kompetitor]]</f>
        <v>26</v>
      </c>
      <c r="N850" t="str">
        <f>IF(Table1[[#This Row],[vs Kompetitor]]&gt;0,"Win", "Lose")</f>
        <v>Win</v>
      </c>
    </row>
    <row r="851" spans="1:14" x14ac:dyDescent="0.25">
      <c r="A851">
        <v>850</v>
      </c>
      <c r="B851" t="s">
        <v>8</v>
      </c>
      <c r="C851" t="s">
        <v>160</v>
      </c>
      <c r="D851">
        <v>7</v>
      </c>
      <c r="E851">
        <v>2021</v>
      </c>
      <c r="F851" s="2">
        <f>DATE(Table1[[#This Row],[Tahun]],Table1[[#This Row],[Bulan]],1)</f>
        <v>44378</v>
      </c>
      <c r="G851">
        <v>111</v>
      </c>
      <c r="H851">
        <v>104</v>
      </c>
      <c r="I851" s="6">
        <f>(Table1[[#This Row],[Aktual]]-Table1[[#This Row],[Target]])</f>
        <v>7</v>
      </c>
      <c r="J851" s="3">
        <f>(Table1[[#This Row],[Aktual]]-Table1[[#This Row],[Target]])/Table1[[#This Row],[Target]]</f>
        <v>6.7307692307692304E-2</v>
      </c>
      <c r="K851" t="str">
        <f>IF(Table1[[#This Row],[Performance Gap (%)]]&lt;0,"Tidak mencapai target", IF(Table1[[#This Row],[Performance Gap (%)]]=0,"Mencapai target", "Melebihi Target"))</f>
        <v>Melebihi Target</v>
      </c>
      <c r="L851">
        <f>VLOOKUP(Table1[[#This Row],[Propinsi]]&amp;"_"&amp;Table1[[#This Row],[Dati 2]]&amp;"_"&amp;Table1[[#This Row],[Tanggal]],Table2[[#All],[Kompetitor area]:[Jumlah Kompetitor]],7,0)</f>
        <v>105</v>
      </c>
      <c r="M851">
        <f>Table1[[#This Row],[Aktual]]-Table1[[#This Row],[Jumlah Kompetitor]]</f>
        <v>6</v>
      </c>
      <c r="N851" t="str">
        <f>IF(Table1[[#This Row],[vs Kompetitor]]&gt;0,"Win", "Lose")</f>
        <v>Win</v>
      </c>
    </row>
    <row r="852" spans="1:14" x14ac:dyDescent="0.25">
      <c r="A852">
        <v>851</v>
      </c>
      <c r="B852" t="s">
        <v>8</v>
      </c>
      <c r="C852" t="s">
        <v>161</v>
      </c>
      <c r="D852">
        <v>7</v>
      </c>
      <c r="E852">
        <v>2021</v>
      </c>
      <c r="F852" s="2">
        <f>DATE(Table1[[#This Row],[Tahun]],Table1[[#This Row],[Bulan]],1)</f>
        <v>44378</v>
      </c>
      <c r="G852">
        <v>210</v>
      </c>
      <c r="H852">
        <v>166</v>
      </c>
      <c r="I852" s="6">
        <f>(Table1[[#This Row],[Aktual]]-Table1[[#This Row],[Target]])</f>
        <v>44</v>
      </c>
      <c r="J852" s="3">
        <f>(Table1[[#This Row],[Aktual]]-Table1[[#This Row],[Target]])/Table1[[#This Row],[Target]]</f>
        <v>0.26506024096385544</v>
      </c>
      <c r="K852" t="str">
        <f>IF(Table1[[#This Row],[Performance Gap (%)]]&lt;0,"Tidak mencapai target", IF(Table1[[#This Row],[Performance Gap (%)]]=0,"Mencapai target", "Melebihi Target"))</f>
        <v>Melebihi Target</v>
      </c>
      <c r="L852">
        <f>VLOOKUP(Table1[[#This Row],[Propinsi]]&amp;"_"&amp;Table1[[#This Row],[Dati 2]]&amp;"_"&amp;Table1[[#This Row],[Tanggal]],Table2[[#All],[Kompetitor area]:[Jumlah Kompetitor]],7,0)</f>
        <v>182</v>
      </c>
      <c r="M852">
        <f>Table1[[#This Row],[Aktual]]-Table1[[#This Row],[Jumlah Kompetitor]]</f>
        <v>28</v>
      </c>
      <c r="N852" t="str">
        <f>IF(Table1[[#This Row],[vs Kompetitor]]&gt;0,"Win", "Lose")</f>
        <v>Win</v>
      </c>
    </row>
    <row r="853" spans="1:14" x14ac:dyDescent="0.25">
      <c r="A853">
        <v>852</v>
      </c>
      <c r="B853" t="s">
        <v>8</v>
      </c>
      <c r="C853" t="s">
        <v>162</v>
      </c>
      <c r="D853">
        <v>7</v>
      </c>
      <c r="E853">
        <v>2021</v>
      </c>
      <c r="F853" s="2">
        <f>DATE(Table1[[#This Row],[Tahun]],Table1[[#This Row],[Bulan]],1)</f>
        <v>44378</v>
      </c>
      <c r="G853">
        <v>125</v>
      </c>
      <c r="H853">
        <v>116</v>
      </c>
      <c r="I853" s="6">
        <f>(Table1[[#This Row],[Aktual]]-Table1[[#This Row],[Target]])</f>
        <v>9</v>
      </c>
      <c r="J853" s="3">
        <f>(Table1[[#This Row],[Aktual]]-Table1[[#This Row],[Target]])/Table1[[#This Row],[Target]]</f>
        <v>7.7586206896551727E-2</v>
      </c>
      <c r="K853" t="str">
        <f>IF(Table1[[#This Row],[Performance Gap (%)]]&lt;0,"Tidak mencapai target", IF(Table1[[#This Row],[Performance Gap (%)]]=0,"Mencapai target", "Melebihi Target"))</f>
        <v>Melebihi Target</v>
      </c>
      <c r="L853">
        <f>VLOOKUP(Table1[[#This Row],[Propinsi]]&amp;"_"&amp;Table1[[#This Row],[Dati 2]]&amp;"_"&amp;Table1[[#This Row],[Tanggal]],Table2[[#All],[Kompetitor area]:[Jumlah Kompetitor]],7,0)</f>
        <v>118</v>
      </c>
      <c r="M853">
        <f>Table1[[#This Row],[Aktual]]-Table1[[#This Row],[Jumlah Kompetitor]]</f>
        <v>7</v>
      </c>
      <c r="N853" t="str">
        <f>IF(Table1[[#This Row],[vs Kompetitor]]&gt;0,"Win", "Lose")</f>
        <v>Win</v>
      </c>
    </row>
    <row r="854" spans="1:14" x14ac:dyDescent="0.25">
      <c r="A854">
        <v>853</v>
      </c>
      <c r="B854" t="s">
        <v>8</v>
      </c>
      <c r="C854" t="s">
        <v>163</v>
      </c>
      <c r="D854">
        <v>7</v>
      </c>
      <c r="E854">
        <v>2021</v>
      </c>
      <c r="F854" s="2">
        <f>DATE(Table1[[#This Row],[Tahun]],Table1[[#This Row],[Bulan]],1)</f>
        <v>44378</v>
      </c>
      <c r="G854">
        <v>289</v>
      </c>
      <c r="H854">
        <v>245</v>
      </c>
      <c r="I854" s="6">
        <f>(Table1[[#This Row],[Aktual]]-Table1[[#This Row],[Target]])</f>
        <v>44</v>
      </c>
      <c r="J854" s="3">
        <f>(Table1[[#This Row],[Aktual]]-Table1[[#This Row],[Target]])/Table1[[#This Row],[Target]]</f>
        <v>0.17959183673469387</v>
      </c>
      <c r="K854" t="str">
        <f>IF(Table1[[#This Row],[Performance Gap (%)]]&lt;0,"Tidak mencapai target", IF(Table1[[#This Row],[Performance Gap (%)]]=0,"Mencapai target", "Melebihi Target"))</f>
        <v>Melebihi Target</v>
      </c>
      <c r="L854">
        <f>VLOOKUP(Table1[[#This Row],[Propinsi]]&amp;"_"&amp;Table1[[#This Row],[Dati 2]]&amp;"_"&amp;Table1[[#This Row],[Tanggal]],Table2[[#All],[Kompetitor area]:[Jumlah Kompetitor]],7,0)</f>
        <v>278</v>
      </c>
      <c r="M854">
        <f>Table1[[#This Row],[Aktual]]-Table1[[#This Row],[Jumlah Kompetitor]]</f>
        <v>11</v>
      </c>
      <c r="N854" t="str">
        <f>IF(Table1[[#This Row],[vs Kompetitor]]&gt;0,"Win", "Lose")</f>
        <v>Win</v>
      </c>
    </row>
    <row r="855" spans="1:14" x14ac:dyDescent="0.25">
      <c r="A855">
        <v>854</v>
      </c>
      <c r="B855" t="s">
        <v>8</v>
      </c>
      <c r="C855" t="s">
        <v>164</v>
      </c>
      <c r="D855">
        <v>7</v>
      </c>
      <c r="E855">
        <v>2021</v>
      </c>
      <c r="F855" s="2">
        <f>DATE(Table1[[#This Row],[Tahun]],Table1[[#This Row],[Bulan]],1)</f>
        <v>44378</v>
      </c>
      <c r="G855">
        <v>331</v>
      </c>
      <c r="H855">
        <v>284</v>
      </c>
      <c r="I855" s="6">
        <f>(Table1[[#This Row],[Aktual]]-Table1[[#This Row],[Target]])</f>
        <v>47</v>
      </c>
      <c r="J855" s="3">
        <f>(Table1[[#This Row],[Aktual]]-Table1[[#This Row],[Target]])/Table1[[#This Row],[Target]]</f>
        <v>0.16549295774647887</v>
      </c>
      <c r="K855" t="str">
        <f>IF(Table1[[#This Row],[Performance Gap (%)]]&lt;0,"Tidak mencapai target", IF(Table1[[#This Row],[Performance Gap (%)]]=0,"Mencapai target", "Melebihi Target"))</f>
        <v>Melebihi Target</v>
      </c>
      <c r="L855">
        <f>VLOOKUP(Table1[[#This Row],[Propinsi]]&amp;"_"&amp;Table1[[#This Row],[Dati 2]]&amp;"_"&amp;Table1[[#This Row],[Tanggal]],Table2[[#All],[Kompetitor area]:[Jumlah Kompetitor]],7,0)</f>
        <v>266</v>
      </c>
      <c r="M855">
        <f>Table1[[#This Row],[Aktual]]-Table1[[#This Row],[Jumlah Kompetitor]]</f>
        <v>65</v>
      </c>
      <c r="N855" t="str">
        <f>IF(Table1[[#This Row],[vs Kompetitor]]&gt;0,"Win", "Lose")</f>
        <v>Win</v>
      </c>
    </row>
    <row r="856" spans="1:14" x14ac:dyDescent="0.25">
      <c r="A856">
        <v>855</v>
      </c>
      <c r="B856" t="s">
        <v>6</v>
      </c>
      <c r="C856" t="s">
        <v>43</v>
      </c>
      <c r="D856">
        <v>8</v>
      </c>
      <c r="E856">
        <v>2021</v>
      </c>
      <c r="F856" s="2">
        <f>DATE(Table1[[#This Row],[Tahun]],Table1[[#This Row],[Bulan]],1)</f>
        <v>44409</v>
      </c>
      <c r="G856">
        <v>1344</v>
      </c>
      <c r="H856">
        <v>1266</v>
      </c>
      <c r="I856" s="6">
        <f>(Table1[[#This Row],[Aktual]]-Table1[[#This Row],[Target]])</f>
        <v>78</v>
      </c>
      <c r="J856" s="3">
        <f>(Table1[[#This Row],[Aktual]]-Table1[[#This Row],[Target]])/Table1[[#This Row],[Target]]</f>
        <v>6.1611374407582936E-2</v>
      </c>
      <c r="K856" t="str">
        <f>IF(Table1[[#This Row],[Performance Gap (%)]]&lt;0,"Tidak mencapai target", IF(Table1[[#This Row],[Performance Gap (%)]]=0,"Mencapai target", "Melebihi Target"))</f>
        <v>Melebihi Target</v>
      </c>
      <c r="L856">
        <f>VLOOKUP(Table1[[#This Row],[Propinsi]]&amp;"_"&amp;Table1[[#This Row],[Dati 2]]&amp;"_"&amp;Table1[[#This Row],[Tanggal]],Table2[[#All],[Kompetitor area]:[Jumlah Kompetitor]],7,0)</f>
        <v>349</v>
      </c>
      <c r="M856">
        <f>Table1[[#This Row],[Aktual]]-Table1[[#This Row],[Jumlah Kompetitor]]</f>
        <v>995</v>
      </c>
      <c r="N856" t="str">
        <f>IF(Table1[[#This Row],[vs Kompetitor]]&gt;0,"Win", "Lose")</f>
        <v>Win</v>
      </c>
    </row>
    <row r="857" spans="1:14" x14ac:dyDescent="0.25">
      <c r="A857">
        <v>856</v>
      </c>
      <c r="B857" t="s">
        <v>6</v>
      </c>
      <c r="C857" t="s">
        <v>44</v>
      </c>
      <c r="D857">
        <v>8</v>
      </c>
      <c r="E857">
        <v>2021</v>
      </c>
      <c r="F857" s="2">
        <f>DATE(Table1[[#This Row],[Tahun]],Table1[[#This Row],[Bulan]],1)</f>
        <v>44409</v>
      </c>
      <c r="G857">
        <v>785</v>
      </c>
      <c r="H857">
        <v>694</v>
      </c>
      <c r="I857" s="6">
        <f>(Table1[[#This Row],[Aktual]]-Table1[[#This Row],[Target]])</f>
        <v>91</v>
      </c>
      <c r="J857" s="3">
        <f>(Table1[[#This Row],[Aktual]]-Table1[[#This Row],[Target]])/Table1[[#This Row],[Target]]</f>
        <v>0.13112391930835735</v>
      </c>
      <c r="K857" t="str">
        <f>IF(Table1[[#This Row],[Performance Gap (%)]]&lt;0,"Tidak mencapai target", IF(Table1[[#This Row],[Performance Gap (%)]]=0,"Mencapai target", "Melebihi Target"))</f>
        <v>Melebihi Target</v>
      </c>
      <c r="L857">
        <f>VLOOKUP(Table1[[#This Row],[Propinsi]]&amp;"_"&amp;Table1[[#This Row],[Dati 2]]&amp;"_"&amp;Table1[[#This Row],[Tanggal]],Table2[[#All],[Kompetitor area]:[Jumlah Kompetitor]],7,0)</f>
        <v>157</v>
      </c>
      <c r="M857">
        <f>Table1[[#This Row],[Aktual]]-Table1[[#This Row],[Jumlah Kompetitor]]</f>
        <v>628</v>
      </c>
      <c r="N857" t="str">
        <f>IF(Table1[[#This Row],[vs Kompetitor]]&gt;0,"Win", "Lose")</f>
        <v>Win</v>
      </c>
    </row>
    <row r="858" spans="1:14" x14ac:dyDescent="0.25">
      <c r="A858">
        <v>857</v>
      </c>
      <c r="B858" t="s">
        <v>6</v>
      </c>
      <c r="C858" t="s">
        <v>45</v>
      </c>
      <c r="D858">
        <v>8</v>
      </c>
      <c r="E858">
        <v>2021</v>
      </c>
      <c r="F858" s="2">
        <f>DATE(Table1[[#This Row],[Tahun]],Table1[[#This Row],[Bulan]],1)</f>
        <v>44409</v>
      </c>
      <c r="G858">
        <v>852</v>
      </c>
      <c r="H858">
        <v>789</v>
      </c>
      <c r="I858" s="6">
        <f>(Table1[[#This Row],[Aktual]]-Table1[[#This Row],[Target]])</f>
        <v>63</v>
      </c>
      <c r="J858" s="3">
        <f>(Table1[[#This Row],[Aktual]]-Table1[[#This Row],[Target]])/Table1[[#This Row],[Target]]</f>
        <v>7.9847908745247151E-2</v>
      </c>
      <c r="K858" t="str">
        <f>IF(Table1[[#This Row],[Performance Gap (%)]]&lt;0,"Tidak mencapai target", IF(Table1[[#This Row],[Performance Gap (%)]]=0,"Mencapai target", "Melebihi Target"))</f>
        <v>Melebihi Target</v>
      </c>
      <c r="L858">
        <f>VLOOKUP(Table1[[#This Row],[Propinsi]]&amp;"_"&amp;Table1[[#This Row],[Dati 2]]&amp;"_"&amp;Table1[[#This Row],[Tanggal]],Table2[[#All],[Kompetitor area]:[Jumlah Kompetitor]],7,0)</f>
        <v>248</v>
      </c>
      <c r="M858">
        <f>Table1[[#This Row],[Aktual]]-Table1[[#This Row],[Jumlah Kompetitor]]</f>
        <v>604</v>
      </c>
      <c r="N858" t="str">
        <f>IF(Table1[[#This Row],[vs Kompetitor]]&gt;0,"Win", "Lose")</f>
        <v>Win</v>
      </c>
    </row>
    <row r="859" spans="1:14" x14ac:dyDescent="0.25">
      <c r="A859">
        <v>858</v>
      </c>
      <c r="B859" t="s">
        <v>6</v>
      </c>
      <c r="C859" t="s">
        <v>46</v>
      </c>
      <c r="D859">
        <v>8</v>
      </c>
      <c r="E859">
        <v>2021</v>
      </c>
      <c r="F859" s="2">
        <f>DATE(Table1[[#This Row],[Tahun]],Table1[[#This Row],[Bulan]],1)</f>
        <v>44409</v>
      </c>
      <c r="G859">
        <v>121</v>
      </c>
      <c r="H859">
        <v>105</v>
      </c>
      <c r="I859" s="6">
        <f>(Table1[[#This Row],[Aktual]]-Table1[[#This Row],[Target]])</f>
        <v>16</v>
      </c>
      <c r="J859" s="3">
        <f>(Table1[[#This Row],[Aktual]]-Table1[[#This Row],[Target]])/Table1[[#This Row],[Target]]</f>
        <v>0.15238095238095239</v>
      </c>
      <c r="K859" t="str">
        <f>IF(Table1[[#This Row],[Performance Gap (%)]]&lt;0,"Tidak mencapai target", IF(Table1[[#This Row],[Performance Gap (%)]]=0,"Mencapai target", "Melebihi Target"))</f>
        <v>Melebihi Target</v>
      </c>
      <c r="L859">
        <f>VLOOKUP(Table1[[#This Row],[Propinsi]]&amp;"_"&amp;Table1[[#This Row],[Dati 2]]&amp;"_"&amp;Table1[[#This Row],[Tanggal]],Table2[[#All],[Kompetitor area]:[Jumlah Kompetitor]],7,0)</f>
        <v>157</v>
      </c>
      <c r="M859">
        <f>Table1[[#This Row],[Aktual]]-Table1[[#This Row],[Jumlah Kompetitor]]</f>
        <v>-36</v>
      </c>
      <c r="N859" t="str">
        <f>IF(Table1[[#This Row],[vs Kompetitor]]&gt;0,"Win", "Lose")</f>
        <v>Lose</v>
      </c>
    </row>
    <row r="860" spans="1:14" x14ac:dyDescent="0.25">
      <c r="A860">
        <v>859</v>
      </c>
      <c r="B860" t="s">
        <v>6</v>
      </c>
      <c r="C860" t="s">
        <v>47</v>
      </c>
      <c r="D860">
        <v>8</v>
      </c>
      <c r="E860">
        <v>2021</v>
      </c>
      <c r="F860" s="2">
        <f>DATE(Table1[[#This Row],[Tahun]],Table1[[#This Row],[Bulan]],1)</f>
        <v>44409</v>
      </c>
      <c r="G860">
        <v>1282</v>
      </c>
      <c r="H860">
        <v>1254</v>
      </c>
      <c r="I860" s="6">
        <f>(Table1[[#This Row],[Aktual]]-Table1[[#This Row],[Target]])</f>
        <v>28</v>
      </c>
      <c r="J860" s="3">
        <f>(Table1[[#This Row],[Aktual]]-Table1[[#This Row],[Target]])/Table1[[#This Row],[Target]]</f>
        <v>2.2328548644338118E-2</v>
      </c>
      <c r="K860" t="str">
        <f>IF(Table1[[#This Row],[Performance Gap (%)]]&lt;0,"Tidak mencapai target", IF(Table1[[#This Row],[Performance Gap (%)]]=0,"Mencapai target", "Melebihi Target"))</f>
        <v>Melebihi Target</v>
      </c>
      <c r="L860">
        <f>VLOOKUP(Table1[[#This Row],[Propinsi]]&amp;"_"&amp;Table1[[#This Row],[Dati 2]]&amp;"_"&amp;Table1[[#This Row],[Tanggal]],Table2[[#All],[Kompetitor area]:[Jumlah Kompetitor]],7,0)</f>
        <v>38</v>
      </c>
      <c r="M860">
        <f>Table1[[#This Row],[Aktual]]-Table1[[#This Row],[Jumlah Kompetitor]]</f>
        <v>1244</v>
      </c>
      <c r="N860" t="str">
        <f>IF(Table1[[#This Row],[vs Kompetitor]]&gt;0,"Win", "Lose")</f>
        <v>Win</v>
      </c>
    </row>
    <row r="861" spans="1:14" x14ac:dyDescent="0.25">
      <c r="A861">
        <v>860</v>
      </c>
      <c r="B861" t="s">
        <v>6</v>
      </c>
      <c r="C861" t="s">
        <v>48</v>
      </c>
      <c r="D861">
        <v>8</v>
      </c>
      <c r="E861">
        <v>2021</v>
      </c>
      <c r="F861" s="2">
        <f>DATE(Table1[[#This Row],[Tahun]],Table1[[#This Row],[Bulan]],1)</f>
        <v>44409</v>
      </c>
      <c r="G861">
        <v>592</v>
      </c>
      <c r="H861">
        <v>579</v>
      </c>
      <c r="I861" s="6">
        <f>(Table1[[#This Row],[Aktual]]-Table1[[#This Row],[Target]])</f>
        <v>13</v>
      </c>
      <c r="J861" s="3">
        <f>(Table1[[#This Row],[Aktual]]-Table1[[#This Row],[Target]])/Table1[[#This Row],[Target]]</f>
        <v>2.2452504317789293E-2</v>
      </c>
      <c r="K861" t="str">
        <f>IF(Table1[[#This Row],[Performance Gap (%)]]&lt;0,"Tidak mencapai target", IF(Table1[[#This Row],[Performance Gap (%)]]=0,"Mencapai target", "Melebihi Target"))</f>
        <v>Melebihi Target</v>
      </c>
      <c r="L861">
        <f>VLOOKUP(Table1[[#This Row],[Propinsi]]&amp;"_"&amp;Table1[[#This Row],[Dati 2]]&amp;"_"&amp;Table1[[#This Row],[Tanggal]],Table2[[#All],[Kompetitor area]:[Jumlah Kompetitor]],7,0)</f>
        <v>44</v>
      </c>
      <c r="M861">
        <f>Table1[[#This Row],[Aktual]]-Table1[[#This Row],[Jumlah Kompetitor]]</f>
        <v>548</v>
      </c>
      <c r="N861" t="str">
        <f>IF(Table1[[#This Row],[vs Kompetitor]]&gt;0,"Win", "Lose")</f>
        <v>Win</v>
      </c>
    </row>
    <row r="862" spans="1:14" x14ac:dyDescent="0.25">
      <c r="A862">
        <v>861</v>
      </c>
      <c r="B862" t="s">
        <v>6</v>
      </c>
      <c r="C862" t="s">
        <v>49</v>
      </c>
      <c r="D862">
        <v>8</v>
      </c>
      <c r="E862">
        <v>2021</v>
      </c>
      <c r="F862" s="2">
        <f>DATE(Table1[[#This Row],[Tahun]],Table1[[#This Row],[Bulan]],1)</f>
        <v>44409</v>
      </c>
      <c r="G862">
        <v>1007</v>
      </c>
      <c r="H862">
        <v>1118</v>
      </c>
      <c r="I862" s="6">
        <f>(Table1[[#This Row],[Aktual]]-Table1[[#This Row],[Target]])</f>
        <v>-111</v>
      </c>
      <c r="J862" s="3">
        <f>(Table1[[#This Row],[Aktual]]-Table1[[#This Row],[Target]])/Table1[[#This Row],[Target]]</f>
        <v>-9.9284436493738817E-2</v>
      </c>
      <c r="K862" t="str">
        <f>IF(Table1[[#This Row],[Performance Gap (%)]]&lt;0,"Tidak mencapai target", IF(Table1[[#This Row],[Performance Gap (%)]]=0,"Mencapai target", "Melebihi Target"))</f>
        <v>Tidak mencapai target</v>
      </c>
      <c r="L862">
        <f>VLOOKUP(Table1[[#This Row],[Propinsi]]&amp;"_"&amp;Table1[[#This Row],[Dati 2]]&amp;"_"&amp;Table1[[#This Row],[Tanggal]],Table2[[#All],[Kompetitor area]:[Jumlah Kompetitor]],7,0)</f>
        <v>146</v>
      </c>
      <c r="M862">
        <f>Table1[[#This Row],[Aktual]]-Table1[[#This Row],[Jumlah Kompetitor]]</f>
        <v>861</v>
      </c>
      <c r="N862" t="str">
        <f>IF(Table1[[#This Row],[vs Kompetitor]]&gt;0,"Win", "Lose")</f>
        <v>Win</v>
      </c>
    </row>
    <row r="863" spans="1:14" x14ac:dyDescent="0.25">
      <c r="A863">
        <v>862</v>
      </c>
      <c r="B863" t="s">
        <v>6</v>
      </c>
      <c r="C863" t="s">
        <v>50</v>
      </c>
      <c r="D863">
        <v>8</v>
      </c>
      <c r="E863">
        <v>2021</v>
      </c>
      <c r="F863" s="2">
        <f>DATE(Table1[[#This Row],[Tahun]],Table1[[#This Row],[Bulan]],1)</f>
        <v>44409</v>
      </c>
      <c r="G863">
        <v>865</v>
      </c>
      <c r="H863">
        <v>913</v>
      </c>
      <c r="I863" s="6">
        <f>(Table1[[#This Row],[Aktual]]-Table1[[#This Row],[Target]])</f>
        <v>-48</v>
      </c>
      <c r="J863" s="3">
        <f>(Table1[[#This Row],[Aktual]]-Table1[[#This Row],[Target]])/Table1[[#This Row],[Target]]</f>
        <v>-5.257393209200438E-2</v>
      </c>
      <c r="K863" t="str">
        <f>IF(Table1[[#This Row],[Performance Gap (%)]]&lt;0,"Tidak mencapai target", IF(Table1[[#This Row],[Performance Gap (%)]]=0,"Mencapai target", "Melebihi Target"))</f>
        <v>Tidak mencapai target</v>
      </c>
      <c r="L863">
        <f>VLOOKUP(Table1[[#This Row],[Propinsi]]&amp;"_"&amp;Table1[[#This Row],[Dati 2]]&amp;"_"&amp;Table1[[#This Row],[Tanggal]],Table2[[#All],[Kompetitor area]:[Jumlah Kompetitor]],7,0)</f>
        <v>113</v>
      </c>
      <c r="M863">
        <f>Table1[[#This Row],[Aktual]]-Table1[[#This Row],[Jumlah Kompetitor]]</f>
        <v>752</v>
      </c>
      <c r="N863" t="str">
        <f>IF(Table1[[#This Row],[vs Kompetitor]]&gt;0,"Win", "Lose")</f>
        <v>Win</v>
      </c>
    </row>
    <row r="864" spans="1:14" x14ac:dyDescent="0.25">
      <c r="A864">
        <v>863</v>
      </c>
      <c r="B864" t="s">
        <v>6</v>
      </c>
      <c r="C864" t="s">
        <v>51</v>
      </c>
      <c r="D864">
        <v>8</v>
      </c>
      <c r="E864">
        <v>2021</v>
      </c>
      <c r="F864" s="2">
        <f>DATE(Table1[[#This Row],[Tahun]],Table1[[#This Row],[Bulan]],1)</f>
        <v>44409</v>
      </c>
      <c r="G864">
        <v>144</v>
      </c>
      <c r="H864">
        <v>166</v>
      </c>
      <c r="I864" s="6">
        <f>(Table1[[#This Row],[Aktual]]-Table1[[#This Row],[Target]])</f>
        <v>-22</v>
      </c>
      <c r="J864" s="3">
        <f>(Table1[[#This Row],[Aktual]]-Table1[[#This Row],[Target]])/Table1[[#This Row],[Target]]</f>
        <v>-0.13253012048192772</v>
      </c>
      <c r="K864" t="str">
        <f>IF(Table1[[#This Row],[Performance Gap (%)]]&lt;0,"Tidak mencapai target", IF(Table1[[#This Row],[Performance Gap (%)]]=0,"Mencapai target", "Melebihi Target"))</f>
        <v>Tidak mencapai target</v>
      </c>
      <c r="L864">
        <f>VLOOKUP(Table1[[#This Row],[Propinsi]]&amp;"_"&amp;Table1[[#This Row],[Dati 2]]&amp;"_"&amp;Table1[[#This Row],[Tanggal]],Table2[[#All],[Kompetitor area]:[Jumlah Kompetitor]],7,0)</f>
        <v>108</v>
      </c>
      <c r="M864">
        <f>Table1[[#This Row],[Aktual]]-Table1[[#This Row],[Jumlah Kompetitor]]</f>
        <v>36</v>
      </c>
      <c r="N864" t="str">
        <f>IF(Table1[[#This Row],[vs Kompetitor]]&gt;0,"Win", "Lose")</f>
        <v>Win</v>
      </c>
    </row>
    <row r="865" spans="1:14" x14ac:dyDescent="0.25">
      <c r="A865">
        <v>864</v>
      </c>
      <c r="B865" t="s">
        <v>6</v>
      </c>
      <c r="C865" t="s">
        <v>52</v>
      </c>
      <c r="D865">
        <v>8</v>
      </c>
      <c r="E865">
        <v>2021</v>
      </c>
      <c r="F865" s="2">
        <f>DATE(Table1[[#This Row],[Tahun]],Table1[[#This Row],[Bulan]],1)</f>
        <v>44409</v>
      </c>
      <c r="G865">
        <v>535</v>
      </c>
      <c r="H865">
        <v>580</v>
      </c>
      <c r="I865" s="6">
        <f>(Table1[[#This Row],[Aktual]]-Table1[[#This Row],[Target]])</f>
        <v>-45</v>
      </c>
      <c r="J865" s="3">
        <f>(Table1[[#This Row],[Aktual]]-Table1[[#This Row],[Target]])/Table1[[#This Row],[Target]]</f>
        <v>-7.7586206896551727E-2</v>
      </c>
      <c r="K865" t="str">
        <f>IF(Table1[[#This Row],[Performance Gap (%)]]&lt;0,"Tidak mencapai target", IF(Table1[[#This Row],[Performance Gap (%)]]=0,"Mencapai target", "Melebihi Target"))</f>
        <v>Tidak mencapai target</v>
      </c>
      <c r="L865">
        <f>VLOOKUP(Table1[[#This Row],[Propinsi]]&amp;"_"&amp;Table1[[#This Row],[Dati 2]]&amp;"_"&amp;Table1[[#This Row],[Tanggal]],Table2[[#All],[Kompetitor area]:[Jumlah Kompetitor]],7,0)</f>
        <v>120</v>
      </c>
      <c r="M865">
        <f>Table1[[#This Row],[Aktual]]-Table1[[#This Row],[Jumlah Kompetitor]]</f>
        <v>415</v>
      </c>
      <c r="N865" t="str">
        <f>IF(Table1[[#This Row],[vs Kompetitor]]&gt;0,"Win", "Lose")</f>
        <v>Win</v>
      </c>
    </row>
    <row r="866" spans="1:14" x14ac:dyDescent="0.25">
      <c r="A866">
        <v>865</v>
      </c>
      <c r="B866" t="s">
        <v>6</v>
      </c>
      <c r="C866" t="s">
        <v>53</v>
      </c>
      <c r="D866">
        <v>8</v>
      </c>
      <c r="E866">
        <v>2021</v>
      </c>
      <c r="F866" s="2">
        <f>DATE(Table1[[#This Row],[Tahun]],Table1[[#This Row],[Bulan]],1)</f>
        <v>44409</v>
      </c>
      <c r="G866">
        <v>497</v>
      </c>
      <c r="H866">
        <v>481</v>
      </c>
      <c r="I866" s="6">
        <f>(Table1[[#This Row],[Aktual]]-Table1[[#This Row],[Target]])</f>
        <v>16</v>
      </c>
      <c r="J866" s="3">
        <f>(Table1[[#This Row],[Aktual]]-Table1[[#This Row],[Target]])/Table1[[#This Row],[Target]]</f>
        <v>3.3264033264033266E-2</v>
      </c>
      <c r="K866" t="str">
        <f>IF(Table1[[#This Row],[Performance Gap (%)]]&lt;0,"Tidak mencapai target", IF(Table1[[#This Row],[Performance Gap (%)]]=0,"Mencapai target", "Melebihi Target"))</f>
        <v>Melebihi Target</v>
      </c>
      <c r="L866">
        <f>VLOOKUP(Table1[[#This Row],[Propinsi]]&amp;"_"&amp;Table1[[#This Row],[Dati 2]]&amp;"_"&amp;Table1[[#This Row],[Tanggal]],Table2[[#All],[Kompetitor area]:[Jumlah Kompetitor]],7,0)</f>
        <v>235</v>
      </c>
      <c r="M866">
        <f>Table1[[#This Row],[Aktual]]-Table1[[#This Row],[Jumlah Kompetitor]]</f>
        <v>262</v>
      </c>
      <c r="N866" t="str">
        <f>IF(Table1[[#This Row],[vs Kompetitor]]&gt;0,"Win", "Lose")</f>
        <v>Win</v>
      </c>
    </row>
    <row r="867" spans="1:14" x14ac:dyDescent="0.25">
      <c r="A867">
        <v>866</v>
      </c>
      <c r="B867" t="s">
        <v>6</v>
      </c>
      <c r="C867" t="s">
        <v>54</v>
      </c>
      <c r="D867">
        <v>8</v>
      </c>
      <c r="E867">
        <v>2021</v>
      </c>
      <c r="F867" s="2">
        <f>DATE(Table1[[#This Row],[Tahun]],Table1[[#This Row],[Bulan]],1)</f>
        <v>44409</v>
      </c>
      <c r="G867">
        <v>585</v>
      </c>
      <c r="H867">
        <v>524</v>
      </c>
      <c r="I867" s="6">
        <f>(Table1[[#This Row],[Aktual]]-Table1[[#This Row],[Target]])</f>
        <v>61</v>
      </c>
      <c r="J867" s="3">
        <f>(Table1[[#This Row],[Aktual]]-Table1[[#This Row],[Target]])/Table1[[#This Row],[Target]]</f>
        <v>0.11641221374045801</v>
      </c>
      <c r="K867" t="str">
        <f>IF(Table1[[#This Row],[Performance Gap (%)]]&lt;0,"Tidak mencapai target", IF(Table1[[#This Row],[Performance Gap (%)]]=0,"Mencapai target", "Melebihi Target"))</f>
        <v>Melebihi Target</v>
      </c>
      <c r="L867">
        <f>VLOOKUP(Table1[[#This Row],[Propinsi]]&amp;"_"&amp;Table1[[#This Row],[Dati 2]]&amp;"_"&amp;Table1[[#This Row],[Tanggal]],Table2[[#All],[Kompetitor area]:[Jumlah Kompetitor]],7,0)</f>
        <v>271</v>
      </c>
      <c r="M867">
        <f>Table1[[#This Row],[Aktual]]-Table1[[#This Row],[Jumlah Kompetitor]]</f>
        <v>314</v>
      </c>
      <c r="N867" t="str">
        <f>IF(Table1[[#This Row],[vs Kompetitor]]&gt;0,"Win", "Lose")</f>
        <v>Win</v>
      </c>
    </row>
    <row r="868" spans="1:14" x14ac:dyDescent="0.25">
      <c r="A868">
        <v>867</v>
      </c>
      <c r="B868" t="s">
        <v>6</v>
      </c>
      <c r="C868" t="s">
        <v>55</v>
      </c>
      <c r="D868">
        <v>8</v>
      </c>
      <c r="E868">
        <v>2021</v>
      </c>
      <c r="F868" s="2">
        <f>DATE(Table1[[#This Row],[Tahun]],Table1[[#This Row],[Bulan]],1)</f>
        <v>44409</v>
      </c>
      <c r="G868">
        <v>341</v>
      </c>
      <c r="H868">
        <v>303</v>
      </c>
      <c r="I868" s="6">
        <f>(Table1[[#This Row],[Aktual]]-Table1[[#This Row],[Target]])</f>
        <v>38</v>
      </c>
      <c r="J868" s="3">
        <f>(Table1[[#This Row],[Aktual]]-Table1[[#This Row],[Target]])/Table1[[#This Row],[Target]]</f>
        <v>0.1254125412541254</v>
      </c>
      <c r="K868" t="str">
        <f>IF(Table1[[#This Row],[Performance Gap (%)]]&lt;0,"Tidak mencapai target", IF(Table1[[#This Row],[Performance Gap (%)]]=0,"Mencapai target", "Melebihi Target"))</f>
        <v>Melebihi Target</v>
      </c>
      <c r="L868">
        <f>VLOOKUP(Table1[[#This Row],[Propinsi]]&amp;"_"&amp;Table1[[#This Row],[Dati 2]]&amp;"_"&amp;Table1[[#This Row],[Tanggal]],Table2[[#All],[Kompetitor area]:[Jumlah Kompetitor]],7,0)</f>
        <v>226</v>
      </c>
      <c r="M868">
        <f>Table1[[#This Row],[Aktual]]-Table1[[#This Row],[Jumlah Kompetitor]]</f>
        <v>115</v>
      </c>
      <c r="N868" t="str">
        <f>IF(Table1[[#This Row],[vs Kompetitor]]&gt;0,"Win", "Lose")</f>
        <v>Win</v>
      </c>
    </row>
    <row r="869" spans="1:14" x14ac:dyDescent="0.25">
      <c r="A869">
        <v>868</v>
      </c>
      <c r="B869" t="s">
        <v>6</v>
      </c>
      <c r="C869" t="s">
        <v>56</v>
      </c>
      <c r="D869">
        <v>8</v>
      </c>
      <c r="E869">
        <v>2021</v>
      </c>
      <c r="F869" s="2">
        <f>DATE(Table1[[#This Row],[Tahun]],Table1[[#This Row],[Bulan]],1)</f>
        <v>44409</v>
      </c>
      <c r="G869">
        <v>157</v>
      </c>
      <c r="H869">
        <v>149</v>
      </c>
      <c r="I869" s="6">
        <f>(Table1[[#This Row],[Aktual]]-Table1[[#This Row],[Target]])</f>
        <v>8</v>
      </c>
      <c r="J869" s="3">
        <f>(Table1[[#This Row],[Aktual]]-Table1[[#This Row],[Target]])/Table1[[#This Row],[Target]]</f>
        <v>5.3691275167785234E-2</v>
      </c>
      <c r="K869" t="str">
        <f>IF(Table1[[#This Row],[Performance Gap (%)]]&lt;0,"Tidak mencapai target", IF(Table1[[#This Row],[Performance Gap (%)]]=0,"Mencapai target", "Melebihi Target"))</f>
        <v>Melebihi Target</v>
      </c>
      <c r="L869">
        <f>VLOOKUP(Table1[[#This Row],[Propinsi]]&amp;"_"&amp;Table1[[#This Row],[Dati 2]]&amp;"_"&amp;Table1[[#This Row],[Tanggal]],Table2[[#All],[Kompetitor area]:[Jumlah Kompetitor]],7,0)</f>
        <v>157</v>
      </c>
      <c r="M869">
        <f>Table1[[#This Row],[Aktual]]-Table1[[#This Row],[Jumlah Kompetitor]]</f>
        <v>0</v>
      </c>
      <c r="N869" t="str">
        <f>IF(Table1[[#This Row],[vs Kompetitor]]&gt;0,"Win", "Lose")</f>
        <v>Lose</v>
      </c>
    </row>
    <row r="870" spans="1:14" x14ac:dyDescent="0.25">
      <c r="A870">
        <v>869</v>
      </c>
      <c r="B870" t="s">
        <v>6</v>
      </c>
      <c r="C870" t="s">
        <v>57</v>
      </c>
      <c r="D870">
        <v>8</v>
      </c>
      <c r="E870">
        <v>2021</v>
      </c>
      <c r="F870" s="2">
        <f>DATE(Table1[[#This Row],[Tahun]],Table1[[#This Row],[Bulan]],1)</f>
        <v>44409</v>
      </c>
      <c r="G870">
        <v>633</v>
      </c>
      <c r="H870">
        <v>502</v>
      </c>
      <c r="I870" s="6">
        <f>(Table1[[#This Row],[Aktual]]-Table1[[#This Row],[Target]])</f>
        <v>131</v>
      </c>
      <c r="J870" s="3">
        <f>(Table1[[#This Row],[Aktual]]-Table1[[#This Row],[Target]])/Table1[[#This Row],[Target]]</f>
        <v>0.26095617529880477</v>
      </c>
      <c r="K870" t="str">
        <f>IF(Table1[[#This Row],[Performance Gap (%)]]&lt;0,"Tidak mencapai target", IF(Table1[[#This Row],[Performance Gap (%)]]=0,"Mencapai target", "Melebihi Target"))</f>
        <v>Melebihi Target</v>
      </c>
      <c r="L870">
        <f>VLOOKUP(Table1[[#This Row],[Propinsi]]&amp;"_"&amp;Table1[[#This Row],[Dati 2]]&amp;"_"&amp;Table1[[#This Row],[Tanggal]],Table2[[#All],[Kompetitor area]:[Jumlah Kompetitor]],7,0)</f>
        <v>33</v>
      </c>
      <c r="M870">
        <f>Table1[[#This Row],[Aktual]]-Table1[[#This Row],[Jumlah Kompetitor]]</f>
        <v>600</v>
      </c>
      <c r="N870" t="str">
        <f>IF(Table1[[#This Row],[vs Kompetitor]]&gt;0,"Win", "Lose")</f>
        <v>Win</v>
      </c>
    </row>
    <row r="871" spans="1:14" x14ac:dyDescent="0.25">
      <c r="A871">
        <v>870</v>
      </c>
      <c r="B871" t="s">
        <v>6</v>
      </c>
      <c r="C871" t="s">
        <v>58</v>
      </c>
      <c r="D871">
        <v>8</v>
      </c>
      <c r="E871">
        <v>2021</v>
      </c>
      <c r="F871" s="2">
        <f>DATE(Table1[[#This Row],[Tahun]],Table1[[#This Row],[Bulan]],1)</f>
        <v>44409</v>
      </c>
      <c r="G871">
        <v>519</v>
      </c>
      <c r="H871">
        <v>522</v>
      </c>
      <c r="I871" s="6">
        <f>(Table1[[#This Row],[Aktual]]-Table1[[#This Row],[Target]])</f>
        <v>-3</v>
      </c>
      <c r="J871" s="3">
        <f>(Table1[[#This Row],[Aktual]]-Table1[[#This Row],[Target]])/Table1[[#This Row],[Target]]</f>
        <v>-5.7471264367816091E-3</v>
      </c>
      <c r="K871" t="str">
        <f>IF(Table1[[#This Row],[Performance Gap (%)]]&lt;0,"Tidak mencapai target", IF(Table1[[#This Row],[Performance Gap (%)]]=0,"Mencapai target", "Melebihi Target"))</f>
        <v>Tidak mencapai target</v>
      </c>
      <c r="L871">
        <f>VLOOKUP(Table1[[#This Row],[Propinsi]]&amp;"_"&amp;Table1[[#This Row],[Dati 2]]&amp;"_"&amp;Table1[[#This Row],[Tanggal]],Table2[[#All],[Kompetitor area]:[Jumlah Kompetitor]],7,0)</f>
        <v>124</v>
      </c>
      <c r="M871">
        <f>Table1[[#This Row],[Aktual]]-Table1[[#This Row],[Jumlah Kompetitor]]</f>
        <v>395</v>
      </c>
      <c r="N871" t="str">
        <f>IF(Table1[[#This Row],[vs Kompetitor]]&gt;0,"Win", "Lose")</f>
        <v>Win</v>
      </c>
    </row>
    <row r="872" spans="1:14" x14ac:dyDescent="0.25">
      <c r="A872">
        <v>871</v>
      </c>
      <c r="B872" t="s">
        <v>6</v>
      </c>
      <c r="C872" t="s">
        <v>59</v>
      </c>
      <c r="D872">
        <v>8</v>
      </c>
      <c r="E872">
        <v>2021</v>
      </c>
      <c r="F872" s="2">
        <f>DATE(Table1[[#This Row],[Tahun]],Table1[[#This Row],[Bulan]],1)</f>
        <v>44409</v>
      </c>
      <c r="G872">
        <v>168</v>
      </c>
      <c r="H872">
        <v>152</v>
      </c>
      <c r="I872" s="6">
        <f>(Table1[[#This Row],[Aktual]]-Table1[[#This Row],[Target]])</f>
        <v>16</v>
      </c>
      <c r="J872" s="3">
        <f>(Table1[[#This Row],[Aktual]]-Table1[[#This Row],[Target]])/Table1[[#This Row],[Target]]</f>
        <v>0.10526315789473684</v>
      </c>
      <c r="K872" t="str">
        <f>IF(Table1[[#This Row],[Performance Gap (%)]]&lt;0,"Tidak mencapai target", IF(Table1[[#This Row],[Performance Gap (%)]]=0,"Mencapai target", "Melebihi Target"))</f>
        <v>Melebihi Target</v>
      </c>
      <c r="L872">
        <f>VLOOKUP(Table1[[#This Row],[Propinsi]]&amp;"_"&amp;Table1[[#This Row],[Dati 2]]&amp;"_"&amp;Table1[[#This Row],[Tanggal]],Table2[[#All],[Kompetitor area]:[Jumlah Kompetitor]],7,0)</f>
        <v>141</v>
      </c>
      <c r="M872">
        <f>Table1[[#This Row],[Aktual]]-Table1[[#This Row],[Jumlah Kompetitor]]</f>
        <v>27</v>
      </c>
      <c r="N872" t="str">
        <f>IF(Table1[[#This Row],[vs Kompetitor]]&gt;0,"Win", "Lose")</f>
        <v>Win</v>
      </c>
    </row>
    <row r="873" spans="1:14" x14ac:dyDescent="0.25">
      <c r="A873">
        <v>872</v>
      </c>
      <c r="B873" t="s">
        <v>6</v>
      </c>
      <c r="C873" t="s">
        <v>60</v>
      </c>
      <c r="D873">
        <v>8</v>
      </c>
      <c r="E873">
        <v>2021</v>
      </c>
      <c r="F873" s="2">
        <f>DATE(Table1[[#This Row],[Tahun]],Table1[[#This Row],[Bulan]],1)</f>
        <v>44409</v>
      </c>
      <c r="G873">
        <v>76</v>
      </c>
      <c r="H873">
        <v>76</v>
      </c>
      <c r="I873" s="6">
        <f>(Table1[[#This Row],[Aktual]]-Table1[[#This Row],[Target]])</f>
        <v>0</v>
      </c>
      <c r="J873" s="3">
        <f>(Table1[[#This Row],[Aktual]]-Table1[[#This Row],[Target]])/Table1[[#This Row],[Target]]</f>
        <v>0</v>
      </c>
      <c r="K873" t="str">
        <f>IF(Table1[[#This Row],[Performance Gap (%)]]&lt;0,"Tidak mencapai target", IF(Table1[[#This Row],[Performance Gap (%)]]=0,"Mencapai target", "Melebihi Target"))</f>
        <v>Mencapai target</v>
      </c>
      <c r="L873">
        <f>VLOOKUP(Table1[[#This Row],[Propinsi]]&amp;"_"&amp;Table1[[#This Row],[Dati 2]]&amp;"_"&amp;Table1[[#This Row],[Tanggal]],Table2[[#All],[Kompetitor area]:[Jumlah Kompetitor]],7,0)</f>
        <v>115</v>
      </c>
      <c r="M873">
        <f>Table1[[#This Row],[Aktual]]-Table1[[#This Row],[Jumlah Kompetitor]]</f>
        <v>-39</v>
      </c>
      <c r="N873" t="str">
        <f>IF(Table1[[#This Row],[vs Kompetitor]]&gt;0,"Win", "Lose")</f>
        <v>Lose</v>
      </c>
    </row>
    <row r="874" spans="1:14" x14ac:dyDescent="0.25">
      <c r="A874">
        <v>873</v>
      </c>
      <c r="B874" t="s">
        <v>6</v>
      </c>
      <c r="C874" t="s">
        <v>61</v>
      </c>
      <c r="D874">
        <v>8</v>
      </c>
      <c r="E874">
        <v>2021</v>
      </c>
      <c r="F874" s="2">
        <f>DATE(Table1[[#This Row],[Tahun]],Table1[[#This Row],[Bulan]],1)</f>
        <v>44409</v>
      </c>
      <c r="G874">
        <v>529</v>
      </c>
      <c r="H874">
        <v>533</v>
      </c>
      <c r="I874" s="6">
        <f>(Table1[[#This Row],[Aktual]]-Table1[[#This Row],[Target]])</f>
        <v>-4</v>
      </c>
      <c r="J874" s="3">
        <f>(Table1[[#This Row],[Aktual]]-Table1[[#This Row],[Target]])/Table1[[#This Row],[Target]]</f>
        <v>-7.5046904315196998E-3</v>
      </c>
      <c r="K874" t="str">
        <f>IF(Table1[[#This Row],[Performance Gap (%)]]&lt;0,"Tidak mencapai target", IF(Table1[[#This Row],[Performance Gap (%)]]=0,"Mencapai target", "Melebihi Target"))</f>
        <v>Tidak mencapai target</v>
      </c>
      <c r="L874">
        <f>VLOOKUP(Table1[[#This Row],[Propinsi]]&amp;"_"&amp;Table1[[#This Row],[Dati 2]]&amp;"_"&amp;Table1[[#This Row],[Tanggal]],Table2[[#All],[Kompetitor area]:[Jumlah Kompetitor]],7,0)</f>
        <v>169</v>
      </c>
      <c r="M874">
        <f>Table1[[#This Row],[Aktual]]-Table1[[#This Row],[Jumlah Kompetitor]]</f>
        <v>360</v>
      </c>
      <c r="N874" t="str">
        <f>IF(Table1[[#This Row],[vs Kompetitor]]&gt;0,"Win", "Lose")</f>
        <v>Win</v>
      </c>
    </row>
    <row r="875" spans="1:14" x14ac:dyDescent="0.25">
      <c r="A875">
        <v>874</v>
      </c>
      <c r="B875" t="s">
        <v>3</v>
      </c>
      <c r="C875" t="s">
        <v>62</v>
      </c>
      <c r="D875">
        <v>8</v>
      </c>
      <c r="E875">
        <v>2021</v>
      </c>
      <c r="F875" s="2">
        <f>DATE(Table1[[#This Row],[Tahun]],Table1[[#This Row],[Bulan]],1)</f>
        <v>44409</v>
      </c>
      <c r="G875">
        <v>776</v>
      </c>
      <c r="H875">
        <v>650</v>
      </c>
      <c r="I875" s="6">
        <f>(Table1[[#This Row],[Aktual]]-Table1[[#This Row],[Target]])</f>
        <v>126</v>
      </c>
      <c r="J875" s="3">
        <f>(Table1[[#This Row],[Aktual]]-Table1[[#This Row],[Target]])/Table1[[#This Row],[Target]]</f>
        <v>0.19384615384615383</v>
      </c>
      <c r="K875" t="str">
        <f>IF(Table1[[#This Row],[Performance Gap (%)]]&lt;0,"Tidak mencapai target", IF(Table1[[#This Row],[Performance Gap (%)]]=0,"Mencapai target", "Melebihi Target"))</f>
        <v>Melebihi Target</v>
      </c>
      <c r="L875">
        <f>VLOOKUP(Table1[[#This Row],[Propinsi]]&amp;"_"&amp;Table1[[#This Row],[Dati 2]]&amp;"_"&amp;Table1[[#This Row],[Tanggal]],Table2[[#All],[Kompetitor area]:[Jumlah Kompetitor]],7,0)</f>
        <v>292</v>
      </c>
      <c r="M875">
        <f>Table1[[#This Row],[Aktual]]-Table1[[#This Row],[Jumlah Kompetitor]]</f>
        <v>484</v>
      </c>
      <c r="N875" t="str">
        <f>IF(Table1[[#This Row],[vs Kompetitor]]&gt;0,"Win", "Lose")</f>
        <v>Win</v>
      </c>
    </row>
    <row r="876" spans="1:14" x14ac:dyDescent="0.25">
      <c r="A876">
        <v>875</v>
      </c>
      <c r="B876" t="s">
        <v>3</v>
      </c>
      <c r="C876" t="s">
        <v>63</v>
      </c>
      <c r="D876">
        <v>8</v>
      </c>
      <c r="E876">
        <v>2021</v>
      </c>
      <c r="F876" s="2">
        <f>DATE(Table1[[#This Row],[Tahun]],Table1[[#This Row],[Bulan]],1)</f>
        <v>44409</v>
      </c>
      <c r="G876">
        <v>989</v>
      </c>
      <c r="H876">
        <v>1004</v>
      </c>
      <c r="I876" s="6">
        <f>(Table1[[#This Row],[Aktual]]-Table1[[#This Row],[Target]])</f>
        <v>-15</v>
      </c>
      <c r="J876" s="3">
        <f>(Table1[[#This Row],[Aktual]]-Table1[[#This Row],[Target]])/Table1[[#This Row],[Target]]</f>
        <v>-1.4940239043824702E-2</v>
      </c>
      <c r="K876" t="str">
        <f>IF(Table1[[#This Row],[Performance Gap (%)]]&lt;0,"Tidak mencapai target", IF(Table1[[#This Row],[Performance Gap (%)]]=0,"Mencapai target", "Melebihi Target"))</f>
        <v>Tidak mencapai target</v>
      </c>
      <c r="L876">
        <f>VLOOKUP(Table1[[#This Row],[Propinsi]]&amp;"_"&amp;Table1[[#This Row],[Dati 2]]&amp;"_"&amp;Table1[[#This Row],[Tanggal]],Table2[[#All],[Kompetitor area]:[Jumlah Kompetitor]],7,0)</f>
        <v>298</v>
      </c>
      <c r="M876">
        <f>Table1[[#This Row],[Aktual]]-Table1[[#This Row],[Jumlah Kompetitor]]</f>
        <v>691</v>
      </c>
      <c r="N876" t="str">
        <f>IF(Table1[[#This Row],[vs Kompetitor]]&gt;0,"Win", "Lose")</f>
        <v>Win</v>
      </c>
    </row>
    <row r="877" spans="1:14" x14ac:dyDescent="0.25">
      <c r="A877">
        <v>876</v>
      </c>
      <c r="B877" t="s">
        <v>3</v>
      </c>
      <c r="C877" t="s">
        <v>64</v>
      </c>
      <c r="D877">
        <v>8</v>
      </c>
      <c r="E877">
        <v>2021</v>
      </c>
      <c r="F877" s="2">
        <f>DATE(Table1[[#This Row],[Tahun]],Table1[[#This Row],[Bulan]],1)</f>
        <v>44409</v>
      </c>
      <c r="G877">
        <v>690</v>
      </c>
      <c r="H877">
        <v>709</v>
      </c>
      <c r="I877" s="6">
        <f>(Table1[[#This Row],[Aktual]]-Table1[[#This Row],[Target]])</f>
        <v>-19</v>
      </c>
      <c r="J877" s="3">
        <f>(Table1[[#This Row],[Aktual]]-Table1[[#This Row],[Target]])/Table1[[#This Row],[Target]]</f>
        <v>-2.6798307475317348E-2</v>
      </c>
      <c r="K877" t="str">
        <f>IF(Table1[[#This Row],[Performance Gap (%)]]&lt;0,"Tidak mencapai target", IF(Table1[[#This Row],[Performance Gap (%)]]=0,"Mencapai target", "Melebihi Target"))</f>
        <v>Tidak mencapai target</v>
      </c>
      <c r="L877">
        <f>VLOOKUP(Table1[[#This Row],[Propinsi]]&amp;"_"&amp;Table1[[#This Row],[Dati 2]]&amp;"_"&amp;Table1[[#This Row],[Tanggal]],Table2[[#All],[Kompetitor area]:[Jumlah Kompetitor]],7,0)</f>
        <v>145</v>
      </c>
      <c r="M877">
        <f>Table1[[#This Row],[Aktual]]-Table1[[#This Row],[Jumlah Kompetitor]]</f>
        <v>545</v>
      </c>
      <c r="N877" t="str">
        <f>IF(Table1[[#This Row],[vs Kompetitor]]&gt;0,"Win", "Lose")</f>
        <v>Win</v>
      </c>
    </row>
    <row r="878" spans="1:14" x14ac:dyDescent="0.25">
      <c r="A878">
        <v>877</v>
      </c>
      <c r="B878" t="s">
        <v>3</v>
      </c>
      <c r="C878" t="s">
        <v>65</v>
      </c>
      <c r="D878">
        <v>8</v>
      </c>
      <c r="E878">
        <v>2021</v>
      </c>
      <c r="F878" s="2">
        <f>DATE(Table1[[#This Row],[Tahun]],Table1[[#This Row],[Bulan]],1)</f>
        <v>44409</v>
      </c>
      <c r="G878">
        <v>1231</v>
      </c>
      <c r="H878">
        <v>1165</v>
      </c>
      <c r="I878" s="6">
        <f>(Table1[[#This Row],[Aktual]]-Table1[[#This Row],[Target]])</f>
        <v>66</v>
      </c>
      <c r="J878" s="3">
        <f>(Table1[[#This Row],[Aktual]]-Table1[[#This Row],[Target]])/Table1[[#This Row],[Target]]</f>
        <v>5.6652360515021462E-2</v>
      </c>
      <c r="K878" t="str">
        <f>IF(Table1[[#This Row],[Performance Gap (%)]]&lt;0,"Tidak mencapai target", IF(Table1[[#This Row],[Performance Gap (%)]]=0,"Mencapai target", "Melebihi Target"))</f>
        <v>Melebihi Target</v>
      </c>
      <c r="L878">
        <f>VLOOKUP(Table1[[#This Row],[Propinsi]]&amp;"_"&amp;Table1[[#This Row],[Dati 2]]&amp;"_"&amp;Table1[[#This Row],[Tanggal]],Table2[[#All],[Kompetitor area]:[Jumlah Kompetitor]],7,0)</f>
        <v>191</v>
      </c>
      <c r="M878">
        <f>Table1[[#This Row],[Aktual]]-Table1[[#This Row],[Jumlah Kompetitor]]</f>
        <v>1040</v>
      </c>
      <c r="N878" t="str">
        <f>IF(Table1[[#This Row],[vs Kompetitor]]&gt;0,"Win", "Lose")</f>
        <v>Win</v>
      </c>
    </row>
    <row r="879" spans="1:14" x14ac:dyDescent="0.25">
      <c r="A879">
        <v>878</v>
      </c>
      <c r="B879" t="s">
        <v>3</v>
      </c>
      <c r="C879" t="s">
        <v>66</v>
      </c>
      <c r="D879">
        <v>8</v>
      </c>
      <c r="E879">
        <v>2021</v>
      </c>
      <c r="F879" s="2">
        <f>DATE(Table1[[#This Row],[Tahun]],Table1[[#This Row],[Bulan]],1)</f>
        <v>44409</v>
      </c>
      <c r="G879">
        <v>1069</v>
      </c>
      <c r="H879">
        <v>956</v>
      </c>
      <c r="I879" s="6">
        <f>(Table1[[#This Row],[Aktual]]-Table1[[#This Row],[Target]])</f>
        <v>113</v>
      </c>
      <c r="J879" s="3">
        <f>(Table1[[#This Row],[Aktual]]-Table1[[#This Row],[Target]])/Table1[[#This Row],[Target]]</f>
        <v>0.11820083682008369</v>
      </c>
      <c r="K879" t="str">
        <f>IF(Table1[[#This Row],[Performance Gap (%)]]&lt;0,"Tidak mencapai target", IF(Table1[[#This Row],[Performance Gap (%)]]=0,"Mencapai target", "Melebihi Target"))</f>
        <v>Melebihi Target</v>
      </c>
      <c r="L879">
        <f>VLOOKUP(Table1[[#This Row],[Propinsi]]&amp;"_"&amp;Table1[[#This Row],[Dati 2]]&amp;"_"&amp;Table1[[#This Row],[Tanggal]],Table2[[#All],[Kompetitor area]:[Jumlah Kompetitor]],7,0)</f>
        <v>110</v>
      </c>
      <c r="M879">
        <f>Table1[[#This Row],[Aktual]]-Table1[[#This Row],[Jumlah Kompetitor]]</f>
        <v>959</v>
      </c>
      <c r="N879" t="str">
        <f>IF(Table1[[#This Row],[vs Kompetitor]]&gt;0,"Win", "Lose")</f>
        <v>Win</v>
      </c>
    </row>
    <row r="880" spans="1:14" x14ac:dyDescent="0.25">
      <c r="A880">
        <v>879</v>
      </c>
      <c r="B880" t="s">
        <v>3</v>
      </c>
      <c r="C880" t="s">
        <v>67</v>
      </c>
      <c r="D880">
        <v>8</v>
      </c>
      <c r="E880">
        <v>2021</v>
      </c>
      <c r="F880" s="2">
        <f>DATE(Table1[[#This Row],[Tahun]],Table1[[#This Row],[Bulan]],1)</f>
        <v>44409</v>
      </c>
      <c r="G880">
        <v>23</v>
      </c>
      <c r="H880">
        <v>21</v>
      </c>
      <c r="I880" s="6">
        <f>(Table1[[#This Row],[Aktual]]-Table1[[#This Row],[Target]])</f>
        <v>2</v>
      </c>
      <c r="J880" s="3">
        <f>(Table1[[#This Row],[Aktual]]-Table1[[#This Row],[Target]])/Table1[[#This Row],[Target]]</f>
        <v>9.5238095238095233E-2</v>
      </c>
      <c r="K880" t="str">
        <f>IF(Table1[[#This Row],[Performance Gap (%)]]&lt;0,"Tidak mencapai target", IF(Table1[[#This Row],[Performance Gap (%)]]=0,"Mencapai target", "Melebihi Target"))</f>
        <v>Melebihi Target</v>
      </c>
      <c r="L880">
        <f>VLOOKUP(Table1[[#This Row],[Propinsi]]&amp;"_"&amp;Table1[[#This Row],[Dati 2]]&amp;"_"&amp;Table1[[#This Row],[Tanggal]],Table2[[#All],[Kompetitor area]:[Jumlah Kompetitor]],7,0)</f>
        <v>135</v>
      </c>
      <c r="M880">
        <f>Table1[[#This Row],[Aktual]]-Table1[[#This Row],[Jumlah Kompetitor]]</f>
        <v>-112</v>
      </c>
      <c r="N880" t="str">
        <f>IF(Table1[[#This Row],[vs Kompetitor]]&gt;0,"Win", "Lose")</f>
        <v>Lose</v>
      </c>
    </row>
    <row r="881" spans="1:14" x14ac:dyDescent="0.25">
      <c r="A881">
        <v>880</v>
      </c>
      <c r="B881" t="s">
        <v>2</v>
      </c>
      <c r="C881" t="s">
        <v>68</v>
      </c>
      <c r="D881">
        <v>8</v>
      </c>
      <c r="E881">
        <v>2021</v>
      </c>
      <c r="F881" s="2">
        <f>DATE(Table1[[#This Row],[Tahun]],Table1[[#This Row],[Bulan]],1)</f>
        <v>44409</v>
      </c>
      <c r="G881">
        <v>1116</v>
      </c>
      <c r="H881">
        <v>1271</v>
      </c>
      <c r="I881" s="6">
        <f>(Table1[[#This Row],[Aktual]]-Table1[[#This Row],[Target]])</f>
        <v>-155</v>
      </c>
      <c r="J881" s="3">
        <f>(Table1[[#This Row],[Aktual]]-Table1[[#This Row],[Target]])/Table1[[#This Row],[Target]]</f>
        <v>-0.12195121951219512</v>
      </c>
      <c r="K881" t="str">
        <f>IF(Table1[[#This Row],[Performance Gap (%)]]&lt;0,"Tidak mencapai target", IF(Table1[[#This Row],[Performance Gap (%)]]=0,"Mencapai target", "Melebihi Target"))</f>
        <v>Tidak mencapai target</v>
      </c>
      <c r="L881">
        <f>VLOOKUP(Table1[[#This Row],[Propinsi]]&amp;"_"&amp;Table1[[#This Row],[Dati 2]]&amp;"_"&amp;Table1[[#This Row],[Tanggal]],Table2[[#All],[Kompetitor area]:[Jumlah Kompetitor]],7,0)</f>
        <v>181</v>
      </c>
      <c r="M881">
        <f>Table1[[#This Row],[Aktual]]-Table1[[#This Row],[Jumlah Kompetitor]]</f>
        <v>935</v>
      </c>
      <c r="N881" t="str">
        <f>IF(Table1[[#This Row],[vs Kompetitor]]&gt;0,"Win", "Lose")</f>
        <v>Win</v>
      </c>
    </row>
    <row r="882" spans="1:14" x14ac:dyDescent="0.25">
      <c r="A882">
        <v>881</v>
      </c>
      <c r="B882" t="s">
        <v>2</v>
      </c>
      <c r="C882" t="s">
        <v>69</v>
      </c>
      <c r="D882">
        <v>8</v>
      </c>
      <c r="E882">
        <v>2021</v>
      </c>
      <c r="F882" s="2">
        <f>DATE(Table1[[#This Row],[Tahun]],Table1[[#This Row],[Bulan]],1)</f>
        <v>44409</v>
      </c>
      <c r="G882">
        <v>694</v>
      </c>
      <c r="H882">
        <v>570</v>
      </c>
      <c r="I882" s="6">
        <f>(Table1[[#This Row],[Aktual]]-Table1[[#This Row],[Target]])</f>
        <v>124</v>
      </c>
      <c r="J882" s="3">
        <f>(Table1[[#This Row],[Aktual]]-Table1[[#This Row],[Target]])/Table1[[#This Row],[Target]]</f>
        <v>0.21754385964912282</v>
      </c>
      <c r="K882" t="str">
        <f>IF(Table1[[#This Row],[Performance Gap (%)]]&lt;0,"Tidak mencapai target", IF(Table1[[#This Row],[Performance Gap (%)]]=0,"Mencapai target", "Melebihi Target"))</f>
        <v>Melebihi Target</v>
      </c>
      <c r="L882">
        <f>VLOOKUP(Table1[[#This Row],[Propinsi]]&amp;"_"&amp;Table1[[#This Row],[Dati 2]]&amp;"_"&amp;Table1[[#This Row],[Tanggal]],Table2[[#All],[Kompetitor area]:[Jumlah Kompetitor]],7,0)</f>
        <v>78</v>
      </c>
      <c r="M882">
        <f>Table1[[#This Row],[Aktual]]-Table1[[#This Row],[Jumlah Kompetitor]]</f>
        <v>616</v>
      </c>
      <c r="N882" t="str">
        <f>IF(Table1[[#This Row],[vs Kompetitor]]&gt;0,"Win", "Lose")</f>
        <v>Win</v>
      </c>
    </row>
    <row r="883" spans="1:14" x14ac:dyDescent="0.25">
      <c r="A883">
        <v>882</v>
      </c>
      <c r="B883" t="s">
        <v>4</v>
      </c>
      <c r="C883" t="s">
        <v>70</v>
      </c>
      <c r="D883">
        <v>8</v>
      </c>
      <c r="E883">
        <v>2021</v>
      </c>
      <c r="F883" s="2">
        <f>DATE(Table1[[#This Row],[Tahun]],Table1[[#This Row],[Bulan]],1)</f>
        <v>44409</v>
      </c>
      <c r="G883">
        <v>947</v>
      </c>
      <c r="H883">
        <v>965</v>
      </c>
      <c r="I883" s="6">
        <f>(Table1[[#This Row],[Aktual]]-Table1[[#This Row],[Target]])</f>
        <v>-18</v>
      </c>
      <c r="J883" s="3">
        <f>(Table1[[#This Row],[Aktual]]-Table1[[#This Row],[Target]])/Table1[[#This Row],[Target]]</f>
        <v>-1.8652849740932641E-2</v>
      </c>
      <c r="K883" t="str">
        <f>IF(Table1[[#This Row],[Performance Gap (%)]]&lt;0,"Tidak mencapai target", IF(Table1[[#This Row],[Performance Gap (%)]]=0,"Mencapai target", "Melebihi Target"))</f>
        <v>Tidak mencapai target</v>
      </c>
      <c r="L883">
        <f>VLOOKUP(Table1[[#This Row],[Propinsi]]&amp;"_"&amp;Table1[[#This Row],[Dati 2]]&amp;"_"&amp;Table1[[#This Row],[Tanggal]],Table2[[#All],[Kompetitor area]:[Jumlah Kompetitor]],7,0)</f>
        <v>48</v>
      </c>
      <c r="M883">
        <f>Table1[[#This Row],[Aktual]]-Table1[[#This Row],[Jumlah Kompetitor]]</f>
        <v>899</v>
      </c>
      <c r="N883" t="str">
        <f>IF(Table1[[#This Row],[vs Kompetitor]]&gt;0,"Win", "Lose")</f>
        <v>Win</v>
      </c>
    </row>
    <row r="884" spans="1:14" x14ac:dyDescent="0.25">
      <c r="A884">
        <v>883</v>
      </c>
      <c r="B884" t="s">
        <v>4</v>
      </c>
      <c r="C884" t="s">
        <v>71</v>
      </c>
      <c r="D884">
        <v>8</v>
      </c>
      <c r="E884">
        <v>2021</v>
      </c>
      <c r="F884" s="2">
        <f>DATE(Table1[[#This Row],[Tahun]],Table1[[#This Row],[Bulan]],1)</f>
        <v>44409</v>
      </c>
      <c r="G884">
        <v>1547</v>
      </c>
      <c r="H884">
        <v>1562</v>
      </c>
      <c r="I884" s="6">
        <f>(Table1[[#This Row],[Aktual]]-Table1[[#This Row],[Target]])</f>
        <v>-15</v>
      </c>
      <c r="J884" s="3">
        <f>(Table1[[#This Row],[Aktual]]-Table1[[#This Row],[Target]])/Table1[[#This Row],[Target]]</f>
        <v>-9.6030729833546727E-3</v>
      </c>
      <c r="K884" t="str">
        <f>IF(Table1[[#This Row],[Performance Gap (%)]]&lt;0,"Tidak mencapai target", IF(Table1[[#This Row],[Performance Gap (%)]]=0,"Mencapai target", "Melebihi Target"))</f>
        <v>Tidak mencapai target</v>
      </c>
      <c r="L884">
        <f>VLOOKUP(Table1[[#This Row],[Propinsi]]&amp;"_"&amp;Table1[[#This Row],[Dati 2]]&amp;"_"&amp;Table1[[#This Row],[Tanggal]],Table2[[#All],[Kompetitor area]:[Jumlah Kompetitor]],7,0)</f>
        <v>190</v>
      </c>
      <c r="M884">
        <f>Table1[[#This Row],[Aktual]]-Table1[[#This Row],[Jumlah Kompetitor]]</f>
        <v>1357</v>
      </c>
      <c r="N884" t="str">
        <f>IF(Table1[[#This Row],[vs Kompetitor]]&gt;0,"Win", "Lose")</f>
        <v>Win</v>
      </c>
    </row>
    <row r="885" spans="1:14" x14ac:dyDescent="0.25">
      <c r="A885">
        <v>884</v>
      </c>
      <c r="B885" t="s">
        <v>4</v>
      </c>
      <c r="C885" t="s">
        <v>72</v>
      </c>
      <c r="D885">
        <v>8</v>
      </c>
      <c r="E885">
        <v>2021</v>
      </c>
      <c r="F885" s="2">
        <f>DATE(Table1[[#This Row],[Tahun]],Table1[[#This Row],[Bulan]],1)</f>
        <v>44409</v>
      </c>
      <c r="G885">
        <v>1316</v>
      </c>
      <c r="H885">
        <v>1296</v>
      </c>
      <c r="I885" s="6">
        <f>(Table1[[#This Row],[Aktual]]-Table1[[#This Row],[Target]])</f>
        <v>20</v>
      </c>
      <c r="J885" s="3">
        <f>(Table1[[#This Row],[Aktual]]-Table1[[#This Row],[Target]])/Table1[[#This Row],[Target]]</f>
        <v>1.5432098765432098E-2</v>
      </c>
      <c r="K885" t="str">
        <f>IF(Table1[[#This Row],[Performance Gap (%)]]&lt;0,"Tidak mencapai target", IF(Table1[[#This Row],[Performance Gap (%)]]=0,"Mencapai target", "Melebihi Target"))</f>
        <v>Melebihi Target</v>
      </c>
      <c r="L885">
        <f>VLOOKUP(Table1[[#This Row],[Propinsi]]&amp;"_"&amp;Table1[[#This Row],[Dati 2]]&amp;"_"&amp;Table1[[#This Row],[Tanggal]],Table2[[#All],[Kompetitor area]:[Jumlah Kompetitor]],7,0)</f>
        <v>326</v>
      </c>
      <c r="M885">
        <f>Table1[[#This Row],[Aktual]]-Table1[[#This Row],[Jumlah Kompetitor]]</f>
        <v>990</v>
      </c>
      <c r="N885" t="str">
        <f>IF(Table1[[#This Row],[vs Kompetitor]]&gt;0,"Win", "Lose")</f>
        <v>Win</v>
      </c>
    </row>
    <row r="886" spans="1:14" x14ac:dyDescent="0.25">
      <c r="A886">
        <v>885</v>
      </c>
      <c r="B886" t="s">
        <v>4</v>
      </c>
      <c r="C886" t="s">
        <v>73</v>
      </c>
      <c r="D886">
        <v>8</v>
      </c>
      <c r="E886">
        <v>2021</v>
      </c>
      <c r="F886" s="2">
        <f>DATE(Table1[[#This Row],[Tahun]],Table1[[#This Row],[Bulan]],1)</f>
        <v>44409</v>
      </c>
      <c r="G886">
        <v>1423</v>
      </c>
      <c r="H886">
        <v>1504</v>
      </c>
      <c r="I886" s="6">
        <f>(Table1[[#This Row],[Aktual]]-Table1[[#This Row],[Target]])</f>
        <v>-81</v>
      </c>
      <c r="J886" s="3">
        <f>(Table1[[#This Row],[Aktual]]-Table1[[#This Row],[Target]])/Table1[[#This Row],[Target]]</f>
        <v>-5.3856382978723402E-2</v>
      </c>
      <c r="K886" t="str">
        <f>IF(Table1[[#This Row],[Performance Gap (%)]]&lt;0,"Tidak mencapai target", IF(Table1[[#This Row],[Performance Gap (%)]]=0,"Mencapai target", "Melebihi Target"))</f>
        <v>Tidak mencapai target</v>
      </c>
      <c r="L886">
        <f>VLOOKUP(Table1[[#This Row],[Propinsi]]&amp;"_"&amp;Table1[[#This Row],[Dati 2]]&amp;"_"&amp;Table1[[#This Row],[Tanggal]],Table2[[#All],[Kompetitor area]:[Jumlah Kompetitor]],7,0)</f>
        <v>39</v>
      </c>
      <c r="M886">
        <f>Table1[[#This Row],[Aktual]]-Table1[[#This Row],[Jumlah Kompetitor]]</f>
        <v>1384</v>
      </c>
      <c r="N886" t="str">
        <f>IF(Table1[[#This Row],[vs Kompetitor]]&gt;0,"Win", "Lose")</f>
        <v>Win</v>
      </c>
    </row>
    <row r="887" spans="1:14" x14ac:dyDescent="0.25">
      <c r="A887">
        <v>886</v>
      </c>
      <c r="B887" t="s">
        <v>4</v>
      </c>
      <c r="C887" t="s">
        <v>74</v>
      </c>
      <c r="D887">
        <v>8</v>
      </c>
      <c r="E887">
        <v>2021</v>
      </c>
      <c r="F887" s="2">
        <f>DATE(Table1[[#This Row],[Tahun]],Table1[[#This Row],[Bulan]],1)</f>
        <v>44409</v>
      </c>
      <c r="G887">
        <v>1531</v>
      </c>
      <c r="H887">
        <v>1449</v>
      </c>
      <c r="I887" s="6">
        <f>(Table1[[#This Row],[Aktual]]-Table1[[#This Row],[Target]])</f>
        <v>82</v>
      </c>
      <c r="J887" s="3">
        <f>(Table1[[#This Row],[Aktual]]-Table1[[#This Row],[Target]])/Table1[[#This Row],[Target]]</f>
        <v>5.6590752242926153E-2</v>
      </c>
      <c r="K887" t="str">
        <f>IF(Table1[[#This Row],[Performance Gap (%)]]&lt;0,"Tidak mencapai target", IF(Table1[[#This Row],[Performance Gap (%)]]=0,"Mencapai target", "Melebihi Target"))</f>
        <v>Melebihi Target</v>
      </c>
      <c r="L887">
        <f>VLOOKUP(Table1[[#This Row],[Propinsi]]&amp;"_"&amp;Table1[[#This Row],[Dati 2]]&amp;"_"&amp;Table1[[#This Row],[Tanggal]],Table2[[#All],[Kompetitor area]:[Jumlah Kompetitor]],7,0)</f>
        <v>192</v>
      </c>
      <c r="M887">
        <f>Table1[[#This Row],[Aktual]]-Table1[[#This Row],[Jumlah Kompetitor]]</f>
        <v>1339</v>
      </c>
      <c r="N887" t="str">
        <f>IF(Table1[[#This Row],[vs Kompetitor]]&gt;0,"Win", "Lose")</f>
        <v>Win</v>
      </c>
    </row>
    <row r="888" spans="1:14" x14ac:dyDescent="0.25">
      <c r="A888">
        <v>887</v>
      </c>
      <c r="B888" t="s">
        <v>4</v>
      </c>
      <c r="C888" t="s">
        <v>75</v>
      </c>
      <c r="D888">
        <v>8</v>
      </c>
      <c r="E888">
        <v>2021</v>
      </c>
      <c r="F888" s="2">
        <f>DATE(Table1[[#This Row],[Tahun]],Table1[[#This Row],[Bulan]],1)</f>
        <v>44409</v>
      </c>
      <c r="G888">
        <v>482</v>
      </c>
      <c r="H888">
        <v>469</v>
      </c>
      <c r="I888" s="6">
        <f>(Table1[[#This Row],[Aktual]]-Table1[[#This Row],[Target]])</f>
        <v>13</v>
      </c>
      <c r="J888" s="3">
        <f>(Table1[[#This Row],[Aktual]]-Table1[[#This Row],[Target]])/Table1[[#This Row],[Target]]</f>
        <v>2.7718550106609809E-2</v>
      </c>
      <c r="K888" t="str">
        <f>IF(Table1[[#This Row],[Performance Gap (%)]]&lt;0,"Tidak mencapai target", IF(Table1[[#This Row],[Performance Gap (%)]]=0,"Mencapai target", "Melebihi Target"))</f>
        <v>Melebihi Target</v>
      </c>
      <c r="L888">
        <f>VLOOKUP(Table1[[#This Row],[Propinsi]]&amp;"_"&amp;Table1[[#This Row],[Dati 2]]&amp;"_"&amp;Table1[[#This Row],[Tanggal]],Table2[[#All],[Kompetitor area]:[Jumlah Kompetitor]],7,0)</f>
        <v>142</v>
      </c>
      <c r="M888">
        <f>Table1[[#This Row],[Aktual]]-Table1[[#This Row],[Jumlah Kompetitor]]</f>
        <v>340</v>
      </c>
      <c r="N888" t="str">
        <f>IF(Table1[[#This Row],[vs Kompetitor]]&gt;0,"Win", "Lose")</f>
        <v>Win</v>
      </c>
    </row>
    <row r="889" spans="1:14" x14ac:dyDescent="0.25">
      <c r="A889">
        <v>888</v>
      </c>
      <c r="B889" t="s">
        <v>4</v>
      </c>
      <c r="C889" t="s">
        <v>76</v>
      </c>
      <c r="D889">
        <v>8</v>
      </c>
      <c r="E889">
        <v>2021</v>
      </c>
      <c r="F889" s="2">
        <f>DATE(Table1[[#This Row],[Tahun]],Table1[[#This Row],[Bulan]],1)</f>
        <v>44409</v>
      </c>
      <c r="G889">
        <v>560</v>
      </c>
      <c r="H889">
        <v>508</v>
      </c>
      <c r="I889" s="6">
        <f>(Table1[[#This Row],[Aktual]]-Table1[[#This Row],[Target]])</f>
        <v>52</v>
      </c>
      <c r="J889" s="3">
        <f>(Table1[[#This Row],[Aktual]]-Table1[[#This Row],[Target]])/Table1[[#This Row],[Target]]</f>
        <v>0.10236220472440945</v>
      </c>
      <c r="K889" t="str">
        <f>IF(Table1[[#This Row],[Performance Gap (%)]]&lt;0,"Tidak mencapai target", IF(Table1[[#This Row],[Performance Gap (%)]]=0,"Mencapai target", "Melebihi Target"))</f>
        <v>Melebihi Target</v>
      </c>
      <c r="L889">
        <f>VLOOKUP(Table1[[#This Row],[Propinsi]]&amp;"_"&amp;Table1[[#This Row],[Dati 2]]&amp;"_"&amp;Table1[[#This Row],[Tanggal]],Table2[[#All],[Kompetitor area]:[Jumlah Kompetitor]],7,0)</f>
        <v>87</v>
      </c>
      <c r="M889">
        <f>Table1[[#This Row],[Aktual]]-Table1[[#This Row],[Jumlah Kompetitor]]</f>
        <v>473</v>
      </c>
      <c r="N889" t="str">
        <f>IF(Table1[[#This Row],[vs Kompetitor]]&gt;0,"Win", "Lose")</f>
        <v>Win</v>
      </c>
    </row>
    <row r="890" spans="1:14" x14ac:dyDescent="0.25">
      <c r="A890">
        <v>889</v>
      </c>
      <c r="B890" t="s">
        <v>4</v>
      </c>
      <c r="C890" t="s">
        <v>77</v>
      </c>
      <c r="D890">
        <v>8</v>
      </c>
      <c r="E890">
        <v>2021</v>
      </c>
      <c r="F890" s="2">
        <f>DATE(Table1[[#This Row],[Tahun]],Table1[[#This Row],[Bulan]],1)</f>
        <v>44409</v>
      </c>
      <c r="G890">
        <v>653</v>
      </c>
      <c r="H890">
        <v>643</v>
      </c>
      <c r="I890" s="6">
        <f>(Table1[[#This Row],[Aktual]]-Table1[[#This Row],[Target]])</f>
        <v>10</v>
      </c>
      <c r="J890" s="3">
        <f>(Table1[[#This Row],[Aktual]]-Table1[[#This Row],[Target]])/Table1[[#This Row],[Target]]</f>
        <v>1.5552099533437015E-2</v>
      </c>
      <c r="K890" t="str">
        <f>IF(Table1[[#This Row],[Performance Gap (%)]]&lt;0,"Tidak mencapai target", IF(Table1[[#This Row],[Performance Gap (%)]]=0,"Mencapai target", "Melebihi Target"))</f>
        <v>Melebihi Target</v>
      </c>
      <c r="L890">
        <f>VLOOKUP(Table1[[#This Row],[Propinsi]]&amp;"_"&amp;Table1[[#This Row],[Dati 2]]&amp;"_"&amp;Table1[[#This Row],[Tanggal]],Table2[[#All],[Kompetitor area]:[Jumlah Kompetitor]],7,0)</f>
        <v>163</v>
      </c>
      <c r="M890">
        <f>Table1[[#This Row],[Aktual]]-Table1[[#This Row],[Jumlah Kompetitor]]</f>
        <v>490</v>
      </c>
      <c r="N890" t="str">
        <f>IF(Table1[[#This Row],[vs Kompetitor]]&gt;0,"Win", "Lose")</f>
        <v>Win</v>
      </c>
    </row>
    <row r="891" spans="1:14" x14ac:dyDescent="0.25">
      <c r="A891">
        <v>890</v>
      </c>
      <c r="B891" t="s">
        <v>4</v>
      </c>
      <c r="C891" t="s">
        <v>78</v>
      </c>
      <c r="D891">
        <v>8</v>
      </c>
      <c r="E891">
        <v>2021</v>
      </c>
      <c r="F891" s="2">
        <f>DATE(Table1[[#This Row],[Tahun]],Table1[[#This Row],[Bulan]],1)</f>
        <v>44409</v>
      </c>
      <c r="G891">
        <v>936</v>
      </c>
      <c r="H891">
        <v>888</v>
      </c>
      <c r="I891" s="6">
        <f>(Table1[[#This Row],[Aktual]]-Table1[[#This Row],[Target]])</f>
        <v>48</v>
      </c>
      <c r="J891" s="3">
        <f>(Table1[[#This Row],[Aktual]]-Table1[[#This Row],[Target]])/Table1[[#This Row],[Target]]</f>
        <v>5.4054054054054057E-2</v>
      </c>
      <c r="K891" t="str">
        <f>IF(Table1[[#This Row],[Performance Gap (%)]]&lt;0,"Tidak mencapai target", IF(Table1[[#This Row],[Performance Gap (%)]]=0,"Mencapai target", "Melebihi Target"))</f>
        <v>Melebihi Target</v>
      </c>
      <c r="L891">
        <f>VLOOKUP(Table1[[#This Row],[Propinsi]]&amp;"_"&amp;Table1[[#This Row],[Dati 2]]&amp;"_"&amp;Table1[[#This Row],[Tanggal]],Table2[[#All],[Kompetitor area]:[Jumlah Kompetitor]],7,0)</f>
        <v>50</v>
      </c>
      <c r="M891">
        <f>Table1[[#This Row],[Aktual]]-Table1[[#This Row],[Jumlah Kompetitor]]</f>
        <v>886</v>
      </c>
      <c r="N891" t="str">
        <f>IF(Table1[[#This Row],[vs Kompetitor]]&gt;0,"Win", "Lose")</f>
        <v>Win</v>
      </c>
    </row>
    <row r="892" spans="1:14" x14ac:dyDescent="0.25">
      <c r="A892">
        <v>891</v>
      </c>
      <c r="B892" t="s">
        <v>2</v>
      </c>
      <c r="C892" t="s">
        <v>79</v>
      </c>
      <c r="D892">
        <v>8</v>
      </c>
      <c r="E892">
        <v>2021</v>
      </c>
      <c r="F892" s="2">
        <f>DATE(Table1[[#This Row],[Tahun]],Table1[[#This Row],[Bulan]],1)</f>
        <v>44409</v>
      </c>
      <c r="G892">
        <v>421</v>
      </c>
      <c r="H892">
        <v>382</v>
      </c>
      <c r="I892" s="6">
        <f>(Table1[[#This Row],[Aktual]]-Table1[[#This Row],[Target]])</f>
        <v>39</v>
      </c>
      <c r="J892" s="3">
        <f>(Table1[[#This Row],[Aktual]]-Table1[[#This Row],[Target]])/Table1[[#This Row],[Target]]</f>
        <v>0.10209424083769633</v>
      </c>
      <c r="K892" t="str">
        <f>IF(Table1[[#This Row],[Performance Gap (%)]]&lt;0,"Tidak mencapai target", IF(Table1[[#This Row],[Performance Gap (%)]]=0,"Mencapai target", "Melebihi Target"))</f>
        <v>Melebihi Target</v>
      </c>
      <c r="L892">
        <f>VLOOKUP(Table1[[#This Row],[Propinsi]]&amp;"_"&amp;Table1[[#This Row],[Dati 2]]&amp;"_"&amp;Table1[[#This Row],[Tanggal]],Table2[[#All],[Kompetitor area]:[Jumlah Kompetitor]],7,0)</f>
        <v>41</v>
      </c>
      <c r="M892">
        <f>Table1[[#This Row],[Aktual]]-Table1[[#This Row],[Jumlah Kompetitor]]</f>
        <v>380</v>
      </c>
      <c r="N892" t="str">
        <f>IF(Table1[[#This Row],[vs Kompetitor]]&gt;0,"Win", "Lose")</f>
        <v>Win</v>
      </c>
    </row>
    <row r="893" spans="1:14" x14ac:dyDescent="0.25">
      <c r="A893">
        <v>892</v>
      </c>
      <c r="B893" t="s">
        <v>2</v>
      </c>
      <c r="C893" t="s">
        <v>80</v>
      </c>
      <c r="D893">
        <v>8</v>
      </c>
      <c r="E893">
        <v>2021</v>
      </c>
      <c r="F893" s="2">
        <f>DATE(Table1[[#This Row],[Tahun]],Table1[[#This Row],[Bulan]],1)</f>
        <v>44409</v>
      </c>
      <c r="G893">
        <v>627</v>
      </c>
      <c r="H893">
        <v>602</v>
      </c>
      <c r="I893" s="6">
        <f>(Table1[[#This Row],[Aktual]]-Table1[[#This Row],[Target]])</f>
        <v>25</v>
      </c>
      <c r="J893" s="3">
        <f>(Table1[[#This Row],[Aktual]]-Table1[[#This Row],[Target]])/Table1[[#This Row],[Target]]</f>
        <v>4.1528239202657809E-2</v>
      </c>
      <c r="K893" t="str">
        <f>IF(Table1[[#This Row],[Performance Gap (%)]]&lt;0,"Tidak mencapai target", IF(Table1[[#This Row],[Performance Gap (%)]]=0,"Mencapai target", "Melebihi Target"))</f>
        <v>Melebihi Target</v>
      </c>
      <c r="L893">
        <f>VLOOKUP(Table1[[#This Row],[Propinsi]]&amp;"_"&amp;Table1[[#This Row],[Dati 2]]&amp;"_"&amp;Table1[[#This Row],[Tanggal]],Table2[[#All],[Kompetitor area]:[Jumlah Kompetitor]],7,0)</f>
        <v>82</v>
      </c>
      <c r="M893">
        <f>Table1[[#This Row],[Aktual]]-Table1[[#This Row],[Jumlah Kompetitor]]</f>
        <v>545</v>
      </c>
      <c r="N893" t="str">
        <f>IF(Table1[[#This Row],[vs Kompetitor]]&gt;0,"Win", "Lose")</f>
        <v>Win</v>
      </c>
    </row>
    <row r="894" spans="1:14" x14ac:dyDescent="0.25">
      <c r="A894">
        <v>893</v>
      </c>
      <c r="B894" t="s">
        <v>2</v>
      </c>
      <c r="C894" t="s">
        <v>81</v>
      </c>
      <c r="D894">
        <v>8</v>
      </c>
      <c r="E894">
        <v>2021</v>
      </c>
      <c r="F894" s="2">
        <f>DATE(Table1[[#This Row],[Tahun]],Table1[[#This Row],[Bulan]],1)</f>
        <v>44409</v>
      </c>
      <c r="G894">
        <v>1023</v>
      </c>
      <c r="H894">
        <v>1058</v>
      </c>
      <c r="I894" s="6">
        <f>(Table1[[#This Row],[Aktual]]-Table1[[#This Row],[Target]])</f>
        <v>-35</v>
      </c>
      <c r="J894" s="3">
        <f>(Table1[[#This Row],[Aktual]]-Table1[[#This Row],[Target]])/Table1[[#This Row],[Target]]</f>
        <v>-3.3081285444234401E-2</v>
      </c>
      <c r="K894" t="str">
        <f>IF(Table1[[#This Row],[Performance Gap (%)]]&lt;0,"Tidak mencapai target", IF(Table1[[#This Row],[Performance Gap (%)]]=0,"Mencapai target", "Melebihi Target"))</f>
        <v>Tidak mencapai target</v>
      </c>
      <c r="L894">
        <f>VLOOKUP(Table1[[#This Row],[Propinsi]]&amp;"_"&amp;Table1[[#This Row],[Dati 2]]&amp;"_"&amp;Table1[[#This Row],[Tanggal]],Table2[[#All],[Kompetitor area]:[Jumlah Kompetitor]],7,0)</f>
        <v>34</v>
      </c>
      <c r="M894">
        <f>Table1[[#This Row],[Aktual]]-Table1[[#This Row],[Jumlah Kompetitor]]</f>
        <v>989</v>
      </c>
      <c r="N894" t="str">
        <f>IF(Table1[[#This Row],[vs Kompetitor]]&gt;0,"Win", "Lose")</f>
        <v>Win</v>
      </c>
    </row>
    <row r="895" spans="1:14" x14ac:dyDescent="0.25">
      <c r="A895">
        <v>894</v>
      </c>
      <c r="B895" t="s">
        <v>2</v>
      </c>
      <c r="C895" t="s">
        <v>82</v>
      </c>
      <c r="D895">
        <v>8</v>
      </c>
      <c r="E895">
        <v>2021</v>
      </c>
      <c r="F895" s="2">
        <f>DATE(Table1[[#This Row],[Tahun]],Table1[[#This Row],[Bulan]],1)</f>
        <v>44409</v>
      </c>
      <c r="G895">
        <v>285</v>
      </c>
      <c r="H895">
        <v>260</v>
      </c>
      <c r="I895" s="6">
        <f>(Table1[[#This Row],[Aktual]]-Table1[[#This Row],[Target]])</f>
        <v>25</v>
      </c>
      <c r="J895" s="3">
        <f>(Table1[[#This Row],[Aktual]]-Table1[[#This Row],[Target]])/Table1[[#This Row],[Target]]</f>
        <v>9.6153846153846159E-2</v>
      </c>
      <c r="K895" t="str">
        <f>IF(Table1[[#This Row],[Performance Gap (%)]]&lt;0,"Tidak mencapai target", IF(Table1[[#This Row],[Performance Gap (%)]]=0,"Mencapai target", "Melebihi Target"))</f>
        <v>Melebihi Target</v>
      </c>
      <c r="L895">
        <f>VLOOKUP(Table1[[#This Row],[Propinsi]]&amp;"_"&amp;Table1[[#This Row],[Dati 2]]&amp;"_"&amp;Table1[[#This Row],[Tanggal]],Table2[[#All],[Kompetitor area]:[Jumlah Kompetitor]],7,0)</f>
        <v>36</v>
      </c>
      <c r="M895">
        <f>Table1[[#This Row],[Aktual]]-Table1[[#This Row],[Jumlah Kompetitor]]</f>
        <v>249</v>
      </c>
      <c r="N895" t="str">
        <f>IF(Table1[[#This Row],[vs Kompetitor]]&gt;0,"Win", "Lose")</f>
        <v>Win</v>
      </c>
    </row>
    <row r="896" spans="1:14" x14ac:dyDescent="0.25">
      <c r="A896">
        <v>895</v>
      </c>
      <c r="B896" t="s">
        <v>4</v>
      </c>
      <c r="C896" t="s">
        <v>83</v>
      </c>
      <c r="D896">
        <v>8</v>
      </c>
      <c r="E896">
        <v>2021</v>
      </c>
      <c r="F896" s="2">
        <f>DATE(Table1[[#This Row],[Tahun]],Table1[[#This Row],[Bulan]],1)</f>
        <v>44409</v>
      </c>
      <c r="G896">
        <v>149</v>
      </c>
      <c r="H896">
        <v>136</v>
      </c>
      <c r="I896" s="6">
        <f>(Table1[[#This Row],[Aktual]]-Table1[[#This Row],[Target]])</f>
        <v>13</v>
      </c>
      <c r="J896" s="3">
        <f>(Table1[[#This Row],[Aktual]]-Table1[[#This Row],[Target]])/Table1[[#This Row],[Target]]</f>
        <v>9.5588235294117641E-2</v>
      </c>
      <c r="K896" t="str">
        <f>IF(Table1[[#This Row],[Performance Gap (%)]]&lt;0,"Tidak mencapai target", IF(Table1[[#This Row],[Performance Gap (%)]]=0,"Mencapai target", "Melebihi Target"))</f>
        <v>Melebihi Target</v>
      </c>
      <c r="L896">
        <f>VLOOKUP(Table1[[#This Row],[Propinsi]]&amp;"_"&amp;Table1[[#This Row],[Dati 2]]&amp;"_"&amp;Table1[[#This Row],[Tanggal]],Table2[[#All],[Kompetitor area]:[Jumlah Kompetitor]],7,0)</f>
        <v>39</v>
      </c>
      <c r="M896">
        <f>Table1[[#This Row],[Aktual]]-Table1[[#This Row],[Jumlah Kompetitor]]</f>
        <v>110</v>
      </c>
      <c r="N896" t="str">
        <f>IF(Table1[[#This Row],[vs Kompetitor]]&gt;0,"Win", "Lose")</f>
        <v>Win</v>
      </c>
    </row>
    <row r="897" spans="1:14" x14ac:dyDescent="0.25">
      <c r="A897">
        <v>896</v>
      </c>
      <c r="B897" t="s">
        <v>4</v>
      </c>
      <c r="C897" t="s">
        <v>84</v>
      </c>
      <c r="D897">
        <v>8</v>
      </c>
      <c r="E897">
        <v>2021</v>
      </c>
      <c r="F897" s="2">
        <f>DATE(Table1[[#This Row],[Tahun]],Table1[[#This Row],[Bulan]],1)</f>
        <v>44409</v>
      </c>
      <c r="G897">
        <v>2008</v>
      </c>
      <c r="H897">
        <v>1757</v>
      </c>
      <c r="I897" s="6">
        <f>(Table1[[#This Row],[Aktual]]-Table1[[#This Row],[Target]])</f>
        <v>251</v>
      </c>
      <c r="J897" s="3">
        <f>(Table1[[#This Row],[Aktual]]-Table1[[#This Row],[Target]])/Table1[[#This Row],[Target]]</f>
        <v>0.14285714285714285</v>
      </c>
      <c r="K897" t="str">
        <f>IF(Table1[[#This Row],[Performance Gap (%)]]&lt;0,"Tidak mencapai target", IF(Table1[[#This Row],[Performance Gap (%)]]=0,"Mencapai target", "Melebihi Target"))</f>
        <v>Melebihi Target</v>
      </c>
      <c r="L897">
        <f>VLOOKUP(Table1[[#This Row],[Propinsi]]&amp;"_"&amp;Table1[[#This Row],[Dati 2]]&amp;"_"&amp;Table1[[#This Row],[Tanggal]],Table2[[#All],[Kompetitor area]:[Jumlah Kompetitor]],7,0)</f>
        <v>189</v>
      </c>
      <c r="M897">
        <f>Table1[[#This Row],[Aktual]]-Table1[[#This Row],[Jumlah Kompetitor]]</f>
        <v>1819</v>
      </c>
      <c r="N897" t="str">
        <f>IF(Table1[[#This Row],[vs Kompetitor]]&gt;0,"Win", "Lose")</f>
        <v>Win</v>
      </c>
    </row>
    <row r="898" spans="1:14" x14ac:dyDescent="0.25">
      <c r="A898">
        <v>897</v>
      </c>
      <c r="B898" t="s">
        <v>4</v>
      </c>
      <c r="C898" t="s">
        <v>85</v>
      </c>
      <c r="D898">
        <v>8</v>
      </c>
      <c r="E898">
        <v>2021</v>
      </c>
      <c r="F898" s="2">
        <f>DATE(Table1[[#This Row],[Tahun]],Table1[[#This Row],[Bulan]],1)</f>
        <v>44409</v>
      </c>
      <c r="G898">
        <v>1066</v>
      </c>
      <c r="H898">
        <v>908</v>
      </c>
      <c r="I898" s="6">
        <f>(Table1[[#This Row],[Aktual]]-Table1[[#This Row],[Target]])</f>
        <v>158</v>
      </c>
      <c r="J898" s="3">
        <f>(Table1[[#This Row],[Aktual]]-Table1[[#This Row],[Target]])/Table1[[#This Row],[Target]]</f>
        <v>0.17400881057268722</v>
      </c>
      <c r="K898" t="str">
        <f>IF(Table1[[#This Row],[Performance Gap (%)]]&lt;0,"Tidak mencapai target", IF(Table1[[#This Row],[Performance Gap (%)]]=0,"Mencapai target", "Melebihi Target"))</f>
        <v>Melebihi Target</v>
      </c>
      <c r="L898">
        <f>VLOOKUP(Table1[[#This Row],[Propinsi]]&amp;"_"&amp;Table1[[#This Row],[Dati 2]]&amp;"_"&amp;Table1[[#This Row],[Tanggal]],Table2[[#All],[Kompetitor area]:[Jumlah Kompetitor]],7,0)</f>
        <v>123</v>
      </c>
      <c r="M898">
        <f>Table1[[#This Row],[Aktual]]-Table1[[#This Row],[Jumlah Kompetitor]]</f>
        <v>943</v>
      </c>
      <c r="N898" t="str">
        <f>IF(Table1[[#This Row],[vs Kompetitor]]&gt;0,"Win", "Lose")</f>
        <v>Win</v>
      </c>
    </row>
    <row r="899" spans="1:14" x14ac:dyDescent="0.25">
      <c r="A899">
        <v>898</v>
      </c>
      <c r="B899" t="s">
        <v>4</v>
      </c>
      <c r="C899" t="s">
        <v>86</v>
      </c>
      <c r="D899">
        <v>8</v>
      </c>
      <c r="E899">
        <v>2021</v>
      </c>
      <c r="F899" s="2">
        <f>DATE(Table1[[#This Row],[Tahun]],Table1[[#This Row],[Bulan]],1)</f>
        <v>44409</v>
      </c>
      <c r="G899">
        <v>238</v>
      </c>
      <c r="H899">
        <v>199</v>
      </c>
      <c r="I899" s="6">
        <f>(Table1[[#This Row],[Aktual]]-Table1[[#This Row],[Target]])</f>
        <v>39</v>
      </c>
      <c r="J899" s="3">
        <f>(Table1[[#This Row],[Aktual]]-Table1[[#This Row],[Target]])/Table1[[#This Row],[Target]]</f>
        <v>0.19597989949748743</v>
      </c>
      <c r="K899" t="str">
        <f>IF(Table1[[#This Row],[Performance Gap (%)]]&lt;0,"Tidak mencapai target", IF(Table1[[#This Row],[Performance Gap (%)]]=0,"Mencapai target", "Melebihi Target"))</f>
        <v>Melebihi Target</v>
      </c>
      <c r="L899">
        <f>VLOOKUP(Table1[[#This Row],[Propinsi]]&amp;"_"&amp;Table1[[#This Row],[Dati 2]]&amp;"_"&amp;Table1[[#This Row],[Tanggal]],Table2[[#All],[Kompetitor area]:[Jumlah Kompetitor]],7,0)</f>
        <v>149</v>
      </c>
      <c r="M899">
        <f>Table1[[#This Row],[Aktual]]-Table1[[#This Row],[Jumlah Kompetitor]]</f>
        <v>89</v>
      </c>
      <c r="N899" t="str">
        <f>IF(Table1[[#This Row],[vs Kompetitor]]&gt;0,"Win", "Lose")</f>
        <v>Win</v>
      </c>
    </row>
    <row r="900" spans="1:14" x14ac:dyDescent="0.25">
      <c r="A900">
        <v>899</v>
      </c>
      <c r="B900" t="s">
        <v>4</v>
      </c>
      <c r="C900" t="s">
        <v>87</v>
      </c>
      <c r="D900">
        <v>8</v>
      </c>
      <c r="E900">
        <v>2021</v>
      </c>
      <c r="F900" s="2">
        <f>DATE(Table1[[#This Row],[Tahun]],Table1[[#This Row],[Bulan]],1)</f>
        <v>44409</v>
      </c>
      <c r="G900">
        <v>1252</v>
      </c>
      <c r="H900">
        <v>1356</v>
      </c>
      <c r="I900" s="6">
        <f>(Table1[[#This Row],[Aktual]]-Table1[[#This Row],[Target]])</f>
        <v>-104</v>
      </c>
      <c r="J900" s="3">
        <f>(Table1[[#This Row],[Aktual]]-Table1[[#This Row],[Target]])/Table1[[#This Row],[Target]]</f>
        <v>-7.6696165191740412E-2</v>
      </c>
      <c r="K900" t="str">
        <f>IF(Table1[[#This Row],[Performance Gap (%)]]&lt;0,"Tidak mencapai target", IF(Table1[[#This Row],[Performance Gap (%)]]=0,"Mencapai target", "Melebihi Target"))</f>
        <v>Tidak mencapai target</v>
      </c>
      <c r="L900">
        <f>VLOOKUP(Table1[[#This Row],[Propinsi]]&amp;"_"&amp;Table1[[#This Row],[Dati 2]]&amp;"_"&amp;Table1[[#This Row],[Tanggal]],Table2[[#All],[Kompetitor area]:[Jumlah Kompetitor]],7,0)</f>
        <v>133</v>
      </c>
      <c r="M900">
        <f>Table1[[#This Row],[Aktual]]-Table1[[#This Row],[Jumlah Kompetitor]]</f>
        <v>1119</v>
      </c>
      <c r="N900" t="str">
        <f>IF(Table1[[#This Row],[vs Kompetitor]]&gt;0,"Win", "Lose")</f>
        <v>Win</v>
      </c>
    </row>
    <row r="901" spans="1:14" x14ac:dyDescent="0.25">
      <c r="A901">
        <v>900</v>
      </c>
      <c r="B901" t="s">
        <v>4</v>
      </c>
      <c r="C901" t="s">
        <v>88</v>
      </c>
      <c r="D901">
        <v>8</v>
      </c>
      <c r="E901">
        <v>2021</v>
      </c>
      <c r="F901" s="2">
        <f>DATE(Table1[[#This Row],[Tahun]],Table1[[#This Row],[Bulan]],1)</f>
        <v>44409</v>
      </c>
      <c r="G901">
        <v>827</v>
      </c>
      <c r="H901">
        <v>876</v>
      </c>
      <c r="I901" s="6">
        <f>(Table1[[#This Row],[Aktual]]-Table1[[#This Row],[Target]])</f>
        <v>-49</v>
      </c>
      <c r="J901" s="3">
        <f>(Table1[[#This Row],[Aktual]]-Table1[[#This Row],[Target]])/Table1[[#This Row],[Target]]</f>
        <v>-5.5936073059360727E-2</v>
      </c>
      <c r="K901" t="str">
        <f>IF(Table1[[#This Row],[Performance Gap (%)]]&lt;0,"Tidak mencapai target", IF(Table1[[#This Row],[Performance Gap (%)]]=0,"Mencapai target", "Melebihi Target"))</f>
        <v>Tidak mencapai target</v>
      </c>
      <c r="L901">
        <f>VLOOKUP(Table1[[#This Row],[Propinsi]]&amp;"_"&amp;Table1[[#This Row],[Dati 2]]&amp;"_"&amp;Table1[[#This Row],[Tanggal]],Table2[[#All],[Kompetitor area]:[Jumlah Kompetitor]],7,0)</f>
        <v>96</v>
      </c>
      <c r="M901">
        <f>Table1[[#This Row],[Aktual]]-Table1[[#This Row],[Jumlah Kompetitor]]</f>
        <v>731</v>
      </c>
      <c r="N901" t="str">
        <f>IF(Table1[[#This Row],[vs Kompetitor]]&gt;0,"Win", "Lose")</f>
        <v>Win</v>
      </c>
    </row>
    <row r="902" spans="1:14" x14ac:dyDescent="0.25">
      <c r="A902">
        <v>901</v>
      </c>
      <c r="B902" t="s">
        <v>4</v>
      </c>
      <c r="C902" t="s">
        <v>89</v>
      </c>
      <c r="D902">
        <v>8</v>
      </c>
      <c r="E902">
        <v>2021</v>
      </c>
      <c r="F902" s="2">
        <f>DATE(Table1[[#This Row],[Tahun]],Table1[[#This Row],[Bulan]],1)</f>
        <v>44409</v>
      </c>
      <c r="G902">
        <v>585</v>
      </c>
      <c r="H902">
        <v>570</v>
      </c>
      <c r="I902" s="6">
        <f>(Table1[[#This Row],[Aktual]]-Table1[[#This Row],[Target]])</f>
        <v>15</v>
      </c>
      <c r="J902" s="3">
        <f>(Table1[[#This Row],[Aktual]]-Table1[[#This Row],[Target]])/Table1[[#This Row],[Target]]</f>
        <v>2.6315789473684209E-2</v>
      </c>
      <c r="K902" t="str">
        <f>IF(Table1[[#This Row],[Performance Gap (%)]]&lt;0,"Tidak mencapai target", IF(Table1[[#This Row],[Performance Gap (%)]]=0,"Mencapai target", "Melebihi Target"))</f>
        <v>Melebihi Target</v>
      </c>
      <c r="L902">
        <f>VLOOKUP(Table1[[#This Row],[Propinsi]]&amp;"_"&amp;Table1[[#This Row],[Dati 2]]&amp;"_"&amp;Table1[[#This Row],[Tanggal]],Table2[[#All],[Kompetitor area]:[Jumlah Kompetitor]],7,0)</f>
        <v>127</v>
      </c>
      <c r="M902">
        <f>Table1[[#This Row],[Aktual]]-Table1[[#This Row],[Jumlah Kompetitor]]</f>
        <v>458</v>
      </c>
      <c r="N902" t="str">
        <f>IF(Table1[[#This Row],[vs Kompetitor]]&gt;0,"Win", "Lose")</f>
        <v>Win</v>
      </c>
    </row>
    <row r="903" spans="1:14" x14ac:dyDescent="0.25">
      <c r="A903">
        <v>902</v>
      </c>
      <c r="B903" t="s">
        <v>4</v>
      </c>
      <c r="C903" t="s">
        <v>90</v>
      </c>
      <c r="D903">
        <v>8</v>
      </c>
      <c r="E903">
        <v>2021</v>
      </c>
      <c r="F903" s="2">
        <f>DATE(Table1[[#This Row],[Tahun]],Table1[[#This Row],[Bulan]],1)</f>
        <v>44409</v>
      </c>
      <c r="G903">
        <v>598</v>
      </c>
      <c r="H903">
        <v>521</v>
      </c>
      <c r="I903" s="6">
        <f>(Table1[[#This Row],[Aktual]]-Table1[[#This Row],[Target]])</f>
        <v>77</v>
      </c>
      <c r="J903" s="3">
        <f>(Table1[[#This Row],[Aktual]]-Table1[[#This Row],[Target]])/Table1[[#This Row],[Target]]</f>
        <v>0.14779270633397312</v>
      </c>
      <c r="K903" t="str">
        <f>IF(Table1[[#This Row],[Performance Gap (%)]]&lt;0,"Tidak mencapai target", IF(Table1[[#This Row],[Performance Gap (%)]]=0,"Mencapai target", "Melebihi Target"))</f>
        <v>Melebihi Target</v>
      </c>
      <c r="L903">
        <f>VLOOKUP(Table1[[#This Row],[Propinsi]]&amp;"_"&amp;Table1[[#This Row],[Dati 2]]&amp;"_"&amp;Table1[[#This Row],[Tanggal]],Table2[[#All],[Kompetitor area]:[Jumlah Kompetitor]],7,0)</f>
        <v>107</v>
      </c>
      <c r="M903">
        <f>Table1[[#This Row],[Aktual]]-Table1[[#This Row],[Jumlah Kompetitor]]</f>
        <v>491</v>
      </c>
      <c r="N903" t="str">
        <f>IF(Table1[[#This Row],[vs Kompetitor]]&gt;0,"Win", "Lose")</f>
        <v>Win</v>
      </c>
    </row>
    <row r="904" spans="1:14" x14ac:dyDescent="0.25">
      <c r="A904">
        <v>903</v>
      </c>
      <c r="B904" t="s">
        <v>4</v>
      </c>
      <c r="C904" t="s">
        <v>91</v>
      </c>
      <c r="D904">
        <v>8</v>
      </c>
      <c r="E904">
        <v>2021</v>
      </c>
      <c r="F904" s="2">
        <f>DATE(Table1[[#This Row],[Tahun]],Table1[[#This Row],[Bulan]],1)</f>
        <v>44409</v>
      </c>
      <c r="G904">
        <v>528</v>
      </c>
      <c r="H904">
        <v>491</v>
      </c>
      <c r="I904" s="6">
        <f>(Table1[[#This Row],[Aktual]]-Table1[[#This Row],[Target]])</f>
        <v>37</v>
      </c>
      <c r="J904" s="3">
        <f>(Table1[[#This Row],[Aktual]]-Table1[[#This Row],[Target]])/Table1[[#This Row],[Target]]</f>
        <v>7.5356415478615074E-2</v>
      </c>
      <c r="K904" t="str">
        <f>IF(Table1[[#This Row],[Performance Gap (%)]]&lt;0,"Tidak mencapai target", IF(Table1[[#This Row],[Performance Gap (%)]]=0,"Mencapai target", "Melebihi Target"))</f>
        <v>Melebihi Target</v>
      </c>
      <c r="L904">
        <f>VLOOKUP(Table1[[#This Row],[Propinsi]]&amp;"_"&amp;Table1[[#This Row],[Dati 2]]&amp;"_"&amp;Table1[[#This Row],[Tanggal]],Table2[[#All],[Kompetitor area]:[Jumlah Kompetitor]],7,0)</f>
        <v>127</v>
      </c>
      <c r="M904">
        <f>Table1[[#This Row],[Aktual]]-Table1[[#This Row],[Jumlah Kompetitor]]</f>
        <v>401</v>
      </c>
      <c r="N904" t="str">
        <f>IF(Table1[[#This Row],[vs Kompetitor]]&gt;0,"Win", "Lose")</f>
        <v>Win</v>
      </c>
    </row>
    <row r="905" spans="1:14" x14ac:dyDescent="0.25">
      <c r="A905">
        <v>904</v>
      </c>
      <c r="B905" t="s">
        <v>4</v>
      </c>
      <c r="C905" t="s">
        <v>92</v>
      </c>
      <c r="D905">
        <v>8</v>
      </c>
      <c r="E905">
        <v>2021</v>
      </c>
      <c r="F905" s="2">
        <f>DATE(Table1[[#This Row],[Tahun]],Table1[[#This Row],[Bulan]],1)</f>
        <v>44409</v>
      </c>
      <c r="G905">
        <v>605</v>
      </c>
      <c r="H905">
        <v>673</v>
      </c>
      <c r="I905" s="6">
        <f>(Table1[[#This Row],[Aktual]]-Table1[[#This Row],[Target]])</f>
        <v>-68</v>
      </c>
      <c r="J905" s="3">
        <f>(Table1[[#This Row],[Aktual]]-Table1[[#This Row],[Target]])/Table1[[#This Row],[Target]]</f>
        <v>-0.10104011887072809</v>
      </c>
      <c r="K905" t="str">
        <f>IF(Table1[[#This Row],[Performance Gap (%)]]&lt;0,"Tidak mencapai target", IF(Table1[[#This Row],[Performance Gap (%)]]=0,"Mencapai target", "Melebihi Target"))</f>
        <v>Tidak mencapai target</v>
      </c>
      <c r="L905">
        <f>VLOOKUP(Table1[[#This Row],[Propinsi]]&amp;"_"&amp;Table1[[#This Row],[Dati 2]]&amp;"_"&amp;Table1[[#This Row],[Tanggal]],Table2[[#All],[Kompetitor area]:[Jumlah Kompetitor]],7,0)</f>
        <v>121</v>
      </c>
      <c r="M905">
        <f>Table1[[#This Row],[Aktual]]-Table1[[#This Row],[Jumlah Kompetitor]]</f>
        <v>484</v>
      </c>
      <c r="N905" t="str">
        <f>IF(Table1[[#This Row],[vs Kompetitor]]&gt;0,"Win", "Lose")</f>
        <v>Win</v>
      </c>
    </row>
    <row r="906" spans="1:14" x14ac:dyDescent="0.25">
      <c r="A906">
        <v>905</v>
      </c>
      <c r="B906" t="s">
        <v>4</v>
      </c>
      <c r="C906" t="s">
        <v>93</v>
      </c>
      <c r="D906">
        <v>8</v>
      </c>
      <c r="E906">
        <v>2021</v>
      </c>
      <c r="F906" s="2">
        <f>DATE(Table1[[#This Row],[Tahun]],Table1[[#This Row],[Bulan]],1)</f>
        <v>44409</v>
      </c>
      <c r="G906">
        <v>360</v>
      </c>
      <c r="H906">
        <v>380</v>
      </c>
      <c r="I906" s="6">
        <f>(Table1[[#This Row],[Aktual]]-Table1[[#This Row],[Target]])</f>
        <v>-20</v>
      </c>
      <c r="J906" s="3">
        <f>(Table1[[#This Row],[Aktual]]-Table1[[#This Row],[Target]])/Table1[[#This Row],[Target]]</f>
        <v>-5.2631578947368418E-2</v>
      </c>
      <c r="K906" t="str">
        <f>IF(Table1[[#This Row],[Performance Gap (%)]]&lt;0,"Tidak mencapai target", IF(Table1[[#This Row],[Performance Gap (%)]]=0,"Mencapai target", "Melebihi Target"))</f>
        <v>Tidak mencapai target</v>
      </c>
      <c r="L906">
        <f>VLOOKUP(Table1[[#This Row],[Propinsi]]&amp;"_"&amp;Table1[[#This Row],[Dati 2]]&amp;"_"&amp;Table1[[#This Row],[Tanggal]],Table2[[#All],[Kompetitor area]:[Jumlah Kompetitor]],7,0)</f>
        <v>64</v>
      </c>
      <c r="M906">
        <f>Table1[[#This Row],[Aktual]]-Table1[[#This Row],[Jumlah Kompetitor]]</f>
        <v>296</v>
      </c>
      <c r="N906" t="str">
        <f>IF(Table1[[#This Row],[vs Kompetitor]]&gt;0,"Win", "Lose")</f>
        <v>Win</v>
      </c>
    </row>
    <row r="907" spans="1:14" x14ac:dyDescent="0.25">
      <c r="A907">
        <v>906</v>
      </c>
      <c r="B907" t="s">
        <v>4</v>
      </c>
      <c r="C907" t="s">
        <v>94</v>
      </c>
      <c r="D907">
        <v>8</v>
      </c>
      <c r="E907">
        <v>2021</v>
      </c>
      <c r="F907" s="2">
        <f>DATE(Table1[[#This Row],[Tahun]],Table1[[#This Row],[Bulan]],1)</f>
        <v>44409</v>
      </c>
      <c r="G907">
        <v>89</v>
      </c>
      <c r="H907">
        <v>94</v>
      </c>
      <c r="I907" s="6">
        <f>(Table1[[#This Row],[Aktual]]-Table1[[#This Row],[Target]])</f>
        <v>-5</v>
      </c>
      <c r="J907" s="3">
        <f>(Table1[[#This Row],[Aktual]]-Table1[[#This Row],[Target]])/Table1[[#This Row],[Target]]</f>
        <v>-5.3191489361702128E-2</v>
      </c>
      <c r="K907" t="str">
        <f>IF(Table1[[#This Row],[Performance Gap (%)]]&lt;0,"Tidak mencapai target", IF(Table1[[#This Row],[Performance Gap (%)]]=0,"Mencapai target", "Melebihi Target"))</f>
        <v>Tidak mencapai target</v>
      </c>
      <c r="L907">
        <f>VLOOKUP(Table1[[#This Row],[Propinsi]]&amp;"_"&amp;Table1[[#This Row],[Dati 2]]&amp;"_"&amp;Table1[[#This Row],[Tanggal]],Table2[[#All],[Kompetitor area]:[Jumlah Kompetitor]],7,0)</f>
        <v>67</v>
      </c>
      <c r="M907">
        <f>Table1[[#This Row],[Aktual]]-Table1[[#This Row],[Jumlah Kompetitor]]</f>
        <v>22</v>
      </c>
      <c r="N907" t="str">
        <f>IF(Table1[[#This Row],[vs Kompetitor]]&gt;0,"Win", "Lose")</f>
        <v>Win</v>
      </c>
    </row>
    <row r="908" spans="1:14" x14ac:dyDescent="0.25">
      <c r="A908">
        <v>907</v>
      </c>
      <c r="B908" t="s">
        <v>5</v>
      </c>
      <c r="C908" t="s">
        <v>95</v>
      </c>
      <c r="D908">
        <v>8</v>
      </c>
      <c r="E908">
        <v>2021</v>
      </c>
      <c r="F908" s="2">
        <f>DATE(Table1[[#This Row],[Tahun]],Table1[[#This Row],[Bulan]],1)</f>
        <v>44409</v>
      </c>
      <c r="G908">
        <v>698</v>
      </c>
      <c r="H908">
        <v>682</v>
      </c>
      <c r="I908" s="6">
        <f>(Table1[[#This Row],[Aktual]]-Table1[[#This Row],[Target]])</f>
        <v>16</v>
      </c>
      <c r="J908" s="3">
        <f>(Table1[[#This Row],[Aktual]]-Table1[[#This Row],[Target]])/Table1[[#This Row],[Target]]</f>
        <v>2.3460410557184751E-2</v>
      </c>
      <c r="K908" t="str">
        <f>IF(Table1[[#This Row],[Performance Gap (%)]]&lt;0,"Tidak mencapai target", IF(Table1[[#This Row],[Performance Gap (%)]]=0,"Mencapai target", "Melebihi Target"))</f>
        <v>Melebihi Target</v>
      </c>
      <c r="L908">
        <f>VLOOKUP(Table1[[#This Row],[Propinsi]]&amp;"_"&amp;Table1[[#This Row],[Dati 2]]&amp;"_"&amp;Table1[[#This Row],[Tanggal]],Table2[[#All],[Kompetitor area]:[Jumlah Kompetitor]],7,0)</f>
        <v>52</v>
      </c>
      <c r="M908">
        <f>Table1[[#This Row],[Aktual]]-Table1[[#This Row],[Jumlah Kompetitor]]</f>
        <v>646</v>
      </c>
      <c r="N908" t="str">
        <f>IF(Table1[[#This Row],[vs Kompetitor]]&gt;0,"Win", "Lose")</f>
        <v>Win</v>
      </c>
    </row>
    <row r="909" spans="1:14" x14ac:dyDescent="0.25">
      <c r="A909">
        <v>908</v>
      </c>
      <c r="B909" t="s">
        <v>5</v>
      </c>
      <c r="C909" t="s">
        <v>96</v>
      </c>
      <c r="D909">
        <v>8</v>
      </c>
      <c r="E909">
        <v>2021</v>
      </c>
      <c r="F909" s="2">
        <f>DATE(Table1[[#This Row],[Tahun]],Table1[[#This Row],[Bulan]],1)</f>
        <v>44409</v>
      </c>
      <c r="G909">
        <v>160</v>
      </c>
      <c r="H909">
        <v>131</v>
      </c>
      <c r="I909" s="6">
        <f>(Table1[[#This Row],[Aktual]]-Table1[[#This Row],[Target]])</f>
        <v>29</v>
      </c>
      <c r="J909" s="3">
        <f>(Table1[[#This Row],[Aktual]]-Table1[[#This Row],[Target]])/Table1[[#This Row],[Target]]</f>
        <v>0.22137404580152673</v>
      </c>
      <c r="K909" t="str">
        <f>IF(Table1[[#This Row],[Performance Gap (%)]]&lt;0,"Tidak mencapai target", IF(Table1[[#This Row],[Performance Gap (%)]]=0,"Mencapai target", "Melebihi Target"))</f>
        <v>Melebihi Target</v>
      </c>
      <c r="L909">
        <f>VLOOKUP(Table1[[#This Row],[Propinsi]]&amp;"_"&amp;Table1[[#This Row],[Dati 2]]&amp;"_"&amp;Table1[[#This Row],[Tanggal]],Table2[[#All],[Kompetitor area]:[Jumlah Kompetitor]],7,0)</f>
        <v>77</v>
      </c>
      <c r="M909">
        <f>Table1[[#This Row],[Aktual]]-Table1[[#This Row],[Jumlah Kompetitor]]</f>
        <v>83</v>
      </c>
      <c r="N909" t="str">
        <f>IF(Table1[[#This Row],[vs Kompetitor]]&gt;0,"Win", "Lose")</f>
        <v>Win</v>
      </c>
    </row>
    <row r="910" spans="1:14" x14ac:dyDescent="0.25">
      <c r="A910">
        <v>909</v>
      </c>
      <c r="B910" t="s">
        <v>5</v>
      </c>
      <c r="C910" t="s">
        <v>97</v>
      </c>
      <c r="D910">
        <v>8</v>
      </c>
      <c r="E910">
        <v>2021</v>
      </c>
      <c r="F910" s="2">
        <f>DATE(Table1[[#This Row],[Tahun]],Table1[[#This Row],[Bulan]],1)</f>
        <v>44409</v>
      </c>
      <c r="G910">
        <v>149</v>
      </c>
      <c r="H910">
        <v>145</v>
      </c>
      <c r="I910" s="6">
        <f>(Table1[[#This Row],[Aktual]]-Table1[[#This Row],[Target]])</f>
        <v>4</v>
      </c>
      <c r="J910" s="3">
        <f>(Table1[[#This Row],[Aktual]]-Table1[[#This Row],[Target]])/Table1[[#This Row],[Target]]</f>
        <v>2.7586206896551724E-2</v>
      </c>
      <c r="K910" t="str">
        <f>IF(Table1[[#This Row],[Performance Gap (%)]]&lt;0,"Tidak mencapai target", IF(Table1[[#This Row],[Performance Gap (%)]]=0,"Mencapai target", "Melebihi Target"))</f>
        <v>Melebihi Target</v>
      </c>
      <c r="L910">
        <f>VLOOKUP(Table1[[#This Row],[Propinsi]]&amp;"_"&amp;Table1[[#This Row],[Dati 2]]&amp;"_"&amp;Table1[[#This Row],[Tanggal]],Table2[[#All],[Kompetitor area]:[Jumlah Kompetitor]],7,0)</f>
        <v>107</v>
      </c>
      <c r="M910">
        <f>Table1[[#This Row],[Aktual]]-Table1[[#This Row],[Jumlah Kompetitor]]</f>
        <v>42</v>
      </c>
      <c r="N910" t="str">
        <f>IF(Table1[[#This Row],[vs Kompetitor]]&gt;0,"Win", "Lose")</f>
        <v>Win</v>
      </c>
    </row>
    <row r="911" spans="1:14" x14ac:dyDescent="0.25">
      <c r="A911">
        <v>910</v>
      </c>
      <c r="B911" t="s">
        <v>5</v>
      </c>
      <c r="C911" t="s">
        <v>98</v>
      </c>
      <c r="D911">
        <v>8</v>
      </c>
      <c r="E911">
        <v>2021</v>
      </c>
      <c r="F911" s="2">
        <f>DATE(Table1[[#This Row],[Tahun]],Table1[[#This Row],[Bulan]],1)</f>
        <v>44409</v>
      </c>
      <c r="G911">
        <v>458</v>
      </c>
      <c r="H911">
        <v>502</v>
      </c>
      <c r="I911" s="6">
        <f>(Table1[[#This Row],[Aktual]]-Table1[[#This Row],[Target]])</f>
        <v>-44</v>
      </c>
      <c r="J911" s="3">
        <f>(Table1[[#This Row],[Aktual]]-Table1[[#This Row],[Target]])/Table1[[#This Row],[Target]]</f>
        <v>-8.7649402390438252E-2</v>
      </c>
      <c r="K911" t="str">
        <f>IF(Table1[[#This Row],[Performance Gap (%)]]&lt;0,"Tidak mencapai target", IF(Table1[[#This Row],[Performance Gap (%)]]=0,"Mencapai target", "Melebihi Target"))</f>
        <v>Tidak mencapai target</v>
      </c>
      <c r="L911">
        <f>VLOOKUP(Table1[[#This Row],[Propinsi]]&amp;"_"&amp;Table1[[#This Row],[Dati 2]]&amp;"_"&amp;Table1[[#This Row],[Tanggal]],Table2[[#All],[Kompetitor area]:[Jumlah Kompetitor]],7,0)</f>
        <v>73</v>
      </c>
      <c r="M911">
        <f>Table1[[#This Row],[Aktual]]-Table1[[#This Row],[Jumlah Kompetitor]]</f>
        <v>385</v>
      </c>
      <c r="N911" t="str">
        <f>IF(Table1[[#This Row],[vs Kompetitor]]&gt;0,"Win", "Lose")</f>
        <v>Win</v>
      </c>
    </row>
    <row r="912" spans="1:14" x14ac:dyDescent="0.25">
      <c r="A912">
        <v>911</v>
      </c>
      <c r="B912" t="s">
        <v>5</v>
      </c>
      <c r="C912" t="s">
        <v>99</v>
      </c>
      <c r="D912">
        <v>8</v>
      </c>
      <c r="E912">
        <v>2021</v>
      </c>
      <c r="F912" s="2">
        <f>DATE(Table1[[#This Row],[Tahun]],Table1[[#This Row],[Bulan]],1)</f>
        <v>44409</v>
      </c>
      <c r="G912">
        <v>724</v>
      </c>
      <c r="H912">
        <v>669</v>
      </c>
      <c r="I912" s="6">
        <f>(Table1[[#This Row],[Aktual]]-Table1[[#This Row],[Target]])</f>
        <v>55</v>
      </c>
      <c r="J912" s="3">
        <f>(Table1[[#This Row],[Aktual]]-Table1[[#This Row],[Target]])/Table1[[#This Row],[Target]]</f>
        <v>8.2212257100149483E-2</v>
      </c>
      <c r="K912" t="str">
        <f>IF(Table1[[#This Row],[Performance Gap (%)]]&lt;0,"Tidak mencapai target", IF(Table1[[#This Row],[Performance Gap (%)]]=0,"Mencapai target", "Melebihi Target"))</f>
        <v>Melebihi Target</v>
      </c>
      <c r="L912">
        <f>VLOOKUP(Table1[[#This Row],[Propinsi]]&amp;"_"&amp;Table1[[#This Row],[Dati 2]]&amp;"_"&amp;Table1[[#This Row],[Tanggal]],Table2[[#All],[Kompetitor area]:[Jumlah Kompetitor]],7,0)</f>
        <v>78</v>
      </c>
      <c r="M912">
        <f>Table1[[#This Row],[Aktual]]-Table1[[#This Row],[Jumlah Kompetitor]]</f>
        <v>646</v>
      </c>
      <c r="N912" t="str">
        <f>IF(Table1[[#This Row],[vs Kompetitor]]&gt;0,"Win", "Lose")</f>
        <v>Win</v>
      </c>
    </row>
    <row r="913" spans="1:14" x14ac:dyDescent="0.25">
      <c r="A913">
        <v>912</v>
      </c>
      <c r="B913" t="s">
        <v>5</v>
      </c>
      <c r="C913" t="s">
        <v>100</v>
      </c>
      <c r="D913">
        <v>8</v>
      </c>
      <c r="E913">
        <v>2021</v>
      </c>
      <c r="F913" s="2">
        <f>DATE(Table1[[#This Row],[Tahun]],Table1[[#This Row],[Bulan]],1)</f>
        <v>44409</v>
      </c>
      <c r="G913">
        <v>201</v>
      </c>
      <c r="H913">
        <v>204</v>
      </c>
      <c r="I913" s="6">
        <f>(Table1[[#This Row],[Aktual]]-Table1[[#This Row],[Target]])</f>
        <v>-3</v>
      </c>
      <c r="J913" s="3">
        <f>(Table1[[#This Row],[Aktual]]-Table1[[#This Row],[Target]])/Table1[[#This Row],[Target]]</f>
        <v>-1.4705882352941176E-2</v>
      </c>
      <c r="K913" t="str">
        <f>IF(Table1[[#This Row],[Performance Gap (%)]]&lt;0,"Tidak mencapai target", IF(Table1[[#This Row],[Performance Gap (%)]]=0,"Mencapai target", "Melebihi Target"))</f>
        <v>Tidak mencapai target</v>
      </c>
      <c r="L913">
        <f>VLOOKUP(Table1[[#This Row],[Propinsi]]&amp;"_"&amp;Table1[[#This Row],[Dati 2]]&amp;"_"&amp;Table1[[#This Row],[Tanggal]],Table2[[#All],[Kompetitor area]:[Jumlah Kompetitor]],7,0)</f>
        <v>157</v>
      </c>
      <c r="M913">
        <f>Table1[[#This Row],[Aktual]]-Table1[[#This Row],[Jumlah Kompetitor]]</f>
        <v>44</v>
      </c>
      <c r="N913" t="str">
        <f>IF(Table1[[#This Row],[vs Kompetitor]]&gt;0,"Win", "Lose")</f>
        <v>Win</v>
      </c>
    </row>
    <row r="914" spans="1:14" x14ac:dyDescent="0.25">
      <c r="A914">
        <v>913</v>
      </c>
      <c r="B914" t="s">
        <v>5</v>
      </c>
      <c r="C914" t="s">
        <v>101</v>
      </c>
      <c r="D914">
        <v>8</v>
      </c>
      <c r="E914">
        <v>2021</v>
      </c>
      <c r="F914" s="2">
        <f>DATE(Table1[[#This Row],[Tahun]],Table1[[#This Row],[Bulan]],1)</f>
        <v>44409</v>
      </c>
      <c r="G914">
        <v>1093</v>
      </c>
      <c r="H914">
        <v>1000</v>
      </c>
      <c r="I914" s="6">
        <f>(Table1[[#This Row],[Aktual]]-Table1[[#This Row],[Target]])</f>
        <v>93</v>
      </c>
      <c r="J914" s="3">
        <f>(Table1[[#This Row],[Aktual]]-Table1[[#This Row],[Target]])/Table1[[#This Row],[Target]]</f>
        <v>9.2999999999999999E-2</v>
      </c>
      <c r="K914" t="str">
        <f>IF(Table1[[#This Row],[Performance Gap (%)]]&lt;0,"Tidak mencapai target", IF(Table1[[#This Row],[Performance Gap (%)]]=0,"Mencapai target", "Melebihi Target"))</f>
        <v>Melebihi Target</v>
      </c>
      <c r="L914">
        <f>VLOOKUP(Table1[[#This Row],[Propinsi]]&amp;"_"&amp;Table1[[#This Row],[Dati 2]]&amp;"_"&amp;Table1[[#This Row],[Tanggal]],Table2[[#All],[Kompetitor area]:[Jumlah Kompetitor]],7,0)</f>
        <v>105</v>
      </c>
      <c r="M914">
        <f>Table1[[#This Row],[Aktual]]-Table1[[#This Row],[Jumlah Kompetitor]]</f>
        <v>988</v>
      </c>
      <c r="N914" t="str">
        <f>IF(Table1[[#This Row],[vs Kompetitor]]&gt;0,"Win", "Lose")</f>
        <v>Win</v>
      </c>
    </row>
    <row r="915" spans="1:14" x14ac:dyDescent="0.25">
      <c r="A915">
        <v>914</v>
      </c>
      <c r="B915" t="s">
        <v>5</v>
      </c>
      <c r="C915" t="s">
        <v>102</v>
      </c>
      <c r="D915">
        <v>8</v>
      </c>
      <c r="E915">
        <v>2021</v>
      </c>
      <c r="F915" s="2">
        <f>DATE(Table1[[#This Row],[Tahun]],Table1[[#This Row],[Bulan]],1)</f>
        <v>44409</v>
      </c>
      <c r="G915">
        <v>776</v>
      </c>
      <c r="H915">
        <v>708</v>
      </c>
      <c r="I915" s="6">
        <f>(Table1[[#This Row],[Aktual]]-Table1[[#This Row],[Target]])</f>
        <v>68</v>
      </c>
      <c r="J915" s="3">
        <f>(Table1[[#This Row],[Aktual]]-Table1[[#This Row],[Target]])/Table1[[#This Row],[Target]]</f>
        <v>9.6045197740112997E-2</v>
      </c>
      <c r="K915" t="str">
        <f>IF(Table1[[#This Row],[Performance Gap (%)]]&lt;0,"Tidak mencapai target", IF(Table1[[#This Row],[Performance Gap (%)]]=0,"Mencapai target", "Melebihi Target"))</f>
        <v>Melebihi Target</v>
      </c>
      <c r="L915">
        <f>VLOOKUP(Table1[[#This Row],[Propinsi]]&amp;"_"&amp;Table1[[#This Row],[Dati 2]]&amp;"_"&amp;Table1[[#This Row],[Tanggal]],Table2[[#All],[Kompetitor area]:[Jumlah Kompetitor]],7,0)</f>
        <v>151</v>
      </c>
      <c r="M915">
        <f>Table1[[#This Row],[Aktual]]-Table1[[#This Row],[Jumlah Kompetitor]]</f>
        <v>625</v>
      </c>
      <c r="N915" t="str">
        <f>IF(Table1[[#This Row],[vs Kompetitor]]&gt;0,"Win", "Lose")</f>
        <v>Win</v>
      </c>
    </row>
    <row r="916" spans="1:14" x14ac:dyDescent="0.25">
      <c r="A916">
        <v>915</v>
      </c>
      <c r="B916" t="s">
        <v>5</v>
      </c>
      <c r="C916" t="s">
        <v>103</v>
      </c>
      <c r="D916">
        <v>8</v>
      </c>
      <c r="E916">
        <v>2021</v>
      </c>
      <c r="F916" s="2">
        <f>DATE(Table1[[#This Row],[Tahun]],Table1[[#This Row],[Bulan]],1)</f>
        <v>44409</v>
      </c>
      <c r="G916">
        <v>1444</v>
      </c>
      <c r="H916">
        <v>1462</v>
      </c>
      <c r="I916" s="6">
        <f>(Table1[[#This Row],[Aktual]]-Table1[[#This Row],[Target]])</f>
        <v>-18</v>
      </c>
      <c r="J916" s="3">
        <f>(Table1[[#This Row],[Aktual]]-Table1[[#This Row],[Target]])/Table1[[#This Row],[Target]]</f>
        <v>-1.2311901504787962E-2</v>
      </c>
      <c r="K916" t="str">
        <f>IF(Table1[[#This Row],[Performance Gap (%)]]&lt;0,"Tidak mencapai target", IF(Table1[[#This Row],[Performance Gap (%)]]=0,"Mencapai target", "Melebihi Target"))</f>
        <v>Tidak mencapai target</v>
      </c>
      <c r="L916">
        <f>VLOOKUP(Table1[[#This Row],[Propinsi]]&amp;"_"&amp;Table1[[#This Row],[Dati 2]]&amp;"_"&amp;Table1[[#This Row],[Tanggal]],Table2[[#All],[Kompetitor area]:[Jumlah Kompetitor]],7,0)</f>
        <v>94</v>
      </c>
      <c r="M916">
        <f>Table1[[#This Row],[Aktual]]-Table1[[#This Row],[Jumlah Kompetitor]]</f>
        <v>1350</v>
      </c>
      <c r="N916" t="str">
        <f>IF(Table1[[#This Row],[vs Kompetitor]]&gt;0,"Win", "Lose")</f>
        <v>Win</v>
      </c>
    </row>
    <row r="917" spans="1:14" x14ac:dyDescent="0.25">
      <c r="A917">
        <v>916</v>
      </c>
      <c r="B917" t="s">
        <v>5</v>
      </c>
      <c r="C917" t="s">
        <v>104</v>
      </c>
      <c r="D917">
        <v>8</v>
      </c>
      <c r="E917">
        <v>2021</v>
      </c>
      <c r="F917" s="2">
        <f>DATE(Table1[[#This Row],[Tahun]],Table1[[#This Row],[Bulan]],1)</f>
        <v>44409</v>
      </c>
      <c r="G917">
        <v>1590</v>
      </c>
      <c r="H917">
        <v>1444</v>
      </c>
      <c r="I917" s="6">
        <f>(Table1[[#This Row],[Aktual]]-Table1[[#This Row],[Target]])</f>
        <v>146</v>
      </c>
      <c r="J917" s="3">
        <f>(Table1[[#This Row],[Aktual]]-Table1[[#This Row],[Target]])/Table1[[#This Row],[Target]]</f>
        <v>0.10110803324099724</v>
      </c>
      <c r="K917" t="str">
        <f>IF(Table1[[#This Row],[Performance Gap (%)]]&lt;0,"Tidak mencapai target", IF(Table1[[#This Row],[Performance Gap (%)]]=0,"Mencapai target", "Melebihi Target"))</f>
        <v>Melebihi Target</v>
      </c>
      <c r="L917">
        <f>VLOOKUP(Table1[[#This Row],[Propinsi]]&amp;"_"&amp;Table1[[#This Row],[Dati 2]]&amp;"_"&amp;Table1[[#This Row],[Tanggal]],Table2[[#All],[Kompetitor area]:[Jumlah Kompetitor]],7,0)</f>
        <v>148</v>
      </c>
      <c r="M917">
        <f>Table1[[#This Row],[Aktual]]-Table1[[#This Row],[Jumlah Kompetitor]]</f>
        <v>1442</v>
      </c>
      <c r="N917" t="str">
        <f>IF(Table1[[#This Row],[vs Kompetitor]]&gt;0,"Win", "Lose")</f>
        <v>Win</v>
      </c>
    </row>
    <row r="918" spans="1:14" x14ac:dyDescent="0.25">
      <c r="A918">
        <v>917</v>
      </c>
      <c r="B918" t="s">
        <v>5</v>
      </c>
      <c r="C918" t="s">
        <v>105</v>
      </c>
      <c r="D918">
        <v>8</v>
      </c>
      <c r="E918">
        <v>2021</v>
      </c>
      <c r="F918" s="2">
        <f>DATE(Table1[[#This Row],[Tahun]],Table1[[#This Row],[Bulan]],1)</f>
        <v>44409</v>
      </c>
      <c r="G918">
        <v>559</v>
      </c>
      <c r="H918">
        <v>500</v>
      </c>
      <c r="I918" s="6">
        <f>(Table1[[#This Row],[Aktual]]-Table1[[#This Row],[Target]])</f>
        <v>59</v>
      </c>
      <c r="J918" s="3">
        <f>(Table1[[#This Row],[Aktual]]-Table1[[#This Row],[Target]])/Table1[[#This Row],[Target]]</f>
        <v>0.11799999999999999</v>
      </c>
      <c r="K918" t="str">
        <f>IF(Table1[[#This Row],[Performance Gap (%)]]&lt;0,"Tidak mencapai target", IF(Table1[[#This Row],[Performance Gap (%)]]=0,"Mencapai target", "Melebihi Target"))</f>
        <v>Melebihi Target</v>
      </c>
      <c r="L918">
        <f>VLOOKUP(Table1[[#This Row],[Propinsi]]&amp;"_"&amp;Table1[[#This Row],[Dati 2]]&amp;"_"&amp;Table1[[#This Row],[Tanggal]],Table2[[#All],[Kompetitor area]:[Jumlah Kompetitor]],7,0)</f>
        <v>91</v>
      </c>
      <c r="M918">
        <f>Table1[[#This Row],[Aktual]]-Table1[[#This Row],[Jumlah Kompetitor]]</f>
        <v>468</v>
      </c>
      <c r="N918" t="str">
        <f>IF(Table1[[#This Row],[vs Kompetitor]]&gt;0,"Win", "Lose")</f>
        <v>Win</v>
      </c>
    </row>
    <row r="919" spans="1:14" x14ac:dyDescent="0.25">
      <c r="A919">
        <v>918</v>
      </c>
      <c r="B919" t="s">
        <v>5</v>
      </c>
      <c r="C919" t="s">
        <v>106</v>
      </c>
      <c r="D919">
        <v>8</v>
      </c>
      <c r="E919">
        <v>2021</v>
      </c>
      <c r="F919" s="2">
        <f>DATE(Table1[[#This Row],[Tahun]],Table1[[#This Row],[Bulan]],1)</f>
        <v>44409</v>
      </c>
      <c r="G919">
        <v>472</v>
      </c>
      <c r="H919">
        <v>500</v>
      </c>
      <c r="I919" s="6">
        <f>(Table1[[#This Row],[Aktual]]-Table1[[#This Row],[Target]])</f>
        <v>-28</v>
      </c>
      <c r="J919" s="3">
        <f>(Table1[[#This Row],[Aktual]]-Table1[[#This Row],[Target]])/Table1[[#This Row],[Target]]</f>
        <v>-5.6000000000000001E-2</v>
      </c>
      <c r="K919" t="str">
        <f>IF(Table1[[#This Row],[Performance Gap (%)]]&lt;0,"Tidak mencapai target", IF(Table1[[#This Row],[Performance Gap (%)]]=0,"Mencapai target", "Melebihi Target"))</f>
        <v>Tidak mencapai target</v>
      </c>
      <c r="L919">
        <f>VLOOKUP(Table1[[#This Row],[Propinsi]]&amp;"_"&amp;Table1[[#This Row],[Dati 2]]&amp;"_"&amp;Table1[[#This Row],[Tanggal]],Table2[[#All],[Kompetitor area]:[Jumlah Kompetitor]],7,0)</f>
        <v>69</v>
      </c>
      <c r="M919">
        <f>Table1[[#This Row],[Aktual]]-Table1[[#This Row],[Jumlah Kompetitor]]</f>
        <v>403</v>
      </c>
      <c r="N919" t="str">
        <f>IF(Table1[[#This Row],[vs Kompetitor]]&gt;0,"Win", "Lose")</f>
        <v>Win</v>
      </c>
    </row>
    <row r="920" spans="1:14" x14ac:dyDescent="0.25">
      <c r="A920">
        <v>919</v>
      </c>
      <c r="B920" t="s">
        <v>5</v>
      </c>
      <c r="C920" t="s">
        <v>107</v>
      </c>
      <c r="D920">
        <v>8</v>
      </c>
      <c r="E920">
        <v>2021</v>
      </c>
      <c r="F920" s="2">
        <f>DATE(Table1[[#This Row],[Tahun]],Table1[[#This Row],[Bulan]],1)</f>
        <v>44409</v>
      </c>
      <c r="G920">
        <v>596</v>
      </c>
      <c r="H920">
        <v>520</v>
      </c>
      <c r="I920" s="6">
        <f>(Table1[[#This Row],[Aktual]]-Table1[[#This Row],[Target]])</f>
        <v>76</v>
      </c>
      <c r="J920" s="3">
        <f>(Table1[[#This Row],[Aktual]]-Table1[[#This Row],[Target]])/Table1[[#This Row],[Target]]</f>
        <v>0.14615384615384616</v>
      </c>
      <c r="K920" t="str">
        <f>IF(Table1[[#This Row],[Performance Gap (%)]]&lt;0,"Tidak mencapai target", IF(Table1[[#This Row],[Performance Gap (%)]]=0,"Mencapai target", "Melebihi Target"))</f>
        <v>Melebihi Target</v>
      </c>
      <c r="L920">
        <f>VLOOKUP(Table1[[#This Row],[Propinsi]]&amp;"_"&amp;Table1[[#This Row],[Dati 2]]&amp;"_"&amp;Table1[[#This Row],[Tanggal]],Table2[[#All],[Kompetitor area]:[Jumlah Kompetitor]],7,0)</f>
        <v>122</v>
      </c>
      <c r="M920">
        <f>Table1[[#This Row],[Aktual]]-Table1[[#This Row],[Jumlah Kompetitor]]</f>
        <v>474</v>
      </c>
      <c r="N920" t="str">
        <f>IF(Table1[[#This Row],[vs Kompetitor]]&gt;0,"Win", "Lose")</f>
        <v>Win</v>
      </c>
    </row>
    <row r="921" spans="1:14" x14ac:dyDescent="0.25">
      <c r="A921">
        <v>920</v>
      </c>
      <c r="B921" t="s">
        <v>5</v>
      </c>
      <c r="C921" t="s">
        <v>108</v>
      </c>
      <c r="D921">
        <v>8</v>
      </c>
      <c r="E921">
        <v>2021</v>
      </c>
      <c r="F921" s="2">
        <f>DATE(Table1[[#This Row],[Tahun]],Table1[[#This Row],[Bulan]],1)</f>
        <v>44409</v>
      </c>
      <c r="G921">
        <v>1214</v>
      </c>
      <c r="H921">
        <v>1043</v>
      </c>
      <c r="I921" s="6">
        <f>(Table1[[#This Row],[Aktual]]-Table1[[#This Row],[Target]])</f>
        <v>171</v>
      </c>
      <c r="J921" s="3">
        <f>(Table1[[#This Row],[Aktual]]-Table1[[#This Row],[Target]])/Table1[[#This Row],[Target]]</f>
        <v>0.16395014381591563</v>
      </c>
      <c r="K921" t="str">
        <f>IF(Table1[[#This Row],[Performance Gap (%)]]&lt;0,"Tidak mencapai target", IF(Table1[[#This Row],[Performance Gap (%)]]=0,"Mencapai target", "Melebihi Target"))</f>
        <v>Melebihi Target</v>
      </c>
      <c r="L921">
        <f>VLOOKUP(Table1[[#This Row],[Propinsi]]&amp;"_"&amp;Table1[[#This Row],[Dati 2]]&amp;"_"&amp;Table1[[#This Row],[Tanggal]],Table2[[#All],[Kompetitor area]:[Jumlah Kompetitor]],7,0)</f>
        <v>90</v>
      </c>
      <c r="M921">
        <f>Table1[[#This Row],[Aktual]]-Table1[[#This Row],[Jumlah Kompetitor]]</f>
        <v>1124</v>
      </c>
      <c r="N921" t="str">
        <f>IF(Table1[[#This Row],[vs Kompetitor]]&gt;0,"Win", "Lose")</f>
        <v>Win</v>
      </c>
    </row>
    <row r="922" spans="1:14" x14ac:dyDescent="0.25">
      <c r="A922">
        <v>921</v>
      </c>
      <c r="B922" t="s">
        <v>5</v>
      </c>
      <c r="C922" t="s">
        <v>109</v>
      </c>
      <c r="D922">
        <v>8</v>
      </c>
      <c r="E922">
        <v>2021</v>
      </c>
      <c r="F922" s="2">
        <f>DATE(Table1[[#This Row],[Tahun]],Table1[[#This Row],[Bulan]],1)</f>
        <v>44409</v>
      </c>
      <c r="G922">
        <v>1143</v>
      </c>
      <c r="H922">
        <v>1001</v>
      </c>
      <c r="I922" s="6">
        <f>(Table1[[#This Row],[Aktual]]-Table1[[#This Row],[Target]])</f>
        <v>142</v>
      </c>
      <c r="J922" s="3">
        <f>(Table1[[#This Row],[Aktual]]-Table1[[#This Row],[Target]])/Table1[[#This Row],[Target]]</f>
        <v>0.14185814185814186</v>
      </c>
      <c r="K922" t="str">
        <f>IF(Table1[[#This Row],[Performance Gap (%)]]&lt;0,"Tidak mencapai target", IF(Table1[[#This Row],[Performance Gap (%)]]=0,"Mencapai target", "Melebihi Target"))</f>
        <v>Melebihi Target</v>
      </c>
      <c r="L922">
        <f>VLOOKUP(Table1[[#This Row],[Propinsi]]&amp;"_"&amp;Table1[[#This Row],[Dati 2]]&amp;"_"&amp;Table1[[#This Row],[Tanggal]],Table2[[#All],[Kompetitor area]:[Jumlah Kompetitor]],7,0)</f>
        <v>171</v>
      </c>
      <c r="M922">
        <f>Table1[[#This Row],[Aktual]]-Table1[[#This Row],[Jumlah Kompetitor]]</f>
        <v>972</v>
      </c>
      <c r="N922" t="str">
        <f>IF(Table1[[#This Row],[vs Kompetitor]]&gt;0,"Win", "Lose")</f>
        <v>Win</v>
      </c>
    </row>
    <row r="923" spans="1:14" x14ac:dyDescent="0.25">
      <c r="A923">
        <v>922</v>
      </c>
      <c r="B923" t="s">
        <v>5</v>
      </c>
      <c r="C923" t="s">
        <v>110</v>
      </c>
      <c r="D923">
        <v>8</v>
      </c>
      <c r="E923">
        <v>2021</v>
      </c>
      <c r="F923" s="2">
        <f>DATE(Table1[[#This Row],[Tahun]],Table1[[#This Row],[Bulan]],1)</f>
        <v>44409</v>
      </c>
      <c r="G923">
        <v>713</v>
      </c>
      <c r="H923">
        <v>656</v>
      </c>
      <c r="I923" s="6">
        <f>(Table1[[#This Row],[Aktual]]-Table1[[#This Row],[Target]])</f>
        <v>57</v>
      </c>
      <c r="J923" s="3">
        <f>(Table1[[#This Row],[Aktual]]-Table1[[#This Row],[Target]])/Table1[[#This Row],[Target]]</f>
        <v>8.6890243902439018E-2</v>
      </c>
      <c r="K923" t="str">
        <f>IF(Table1[[#This Row],[Performance Gap (%)]]&lt;0,"Tidak mencapai target", IF(Table1[[#This Row],[Performance Gap (%)]]=0,"Mencapai target", "Melebihi Target"))</f>
        <v>Melebihi Target</v>
      </c>
      <c r="L923">
        <f>VLOOKUP(Table1[[#This Row],[Propinsi]]&amp;"_"&amp;Table1[[#This Row],[Dati 2]]&amp;"_"&amp;Table1[[#This Row],[Tanggal]],Table2[[#All],[Kompetitor area]:[Jumlah Kompetitor]],7,0)</f>
        <v>81</v>
      </c>
      <c r="M923">
        <f>Table1[[#This Row],[Aktual]]-Table1[[#This Row],[Jumlah Kompetitor]]</f>
        <v>632</v>
      </c>
      <c r="N923" t="str">
        <f>IF(Table1[[#This Row],[vs Kompetitor]]&gt;0,"Win", "Lose")</f>
        <v>Win</v>
      </c>
    </row>
    <row r="924" spans="1:14" x14ac:dyDescent="0.25">
      <c r="A924">
        <v>923</v>
      </c>
      <c r="B924" t="s">
        <v>5</v>
      </c>
      <c r="C924" t="s">
        <v>111</v>
      </c>
      <c r="D924">
        <v>8</v>
      </c>
      <c r="E924">
        <v>2021</v>
      </c>
      <c r="F924" s="2">
        <f>DATE(Table1[[#This Row],[Tahun]],Table1[[#This Row],[Bulan]],1)</f>
        <v>44409</v>
      </c>
      <c r="G924">
        <v>507</v>
      </c>
      <c r="H924">
        <v>579</v>
      </c>
      <c r="I924" s="6">
        <f>(Table1[[#This Row],[Aktual]]-Table1[[#This Row],[Target]])</f>
        <v>-72</v>
      </c>
      <c r="J924" s="3">
        <f>(Table1[[#This Row],[Aktual]]-Table1[[#This Row],[Target]])/Table1[[#This Row],[Target]]</f>
        <v>-0.12435233160621761</v>
      </c>
      <c r="K924" t="str">
        <f>IF(Table1[[#This Row],[Performance Gap (%)]]&lt;0,"Tidak mencapai target", IF(Table1[[#This Row],[Performance Gap (%)]]=0,"Mencapai target", "Melebihi Target"))</f>
        <v>Tidak mencapai target</v>
      </c>
      <c r="L924">
        <f>VLOOKUP(Table1[[#This Row],[Propinsi]]&amp;"_"&amp;Table1[[#This Row],[Dati 2]]&amp;"_"&amp;Table1[[#This Row],[Tanggal]],Table2[[#All],[Kompetitor area]:[Jumlah Kompetitor]],7,0)</f>
        <v>87</v>
      </c>
      <c r="M924">
        <f>Table1[[#This Row],[Aktual]]-Table1[[#This Row],[Jumlah Kompetitor]]</f>
        <v>420</v>
      </c>
      <c r="N924" t="str">
        <f>IF(Table1[[#This Row],[vs Kompetitor]]&gt;0,"Win", "Lose")</f>
        <v>Win</v>
      </c>
    </row>
    <row r="925" spans="1:14" x14ac:dyDescent="0.25">
      <c r="A925">
        <v>924</v>
      </c>
      <c r="B925" t="s">
        <v>5</v>
      </c>
      <c r="C925" t="s">
        <v>112</v>
      </c>
      <c r="D925">
        <v>8</v>
      </c>
      <c r="E925">
        <v>2021</v>
      </c>
      <c r="F925" s="2">
        <f>DATE(Table1[[#This Row],[Tahun]],Table1[[#This Row],[Bulan]],1)</f>
        <v>44409</v>
      </c>
      <c r="G925">
        <v>308</v>
      </c>
      <c r="H925">
        <v>297</v>
      </c>
      <c r="I925" s="6">
        <f>(Table1[[#This Row],[Aktual]]-Table1[[#This Row],[Target]])</f>
        <v>11</v>
      </c>
      <c r="J925" s="3">
        <f>(Table1[[#This Row],[Aktual]]-Table1[[#This Row],[Target]])/Table1[[#This Row],[Target]]</f>
        <v>3.7037037037037035E-2</v>
      </c>
      <c r="K925" t="str">
        <f>IF(Table1[[#This Row],[Performance Gap (%)]]&lt;0,"Tidak mencapai target", IF(Table1[[#This Row],[Performance Gap (%)]]=0,"Mencapai target", "Melebihi Target"))</f>
        <v>Melebihi Target</v>
      </c>
      <c r="L925">
        <f>VLOOKUP(Table1[[#This Row],[Propinsi]]&amp;"_"&amp;Table1[[#This Row],[Dati 2]]&amp;"_"&amp;Table1[[#This Row],[Tanggal]],Table2[[#All],[Kompetitor area]:[Jumlah Kompetitor]],7,0)</f>
        <v>56</v>
      </c>
      <c r="M925">
        <f>Table1[[#This Row],[Aktual]]-Table1[[#This Row],[Jumlah Kompetitor]]</f>
        <v>252</v>
      </c>
      <c r="N925" t="str">
        <f>IF(Table1[[#This Row],[vs Kompetitor]]&gt;0,"Win", "Lose")</f>
        <v>Win</v>
      </c>
    </row>
    <row r="926" spans="1:14" x14ac:dyDescent="0.25">
      <c r="A926">
        <v>925</v>
      </c>
      <c r="B926" t="s">
        <v>5</v>
      </c>
      <c r="C926" t="s">
        <v>113</v>
      </c>
      <c r="D926">
        <v>8</v>
      </c>
      <c r="E926">
        <v>2021</v>
      </c>
      <c r="F926" s="2">
        <f>DATE(Table1[[#This Row],[Tahun]],Table1[[#This Row],[Bulan]],1)</f>
        <v>44409</v>
      </c>
      <c r="G926">
        <v>853</v>
      </c>
      <c r="H926">
        <v>731</v>
      </c>
      <c r="I926" s="6">
        <f>(Table1[[#This Row],[Aktual]]-Table1[[#This Row],[Target]])</f>
        <v>122</v>
      </c>
      <c r="J926" s="3">
        <f>(Table1[[#This Row],[Aktual]]-Table1[[#This Row],[Target]])/Table1[[#This Row],[Target]]</f>
        <v>0.16689466484268126</v>
      </c>
      <c r="K926" t="str">
        <f>IF(Table1[[#This Row],[Performance Gap (%)]]&lt;0,"Tidak mencapai target", IF(Table1[[#This Row],[Performance Gap (%)]]=0,"Mencapai target", "Melebihi Target"))</f>
        <v>Melebihi Target</v>
      </c>
      <c r="L926">
        <f>VLOOKUP(Table1[[#This Row],[Propinsi]]&amp;"_"&amp;Table1[[#This Row],[Dati 2]]&amp;"_"&amp;Table1[[#This Row],[Tanggal]],Table2[[#All],[Kompetitor area]:[Jumlah Kompetitor]],7,0)</f>
        <v>14</v>
      </c>
      <c r="M926">
        <f>Table1[[#This Row],[Aktual]]-Table1[[#This Row],[Jumlah Kompetitor]]</f>
        <v>839</v>
      </c>
      <c r="N926" t="str">
        <f>IF(Table1[[#This Row],[vs Kompetitor]]&gt;0,"Win", "Lose")</f>
        <v>Win</v>
      </c>
    </row>
    <row r="927" spans="1:14" x14ac:dyDescent="0.25">
      <c r="A927">
        <v>926</v>
      </c>
      <c r="B927" t="s">
        <v>5</v>
      </c>
      <c r="C927" t="s">
        <v>114</v>
      </c>
      <c r="D927">
        <v>8</v>
      </c>
      <c r="E927">
        <v>2021</v>
      </c>
      <c r="F927" s="2">
        <f>DATE(Table1[[#This Row],[Tahun]],Table1[[#This Row],[Bulan]],1)</f>
        <v>44409</v>
      </c>
      <c r="G927">
        <v>589</v>
      </c>
      <c r="H927">
        <v>578</v>
      </c>
      <c r="I927" s="6">
        <f>(Table1[[#This Row],[Aktual]]-Table1[[#This Row],[Target]])</f>
        <v>11</v>
      </c>
      <c r="J927" s="3">
        <f>(Table1[[#This Row],[Aktual]]-Table1[[#This Row],[Target]])/Table1[[#This Row],[Target]]</f>
        <v>1.9031141868512111E-2</v>
      </c>
      <c r="K927" t="str">
        <f>IF(Table1[[#This Row],[Performance Gap (%)]]&lt;0,"Tidak mencapai target", IF(Table1[[#This Row],[Performance Gap (%)]]=0,"Mencapai target", "Melebihi Target"))</f>
        <v>Melebihi Target</v>
      </c>
      <c r="L927">
        <f>VLOOKUP(Table1[[#This Row],[Propinsi]]&amp;"_"&amp;Table1[[#This Row],[Dati 2]]&amp;"_"&amp;Table1[[#This Row],[Tanggal]],Table2[[#All],[Kompetitor area]:[Jumlah Kompetitor]],7,0)</f>
        <v>43</v>
      </c>
      <c r="M927">
        <f>Table1[[#This Row],[Aktual]]-Table1[[#This Row],[Jumlah Kompetitor]]</f>
        <v>546</v>
      </c>
      <c r="N927" t="str">
        <f>IF(Table1[[#This Row],[vs Kompetitor]]&gt;0,"Win", "Lose")</f>
        <v>Win</v>
      </c>
    </row>
    <row r="928" spans="1:14" x14ac:dyDescent="0.25">
      <c r="A928">
        <v>927</v>
      </c>
      <c r="B928" t="s">
        <v>5</v>
      </c>
      <c r="C928" t="s">
        <v>115</v>
      </c>
      <c r="D928">
        <v>8</v>
      </c>
      <c r="E928">
        <v>2021</v>
      </c>
      <c r="F928" s="2">
        <f>DATE(Table1[[#This Row],[Tahun]],Table1[[#This Row],[Bulan]],1)</f>
        <v>44409</v>
      </c>
      <c r="G928">
        <v>513</v>
      </c>
      <c r="H928">
        <v>527</v>
      </c>
      <c r="I928" s="6">
        <f>(Table1[[#This Row],[Aktual]]-Table1[[#This Row],[Target]])</f>
        <v>-14</v>
      </c>
      <c r="J928" s="3">
        <f>(Table1[[#This Row],[Aktual]]-Table1[[#This Row],[Target]])/Table1[[#This Row],[Target]]</f>
        <v>-2.6565464895635674E-2</v>
      </c>
      <c r="K928" t="str">
        <f>IF(Table1[[#This Row],[Performance Gap (%)]]&lt;0,"Tidak mencapai target", IF(Table1[[#This Row],[Performance Gap (%)]]=0,"Mencapai target", "Melebihi Target"))</f>
        <v>Tidak mencapai target</v>
      </c>
      <c r="L928">
        <f>VLOOKUP(Table1[[#This Row],[Propinsi]]&amp;"_"&amp;Table1[[#This Row],[Dati 2]]&amp;"_"&amp;Table1[[#This Row],[Tanggal]],Table2[[#All],[Kompetitor area]:[Jumlah Kompetitor]],7,0)</f>
        <v>33</v>
      </c>
      <c r="M928">
        <f>Table1[[#This Row],[Aktual]]-Table1[[#This Row],[Jumlah Kompetitor]]</f>
        <v>480</v>
      </c>
      <c r="N928" t="str">
        <f>IF(Table1[[#This Row],[vs Kompetitor]]&gt;0,"Win", "Lose")</f>
        <v>Win</v>
      </c>
    </row>
    <row r="929" spans="1:14" x14ac:dyDescent="0.25">
      <c r="A929">
        <v>928</v>
      </c>
      <c r="B929" t="s">
        <v>5</v>
      </c>
      <c r="C929" t="s">
        <v>116</v>
      </c>
      <c r="D929">
        <v>8</v>
      </c>
      <c r="E929">
        <v>2021</v>
      </c>
      <c r="F929" s="2">
        <f>DATE(Table1[[#This Row],[Tahun]],Table1[[#This Row],[Bulan]],1)</f>
        <v>44409</v>
      </c>
      <c r="G929">
        <v>974</v>
      </c>
      <c r="H929">
        <v>844</v>
      </c>
      <c r="I929" s="6">
        <f>(Table1[[#This Row],[Aktual]]-Table1[[#This Row],[Target]])</f>
        <v>130</v>
      </c>
      <c r="J929" s="3">
        <f>(Table1[[#This Row],[Aktual]]-Table1[[#This Row],[Target]])/Table1[[#This Row],[Target]]</f>
        <v>0.15402843601895735</v>
      </c>
      <c r="K929" t="str">
        <f>IF(Table1[[#This Row],[Performance Gap (%)]]&lt;0,"Tidak mencapai target", IF(Table1[[#This Row],[Performance Gap (%)]]=0,"Mencapai target", "Melebihi Target"))</f>
        <v>Melebihi Target</v>
      </c>
      <c r="L929">
        <f>VLOOKUP(Table1[[#This Row],[Propinsi]]&amp;"_"&amp;Table1[[#This Row],[Dati 2]]&amp;"_"&amp;Table1[[#This Row],[Tanggal]],Table2[[#All],[Kompetitor area]:[Jumlah Kompetitor]],7,0)</f>
        <v>66</v>
      </c>
      <c r="M929">
        <f>Table1[[#This Row],[Aktual]]-Table1[[#This Row],[Jumlah Kompetitor]]</f>
        <v>908</v>
      </c>
      <c r="N929" t="str">
        <f>IF(Table1[[#This Row],[vs Kompetitor]]&gt;0,"Win", "Lose")</f>
        <v>Win</v>
      </c>
    </row>
    <row r="930" spans="1:14" x14ac:dyDescent="0.25">
      <c r="A930">
        <v>929</v>
      </c>
      <c r="B930" t="s">
        <v>5</v>
      </c>
      <c r="C930" t="s">
        <v>117</v>
      </c>
      <c r="D930">
        <v>8</v>
      </c>
      <c r="E930">
        <v>2021</v>
      </c>
      <c r="F930" s="2">
        <f>DATE(Table1[[#This Row],[Tahun]],Table1[[#This Row],[Bulan]],1)</f>
        <v>44409</v>
      </c>
      <c r="G930">
        <v>1214</v>
      </c>
      <c r="H930">
        <v>1072</v>
      </c>
      <c r="I930" s="6">
        <f>(Table1[[#This Row],[Aktual]]-Table1[[#This Row],[Target]])</f>
        <v>142</v>
      </c>
      <c r="J930" s="3">
        <f>(Table1[[#This Row],[Aktual]]-Table1[[#This Row],[Target]])/Table1[[#This Row],[Target]]</f>
        <v>0.13246268656716417</v>
      </c>
      <c r="K930" t="str">
        <f>IF(Table1[[#This Row],[Performance Gap (%)]]&lt;0,"Tidak mencapai target", IF(Table1[[#This Row],[Performance Gap (%)]]=0,"Mencapai target", "Melebihi Target"))</f>
        <v>Melebihi Target</v>
      </c>
      <c r="L930">
        <f>VLOOKUP(Table1[[#This Row],[Propinsi]]&amp;"_"&amp;Table1[[#This Row],[Dati 2]]&amp;"_"&amp;Table1[[#This Row],[Tanggal]],Table2[[#All],[Kompetitor area]:[Jumlah Kompetitor]],7,0)</f>
        <v>17</v>
      </c>
      <c r="M930">
        <f>Table1[[#This Row],[Aktual]]-Table1[[#This Row],[Jumlah Kompetitor]]</f>
        <v>1197</v>
      </c>
      <c r="N930" t="str">
        <f>IF(Table1[[#This Row],[vs Kompetitor]]&gt;0,"Win", "Lose")</f>
        <v>Win</v>
      </c>
    </row>
    <row r="931" spans="1:14" x14ac:dyDescent="0.25">
      <c r="A931">
        <v>930</v>
      </c>
      <c r="B931" t="s">
        <v>5</v>
      </c>
      <c r="C931" t="s">
        <v>118</v>
      </c>
      <c r="D931">
        <v>8</v>
      </c>
      <c r="E931">
        <v>2021</v>
      </c>
      <c r="F931" s="2">
        <f>DATE(Table1[[#This Row],[Tahun]],Table1[[#This Row],[Bulan]],1)</f>
        <v>44409</v>
      </c>
      <c r="G931">
        <v>766</v>
      </c>
      <c r="H931">
        <v>634</v>
      </c>
      <c r="I931" s="6">
        <f>(Table1[[#This Row],[Aktual]]-Table1[[#This Row],[Target]])</f>
        <v>132</v>
      </c>
      <c r="J931" s="3">
        <f>(Table1[[#This Row],[Aktual]]-Table1[[#This Row],[Target]])/Table1[[#This Row],[Target]]</f>
        <v>0.20820189274447951</v>
      </c>
      <c r="K931" t="str">
        <f>IF(Table1[[#This Row],[Performance Gap (%)]]&lt;0,"Tidak mencapai target", IF(Table1[[#This Row],[Performance Gap (%)]]=0,"Mencapai target", "Melebihi Target"))</f>
        <v>Melebihi Target</v>
      </c>
      <c r="L931">
        <f>VLOOKUP(Table1[[#This Row],[Propinsi]]&amp;"_"&amp;Table1[[#This Row],[Dati 2]]&amp;"_"&amp;Table1[[#This Row],[Tanggal]],Table2[[#All],[Kompetitor area]:[Jumlah Kompetitor]],7,0)</f>
        <v>143</v>
      </c>
      <c r="M931">
        <f>Table1[[#This Row],[Aktual]]-Table1[[#This Row],[Jumlah Kompetitor]]</f>
        <v>623</v>
      </c>
      <c r="N931" t="str">
        <f>IF(Table1[[#This Row],[vs Kompetitor]]&gt;0,"Win", "Lose")</f>
        <v>Win</v>
      </c>
    </row>
    <row r="932" spans="1:14" x14ac:dyDescent="0.25">
      <c r="A932">
        <v>931</v>
      </c>
      <c r="B932" t="s">
        <v>5</v>
      </c>
      <c r="C932" t="s">
        <v>119</v>
      </c>
      <c r="D932">
        <v>8</v>
      </c>
      <c r="E932">
        <v>2021</v>
      </c>
      <c r="F932" s="2">
        <f>DATE(Table1[[#This Row],[Tahun]],Table1[[#This Row],[Bulan]],1)</f>
        <v>44409</v>
      </c>
      <c r="G932">
        <v>832</v>
      </c>
      <c r="H932">
        <v>807</v>
      </c>
      <c r="I932" s="6">
        <f>(Table1[[#This Row],[Aktual]]-Table1[[#This Row],[Target]])</f>
        <v>25</v>
      </c>
      <c r="J932" s="3">
        <f>(Table1[[#This Row],[Aktual]]-Table1[[#This Row],[Target]])/Table1[[#This Row],[Target]]</f>
        <v>3.0978934324659233E-2</v>
      </c>
      <c r="K932" t="str">
        <f>IF(Table1[[#This Row],[Performance Gap (%)]]&lt;0,"Tidak mencapai target", IF(Table1[[#This Row],[Performance Gap (%)]]=0,"Mencapai target", "Melebihi Target"))</f>
        <v>Melebihi Target</v>
      </c>
      <c r="L932">
        <f>VLOOKUP(Table1[[#This Row],[Propinsi]]&amp;"_"&amp;Table1[[#This Row],[Dati 2]]&amp;"_"&amp;Table1[[#This Row],[Tanggal]],Table2[[#All],[Kompetitor area]:[Jumlah Kompetitor]],7,0)</f>
        <v>96</v>
      </c>
      <c r="M932">
        <f>Table1[[#This Row],[Aktual]]-Table1[[#This Row],[Jumlah Kompetitor]]</f>
        <v>736</v>
      </c>
      <c r="N932" t="str">
        <f>IF(Table1[[#This Row],[vs Kompetitor]]&gt;0,"Win", "Lose")</f>
        <v>Win</v>
      </c>
    </row>
    <row r="933" spans="1:14" x14ac:dyDescent="0.25">
      <c r="A933">
        <v>932</v>
      </c>
      <c r="B933" t="s">
        <v>5</v>
      </c>
      <c r="C933" t="s">
        <v>120</v>
      </c>
      <c r="D933">
        <v>8</v>
      </c>
      <c r="E933">
        <v>2021</v>
      </c>
      <c r="F933" s="2">
        <f>DATE(Table1[[#This Row],[Tahun]],Table1[[#This Row],[Bulan]],1)</f>
        <v>44409</v>
      </c>
      <c r="G933">
        <v>801</v>
      </c>
      <c r="H933">
        <v>656</v>
      </c>
      <c r="I933" s="6">
        <f>(Table1[[#This Row],[Aktual]]-Table1[[#This Row],[Target]])</f>
        <v>145</v>
      </c>
      <c r="J933" s="3">
        <f>(Table1[[#This Row],[Aktual]]-Table1[[#This Row],[Target]])/Table1[[#This Row],[Target]]</f>
        <v>0.22103658536585366</v>
      </c>
      <c r="K933" t="str">
        <f>IF(Table1[[#This Row],[Performance Gap (%)]]&lt;0,"Tidak mencapai target", IF(Table1[[#This Row],[Performance Gap (%)]]=0,"Mencapai target", "Melebihi Target"))</f>
        <v>Melebihi Target</v>
      </c>
      <c r="L933">
        <f>VLOOKUP(Table1[[#This Row],[Propinsi]]&amp;"_"&amp;Table1[[#This Row],[Dati 2]]&amp;"_"&amp;Table1[[#This Row],[Tanggal]],Table2[[#All],[Kompetitor area]:[Jumlah Kompetitor]],7,0)</f>
        <v>58</v>
      </c>
      <c r="M933">
        <f>Table1[[#This Row],[Aktual]]-Table1[[#This Row],[Jumlah Kompetitor]]</f>
        <v>743</v>
      </c>
      <c r="N933" t="str">
        <f>IF(Table1[[#This Row],[vs Kompetitor]]&gt;0,"Win", "Lose")</f>
        <v>Win</v>
      </c>
    </row>
    <row r="934" spans="1:14" x14ac:dyDescent="0.25">
      <c r="A934">
        <v>933</v>
      </c>
      <c r="B934" t="s">
        <v>5</v>
      </c>
      <c r="C934" t="s">
        <v>121</v>
      </c>
      <c r="D934">
        <v>8</v>
      </c>
      <c r="E934">
        <v>2021</v>
      </c>
      <c r="F934" s="2">
        <f>DATE(Table1[[#This Row],[Tahun]],Table1[[#This Row],[Bulan]],1)</f>
        <v>44409</v>
      </c>
      <c r="G934">
        <v>862</v>
      </c>
      <c r="H934">
        <v>984</v>
      </c>
      <c r="I934" s="6">
        <f>(Table1[[#This Row],[Aktual]]-Table1[[#This Row],[Target]])</f>
        <v>-122</v>
      </c>
      <c r="J934" s="3">
        <f>(Table1[[#This Row],[Aktual]]-Table1[[#This Row],[Target]])/Table1[[#This Row],[Target]]</f>
        <v>-0.12398373983739837</v>
      </c>
      <c r="K934" t="str">
        <f>IF(Table1[[#This Row],[Performance Gap (%)]]&lt;0,"Tidak mencapai target", IF(Table1[[#This Row],[Performance Gap (%)]]=0,"Mencapai target", "Melebihi Target"))</f>
        <v>Tidak mencapai target</v>
      </c>
      <c r="L934">
        <f>VLOOKUP(Table1[[#This Row],[Propinsi]]&amp;"_"&amp;Table1[[#This Row],[Dati 2]]&amp;"_"&amp;Table1[[#This Row],[Tanggal]],Table2[[#All],[Kompetitor area]:[Jumlah Kompetitor]],7,0)</f>
        <v>852</v>
      </c>
      <c r="M934">
        <f>Table1[[#This Row],[Aktual]]-Table1[[#This Row],[Jumlah Kompetitor]]</f>
        <v>10</v>
      </c>
      <c r="N934" t="str">
        <f>IF(Table1[[#This Row],[vs Kompetitor]]&gt;0,"Win", "Lose")</f>
        <v>Win</v>
      </c>
    </row>
    <row r="935" spans="1:14" x14ac:dyDescent="0.25">
      <c r="A935">
        <v>934</v>
      </c>
      <c r="B935" t="s">
        <v>5</v>
      </c>
      <c r="C935" t="s">
        <v>122</v>
      </c>
      <c r="D935">
        <v>8</v>
      </c>
      <c r="E935">
        <v>2021</v>
      </c>
      <c r="F935" s="2">
        <f>DATE(Table1[[#This Row],[Tahun]],Table1[[#This Row],[Bulan]],1)</f>
        <v>44409</v>
      </c>
      <c r="G935">
        <v>496</v>
      </c>
      <c r="H935">
        <v>517</v>
      </c>
      <c r="I935" s="6">
        <f>(Table1[[#This Row],[Aktual]]-Table1[[#This Row],[Target]])</f>
        <v>-21</v>
      </c>
      <c r="J935" s="3">
        <f>(Table1[[#This Row],[Aktual]]-Table1[[#This Row],[Target]])/Table1[[#This Row],[Target]]</f>
        <v>-4.0618955512572531E-2</v>
      </c>
      <c r="K935" t="str">
        <f>IF(Table1[[#This Row],[Performance Gap (%)]]&lt;0,"Tidak mencapai target", IF(Table1[[#This Row],[Performance Gap (%)]]=0,"Mencapai target", "Melebihi Target"))</f>
        <v>Tidak mencapai target</v>
      </c>
      <c r="L935">
        <f>VLOOKUP(Table1[[#This Row],[Propinsi]]&amp;"_"&amp;Table1[[#This Row],[Dati 2]]&amp;"_"&amp;Table1[[#This Row],[Tanggal]],Table2[[#All],[Kompetitor area]:[Jumlah Kompetitor]],7,0)</f>
        <v>500</v>
      </c>
      <c r="M935">
        <f>Table1[[#This Row],[Aktual]]-Table1[[#This Row],[Jumlah Kompetitor]]</f>
        <v>-4</v>
      </c>
      <c r="N935" t="str">
        <f>IF(Table1[[#This Row],[vs Kompetitor]]&gt;0,"Win", "Lose")</f>
        <v>Lose</v>
      </c>
    </row>
    <row r="936" spans="1:14" x14ac:dyDescent="0.25">
      <c r="A936">
        <v>935</v>
      </c>
      <c r="B936" t="s">
        <v>5</v>
      </c>
      <c r="C936" t="s">
        <v>123</v>
      </c>
      <c r="D936">
        <v>8</v>
      </c>
      <c r="E936">
        <v>2021</v>
      </c>
      <c r="F936" s="2">
        <f>DATE(Table1[[#This Row],[Tahun]],Table1[[#This Row],[Bulan]],1)</f>
        <v>44409</v>
      </c>
      <c r="G936">
        <v>576</v>
      </c>
      <c r="H936">
        <v>502</v>
      </c>
      <c r="I936" s="6">
        <f>(Table1[[#This Row],[Aktual]]-Table1[[#This Row],[Target]])</f>
        <v>74</v>
      </c>
      <c r="J936" s="3">
        <f>(Table1[[#This Row],[Aktual]]-Table1[[#This Row],[Target]])/Table1[[#This Row],[Target]]</f>
        <v>0.14741035856573706</v>
      </c>
      <c r="K936" t="str">
        <f>IF(Table1[[#This Row],[Performance Gap (%)]]&lt;0,"Tidak mencapai target", IF(Table1[[#This Row],[Performance Gap (%)]]=0,"Mencapai target", "Melebihi Target"))</f>
        <v>Melebihi Target</v>
      </c>
      <c r="L936">
        <f>VLOOKUP(Table1[[#This Row],[Propinsi]]&amp;"_"&amp;Table1[[#This Row],[Dati 2]]&amp;"_"&amp;Table1[[#This Row],[Tanggal]],Table2[[#All],[Kompetitor area]:[Jumlah Kompetitor]],7,0)</f>
        <v>518</v>
      </c>
      <c r="M936">
        <f>Table1[[#This Row],[Aktual]]-Table1[[#This Row],[Jumlah Kompetitor]]</f>
        <v>58</v>
      </c>
      <c r="N936" t="str">
        <f>IF(Table1[[#This Row],[vs Kompetitor]]&gt;0,"Win", "Lose")</f>
        <v>Win</v>
      </c>
    </row>
    <row r="937" spans="1:14" x14ac:dyDescent="0.25">
      <c r="A937">
        <v>936</v>
      </c>
      <c r="B937" t="s">
        <v>5</v>
      </c>
      <c r="C937" t="s">
        <v>124</v>
      </c>
      <c r="D937">
        <v>8</v>
      </c>
      <c r="E937">
        <v>2021</v>
      </c>
      <c r="F937" s="2">
        <f>DATE(Table1[[#This Row],[Tahun]],Table1[[#This Row],[Bulan]],1)</f>
        <v>44409</v>
      </c>
      <c r="G937">
        <v>677</v>
      </c>
      <c r="H937">
        <v>599</v>
      </c>
      <c r="I937" s="6">
        <f>(Table1[[#This Row],[Aktual]]-Table1[[#This Row],[Target]])</f>
        <v>78</v>
      </c>
      <c r="J937" s="3">
        <f>(Table1[[#This Row],[Aktual]]-Table1[[#This Row],[Target]])/Table1[[#This Row],[Target]]</f>
        <v>0.1302170283806344</v>
      </c>
      <c r="K937" t="str">
        <f>IF(Table1[[#This Row],[Performance Gap (%)]]&lt;0,"Tidak mencapai target", IF(Table1[[#This Row],[Performance Gap (%)]]=0,"Mencapai target", "Melebihi Target"))</f>
        <v>Melebihi Target</v>
      </c>
      <c r="L937">
        <f>VLOOKUP(Table1[[#This Row],[Propinsi]]&amp;"_"&amp;Table1[[#This Row],[Dati 2]]&amp;"_"&amp;Table1[[#This Row],[Tanggal]],Table2[[#All],[Kompetitor area]:[Jumlah Kompetitor]],7,0)</f>
        <v>586</v>
      </c>
      <c r="M937">
        <f>Table1[[#This Row],[Aktual]]-Table1[[#This Row],[Jumlah Kompetitor]]</f>
        <v>91</v>
      </c>
      <c r="N937" t="str">
        <f>IF(Table1[[#This Row],[vs Kompetitor]]&gt;0,"Win", "Lose")</f>
        <v>Win</v>
      </c>
    </row>
    <row r="938" spans="1:14" x14ac:dyDescent="0.25">
      <c r="A938">
        <v>937</v>
      </c>
      <c r="B938" t="s">
        <v>5</v>
      </c>
      <c r="C938" t="s">
        <v>125</v>
      </c>
      <c r="D938">
        <v>8</v>
      </c>
      <c r="E938">
        <v>2021</v>
      </c>
      <c r="F938" s="2">
        <f>DATE(Table1[[#This Row],[Tahun]],Table1[[#This Row],[Bulan]],1)</f>
        <v>44409</v>
      </c>
      <c r="G938">
        <v>382</v>
      </c>
      <c r="H938">
        <v>399</v>
      </c>
      <c r="I938" s="6">
        <f>(Table1[[#This Row],[Aktual]]-Table1[[#This Row],[Target]])</f>
        <v>-17</v>
      </c>
      <c r="J938" s="3">
        <f>(Table1[[#This Row],[Aktual]]-Table1[[#This Row],[Target]])/Table1[[#This Row],[Target]]</f>
        <v>-4.2606516290726815E-2</v>
      </c>
      <c r="K938" t="str">
        <f>IF(Table1[[#This Row],[Performance Gap (%)]]&lt;0,"Tidak mencapai target", IF(Table1[[#This Row],[Performance Gap (%)]]=0,"Mencapai target", "Melebihi Target"))</f>
        <v>Tidak mencapai target</v>
      </c>
      <c r="L938">
        <f>VLOOKUP(Table1[[#This Row],[Propinsi]]&amp;"_"&amp;Table1[[#This Row],[Dati 2]]&amp;"_"&amp;Table1[[#This Row],[Tanggal]],Table2[[#All],[Kompetitor area]:[Jumlah Kompetitor]],7,0)</f>
        <v>408</v>
      </c>
      <c r="M938">
        <f>Table1[[#This Row],[Aktual]]-Table1[[#This Row],[Jumlah Kompetitor]]</f>
        <v>-26</v>
      </c>
      <c r="N938" t="str">
        <f>IF(Table1[[#This Row],[vs Kompetitor]]&gt;0,"Win", "Lose")</f>
        <v>Lose</v>
      </c>
    </row>
    <row r="939" spans="1:14" x14ac:dyDescent="0.25">
      <c r="A939">
        <v>938</v>
      </c>
      <c r="B939" t="s">
        <v>7</v>
      </c>
      <c r="C939" t="s">
        <v>126</v>
      </c>
      <c r="D939">
        <v>8</v>
      </c>
      <c r="E939">
        <v>2021</v>
      </c>
      <c r="F939" s="2">
        <f>DATE(Table1[[#This Row],[Tahun]],Table1[[#This Row],[Bulan]],1)</f>
        <v>44409</v>
      </c>
      <c r="G939">
        <v>1041</v>
      </c>
      <c r="H939">
        <v>957</v>
      </c>
      <c r="I939" s="6">
        <f>(Table1[[#This Row],[Aktual]]-Table1[[#This Row],[Target]])</f>
        <v>84</v>
      </c>
      <c r="J939" s="3">
        <f>(Table1[[#This Row],[Aktual]]-Table1[[#This Row],[Target]])/Table1[[#This Row],[Target]]</f>
        <v>8.7774294670846395E-2</v>
      </c>
      <c r="K939" t="str">
        <f>IF(Table1[[#This Row],[Performance Gap (%)]]&lt;0,"Tidak mencapai target", IF(Table1[[#This Row],[Performance Gap (%)]]=0,"Mencapai target", "Melebihi Target"))</f>
        <v>Melebihi Target</v>
      </c>
      <c r="L939">
        <f>VLOOKUP(Table1[[#This Row],[Propinsi]]&amp;"_"&amp;Table1[[#This Row],[Dati 2]]&amp;"_"&amp;Table1[[#This Row],[Tanggal]],Table2[[#All],[Kompetitor area]:[Jumlah Kompetitor]],7,0)</f>
        <v>952</v>
      </c>
      <c r="M939">
        <f>Table1[[#This Row],[Aktual]]-Table1[[#This Row],[Jumlah Kompetitor]]</f>
        <v>89</v>
      </c>
      <c r="N939" t="str">
        <f>IF(Table1[[#This Row],[vs Kompetitor]]&gt;0,"Win", "Lose")</f>
        <v>Win</v>
      </c>
    </row>
    <row r="940" spans="1:14" x14ac:dyDescent="0.25">
      <c r="A940">
        <v>939</v>
      </c>
      <c r="B940" t="s">
        <v>7</v>
      </c>
      <c r="C940" t="s">
        <v>127</v>
      </c>
      <c r="D940">
        <v>8</v>
      </c>
      <c r="E940">
        <v>2021</v>
      </c>
      <c r="F940" s="2">
        <f>DATE(Table1[[#This Row],[Tahun]],Table1[[#This Row],[Bulan]],1)</f>
        <v>44409</v>
      </c>
      <c r="G940">
        <v>679</v>
      </c>
      <c r="H940">
        <v>628</v>
      </c>
      <c r="I940" s="6">
        <f>(Table1[[#This Row],[Aktual]]-Table1[[#This Row],[Target]])</f>
        <v>51</v>
      </c>
      <c r="J940" s="3">
        <f>(Table1[[#This Row],[Aktual]]-Table1[[#This Row],[Target]])/Table1[[#This Row],[Target]]</f>
        <v>8.1210191082802544E-2</v>
      </c>
      <c r="K940" t="str">
        <f>IF(Table1[[#This Row],[Performance Gap (%)]]&lt;0,"Tidak mencapai target", IF(Table1[[#This Row],[Performance Gap (%)]]=0,"Mencapai target", "Melebihi Target"))</f>
        <v>Melebihi Target</v>
      </c>
      <c r="L940">
        <f>VLOOKUP(Table1[[#This Row],[Propinsi]]&amp;"_"&amp;Table1[[#This Row],[Dati 2]]&amp;"_"&amp;Table1[[#This Row],[Tanggal]],Table2[[#All],[Kompetitor area]:[Jumlah Kompetitor]],7,0)</f>
        <v>619</v>
      </c>
      <c r="M940">
        <f>Table1[[#This Row],[Aktual]]-Table1[[#This Row],[Jumlah Kompetitor]]</f>
        <v>60</v>
      </c>
      <c r="N940" t="str">
        <f>IF(Table1[[#This Row],[vs Kompetitor]]&gt;0,"Win", "Lose")</f>
        <v>Win</v>
      </c>
    </row>
    <row r="941" spans="1:14" x14ac:dyDescent="0.25">
      <c r="A941">
        <v>940</v>
      </c>
      <c r="B941" t="s">
        <v>7</v>
      </c>
      <c r="C941" t="s">
        <v>128</v>
      </c>
      <c r="D941">
        <v>8</v>
      </c>
      <c r="E941">
        <v>2021</v>
      </c>
      <c r="F941" s="2">
        <f>DATE(Table1[[#This Row],[Tahun]],Table1[[#This Row],[Bulan]],1)</f>
        <v>44409</v>
      </c>
      <c r="G941">
        <v>411</v>
      </c>
      <c r="H941">
        <v>429</v>
      </c>
      <c r="I941" s="6">
        <f>(Table1[[#This Row],[Aktual]]-Table1[[#This Row],[Target]])</f>
        <v>-18</v>
      </c>
      <c r="J941" s="3">
        <f>(Table1[[#This Row],[Aktual]]-Table1[[#This Row],[Target]])/Table1[[#This Row],[Target]]</f>
        <v>-4.195804195804196E-2</v>
      </c>
      <c r="K941" t="str">
        <f>IF(Table1[[#This Row],[Performance Gap (%)]]&lt;0,"Tidak mencapai target", IF(Table1[[#This Row],[Performance Gap (%)]]=0,"Mencapai target", "Melebihi Target"))</f>
        <v>Tidak mencapai target</v>
      </c>
      <c r="L941">
        <f>VLOOKUP(Table1[[#This Row],[Propinsi]]&amp;"_"&amp;Table1[[#This Row],[Dati 2]]&amp;"_"&amp;Table1[[#This Row],[Tanggal]],Table2[[#All],[Kompetitor area]:[Jumlah Kompetitor]],7,0)</f>
        <v>439</v>
      </c>
      <c r="M941">
        <f>Table1[[#This Row],[Aktual]]-Table1[[#This Row],[Jumlah Kompetitor]]</f>
        <v>-28</v>
      </c>
      <c r="N941" t="str">
        <f>IF(Table1[[#This Row],[vs Kompetitor]]&gt;0,"Win", "Lose")</f>
        <v>Lose</v>
      </c>
    </row>
    <row r="942" spans="1:14" x14ac:dyDescent="0.25">
      <c r="A942">
        <v>941</v>
      </c>
      <c r="B942" t="s">
        <v>7</v>
      </c>
      <c r="C942" t="s">
        <v>129</v>
      </c>
      <c r="D942">
        <v>8</v>
      </c>
      <c r="E942">
        <v>2021</v>
      </c>
      <c r="F942" s="2">
        <f>DATE(Table1[[#This Row],[Tahun]],Table1[[#This Row],[Bulan]],1)</f>
        <v>44409</v>
      </c>
      <c r="G942">
        <v>240</v>
      </c>
      <c r="H942">
        <v>243</v>
      </c>
      <c r="I942" s="6">
        <f>(Table1[[#This Row],[Aktual]]-Table1[[#This Row],[Target]])</f>
        <v>-3</v>
      </c>
      <c r="J942" s="3">
        <f>(Table1[[#This Row],[Aktual]]-Table1[[#This Row],[Target]])/Table1[[#This Row],[Target]]</f>
        <v>-1.2345679012345678E-2</v>
      </c>
      <c r="K942" t="str">
        <f>IF(Table1[[#This Row],[Performance Gap (%)]]&lt;0,"Tidak mencapai target", IF(Table1[[#This Row],[Performance Gap (%)]]=0,"Mencapai target", "Melebihi Target"))</f>
        <v>Tidak mencapai target</v>
      </c>
      <c r="L942">
        <f>VLOOKUP(Table1[[#This Row],[Propinsi]]&amp;"_"&amp;Table1[[#This Row],[Dati 2]]&amp;"_"&amp;Table1[[#This Row],[Tanggal]],Table2[[#All],[Kompetitor area]:[Jumlah Kompetitor]],7,0)</f>
        <v>253</v>
      </c>
      <c r="M942">
        <f>Table1[[#This Row],[Aktual]]-Table1[[#This Row],[Jumlah Kompetitor]]</f>
        <v>-13</v>
      </c>
      <c r="N942" t="str">
        <f>IF(Table1[[#This Row],[vs Kompetitor]]&gt;0,"Win", "Lose")</f>
        <v>Lose</v>
      </c>
    </row>
    <row r="943" spans="1:14" x14ac:dyDescent="0.25">
      <c r="A943">
        <v>942</v>
      </c>
      <c r="B943" t="s">
        <v>7</v>
      </c>
      <c r="C943" t="s">
        <v>130</v>
      </c>
      <c r="D943">
        <v>8</v>
      </c>
      <c r="E943">
        <v>2021</v>
      </c>
      <c r="F943" s="2">
        <f>DATE(Table1[[#This Row],[Tahun]],Table1[[#This Row],[Bulan]],1)</f>
        <v>44409</v>
      </c>
      <c r="G943">
        <v>160</v>
      </c>
      <c r="H943">
        <v>157</v>
      </c>
      <c r="I943" s="6">
        <f>(Table1[[#This Row],[Aktual]]-Table1[[#This Row],[Target]])</f>
        <v>3</v>
      </c>
      <c r="J943" s="3">
        <f>(Table1[[#This Row],[Aktual]]-Table1[[#This Row],[Target]])/Table1[[#This Row],[Target]]</f>
        <v>1.9108280254777069E-2</v>
      </c>
      <c r="K943" t="str">
        <f>IF(Table1[[#This Row],[Performance Gap (%)]]&lt;0,"Tidak mencapai target", IF(Table1[[#This Row],[Performance Gap (%)]]=0,"Mencapai target", "Melebihi Target"))</f>
        <v>Melebihi Target</v>
      </c>
      <c r="L943">
        <f>VLOOKUP(Table1[[#This Row],[Propinsi]]&amp;"_"&amp;Table1[[#This Row],[Dati 2]]&amp;"_"&amp;Table1[[#This Row],[Tanggal]],Table2[[#All],[Kompetitor area]:[Jumlah Kompetitor]],7,0)</f>
        <v>164</v>
      </c>
      <c r="M943">
        <f>Table1[[#This Row],[Aktual]]-Table1[[#This Row],[Jumlah Kompetitor]]</f>
        <v>-4</v>
      </c>
      <c r="N943" t="str">
        <f>IF(Table1[[#This Row],[vs Kompetitor]]&gt;0,"Win", "Lose")</f>
        <v>Lose</v>
      </c>
    </row>
    <row r="944" spans="1:14" x14ac:dyDescent="0.25">
      <c r="A944">
        <v>943</v>
      </c>
      <c r="B944" t="s">
        <v>7</v>
      </c>
      <c r="C944" t="s">
        <v>131</v>
      </c>
      <c r="D944">
        <v>8</v>
      </c>
      <c r="E944">
        <v>2021</v>
      </c>
      <c r="F944" s="2">
        <f>DATE(Table1[[#This Row],[Tahun]],Table1[[#This Row],[Bulan]],1)</f>
        <v>44409</v>
      </c>
      <c r="G944">
        <v>145</v>
      </c>
      <c r="H944">
        <v>153</v>
      </c>
      <c r="I944" s="6">
        <f>(Table1[[#This Row],[Aktual]]-Table1[[#This Row],[Target]])</f>
        <v>-8</v>
      </c>
      <c r="J944" s="3">
        <f>(Table1[[#This Row],[Aktual]]-Table1[[#This Row],[Target]])/Table1[[#This Row],[Target]]</f>
        <v>-5.2287581699346407E-2</v>
      </c>
      <c r="K944" t="str">
        <f>IF(Table1[[#This Row],[Performance Gap (%)]]&lt;0,"Tidak mencapai target", IF(Table1[[#This Row],[Performance Gap (%)]]=0,"Mencapai target", "Melebihi Target"))</f>
        <v>Tidak mencapai target</v>
      </c>
      <c r="L944">
        <f>VLOOKUP(Table1[[#This Row],[Propinsi]]&amp;"_"&amp;Table1[[#This Row],[Dati 2]]&amp;"_"&amp;Table1[[#This Row],[Tanggal]],Table2[[#All],[Kompetitor area]:[Jumlah Kompetitor]],7,0)</f>
        <v>149</v>
      </c>
      <c r="M944">
        <f>Table1[[#This Row],[Aktual]]-Table1[[#This Row],[Jumlah Kompetitor]]</f>
        <v>-4</v>
      </c>
      <c r="N944" t="str">
        <f>IF(Table1[[#This Row],[vs Kompetitor]]&gt;0,"Win", "Lose")</f>
        <v>Lose</v>
      </c>
    </row>
    <row r="945" spans="1:14" x14ac:dyDescent="0.25">
      <c r="A945">
        <v>944</v>
      </c>
      <c r="B945" t="s">
        <v>7</v>
      </c>
      <c r="C945" t="s">
        <v>132</v>
      </c>
      <c r="D945">
        <v>8</v>
      </c>
      <c r="E945">
        <v>2021</v>
      </c>
      <c r="F945" s="2">
        <f>DATE(Table1[[#This Row],[Tahun]],Table1[[#This Row],[Bulan]],1)</f>
        <v>44409</v>
      </c>
      <c r="G945">
        <v>192</v>
      </c>
      <c r="H945">
        <v>181</v>
      </c>
      <c r="I945" s="6">
        <f>(Table1[[#This Row],[Aktual]]-Table1[[#This Row],[Target]])</f>
        <v>11</v>
      </c>
      <c r="J945" s="3">
        <f>(Table1[[#This Row],[Aktual]]-Table1[[#This Row],[Target]])/Table1[[#This Row],[Target]]</f>
        <v>6.0773480662983423E-2</v>
      </c>
      <c r="K945" t="str">
        <f>IF(Table1[[#This Row],[Performance Gap (%)]]&lt;0,"Tidak mencapai target", IF(Table1[[#This Row],[Performance Gap (%)]]=0,"Mencapai target", "Melebihi Target"))</f>
        <v>Melebihi Target</v>
      </c>
      <c r="L945">
        <f>VLOOKUP(Table1[[#This Row],[Propinsi]]&amp;"_"&amp;Table1[[#This Row],[Dati 2]]&amp;"_"&amp;Table1[[#This Row],[Tanggal]],Table2[[#All],[Kompetitor area]:[Jumlah Kompetitor]],7,0)</f>
        <v>209</v>
      </c>
      <c r="M945">
        <f>Table1[[#This Row],[Aktual]]-Table1[[#This Row],[Jumlah Kompetitor]]</f>
        <v>-17</v>
      </c>
      <c r="N945" t="str">
        <f>IF(Table1[[#This Row],[vs Kompetitor]]&gt;0,"Win", "Lose")</f>
        <v>Lose</v>
      </c>
    </row>
    <row r="946" spans="1:14" x14ac:dyDescent="0.25">
      <c r="A946">
        <v>945</v>
      </c>
      <c r="B946" t="s">
        <v>7</v>
      </c>
      <c r="C946" t="s">
        <v>133</v>
      </c>
      <c r="D946">
        <v>8</v>
      </c>
      <c r="E946">
        <v>2021</v>
      </c>
      <c r="F946" s="2">
        <f>DATE(Table1[[#This Row],[Tahun]],Table1[[#This Row],[Bulan]],1)</f>
        <v>44409</v>
      </c>
      <c r="G946">
        <v>211</v>
      </c>
      <c r="H946">
        <v>187</v>
      </c>
      <c r="I946" s="6">
        <f>(Table1[[#This Row],[Aktual]]-Table1[[#This Row],[Target]])</f>
        <v>24</v>
      </c>
      <c r="J946" s="3">
        <f>(Table1[[#This Row],[Aktual]]-Table1[[#This Row],[Target]])/Table1[[#This Row],[Target]]</f>
        <v>0.12834224598930483</v>
      </c>
      <c r="K946" t="str">
        <f>IF(Table1[[#This Row],[Performance Gap (%)]]&lt;0,"Tidak mencapai target", IF(Table1[[#This Row],[Performance Gap (%)]]=0,"Mencapai target", "Melebihi Target"))</f>
        <v>Melebihi Target</v>
      </c>
      <c r="L946">
        <f>VLOOKUP(Table1[[#This Row],[Propinsi]]&amp;"_"&amp;Table1[[#This Row],[Dati 2]]&amp;"_"&amp;Table1[[#This Row],[Tanggal]],Table2[[#All],[Kompetitor area]:[Jumlah Kompetitor]],7,0)</f>
        <v>201</v>
      </c>
      <c r="M946">
        <f>Table1[[#This Row],[Aktual]]-Table1[[#This Row],[Jumlah Kompetitor]]</f>
        <v>10</v>
      </c>
      <c r="N946" t="str">
        <f>IF(Table1[[#This Row],[vs Kompetitor]]&gt;0,"Win", "Lose")</f>
        <v>Win</v>
      </c>
    </row>
    <row r="947" spans="1:14" x14ac:dyDescent="0.25">
      <c r="A947">
        <v>946</v>
      </c>
      <c r="B947" t="s">
        <v>7</v>
      </c>
      <c r="C947" t="s">
        <v>134</v>
      </c>
      <c r="D947">
        <v>8</v>
      </c>
      <c r="E947">
        <v>2021</v>
      </c>
      <c r="F947" s="2">
        <f>DATE(Table1[[#This Row],[Tahun]],Table1[[#This Row],[Bulan]],1)</f>
        <v>44409</v>
      </c>
      <c r="G947">
        <v>106</v>
      </c>
      <c r="H947">
        <v>105</v>
      </c>
      <c r="I947" s="6">
        <f>(Table1[[#This Row],[Aktual]]-Table1[[#This Row],[Target]])</f>
        <v>1</v>
      </c>
      <c r="J947" s="3">
        <f>(Table1[[#This Row],[Aktual]]-Table1[[#This Row],[Target]])/Table1[[#This Row],[Target]]</f>
        <v>9.5238095238095247E-3</v>
      </c>
      <c r="K947" t="str">
        <f>IF(Table1[[#This Row],[Performance Gap (%)]]&lt;0,"Tidak mencapai target", IF(Table1[[#This Row],[Performance Gap (%)]]=0,"Mencapai target", "Melebihi Target"))</f>
        <v>Melebihi Target</v>
      </c>
      <c r="L947">
        <f>VLOOKUP(Table1[[#This Row],[Propinsi]]&amp;"_"&amp;Table1[[#This Row],[Dati 2]]&amp;"_"&amp;Table1[[#This Row],[Tanggal]],Table2[[#All],[Kompetitor area]:[Jumlah Kompetitor]],7,0)</f>
        <v>112</v>
      </c>
      <c r="M947">
        <f>Table1[[#This Row],[Aktual]]-Table1[[#This Row],[Jumlah Kompetitor]]</f>
        <v>-6</v>
      </c>
      <c r="N947" t="str">
        <f>IF(Table1[[#This Row],[vs Kompetitor]]&gt;0,"Win", "Lose")</f>
        <v>Lose</v>
      </c>
    </row>
    <row r="948" spans="1:14" x14ac:dyDescent="0.25">
      <c r="A948">
        <v>947</v>
      </c>
      <c r="B948" t="s">
        <v>7</v>
      </c>
      <c r="C948" t="s">
        <v>135</v>
      </c>
      <c r="D948">
        <v>8</v>
      </c>
      <c r="E948">
        <v>2021</v>
      </c>
      <c r="F948" s="2">
        <f>DATE(Table1[[#This Row],[Tahun]],Table1[[#This Row],[Bulan]],1)</f>
        <v>44409</v>
      </c>
      <c r="G948">
        <v>362</v>
      </c>
      <c r="H948">
        <v>279</v>
      </c>
      <c r="I948" s="6">
        <f>(Table1[[#This Row],[Aktual]]-Table1[[#This Row],[Target]])</f>
        <v>83</v>
      </c>
      <c r="J948" s="3">
        <f>(Table1[[#This Row],[Aktual]]-Table1[[#This Row],[Target]])/Table1[[#This Row],[Target]]</f>
        <v>0.29749103942652327</v>
      </c>
      <c r="K948" t="str">
        <f>IF(Table1[[#This Row],[Performance Gap (%)]]&lt;0,"Tidak mencapai target", IF(Table1[[#This Row],[Performance Gap (%)]]=0,"Mencapai target", "Melebihi Target"))</f>
        <v>Melebihi Target</v>
      </c>
      <c r="L948">
        <f>VLOOKUP(Table1[[#This Row],[Propinsi]]&amp;"_"&amp;Table1[[#This Row],[Dati 2]]&amp;"_"&amp;Table1[[#This Row],[Tanggal]],Table2[[#All],[Kompetitor area]:[Jumlah Kompetitor]],7,0)</f>
        <v>290</v>
      </c>
      <c r="M948">
        <f>Table1[[#This Row],[Aktual]]-Table1[[#This Row],[Jumlah Kompetitor]]</f>
        <v>72</v>
      </c>
      <c r="N948" t="str">
        <f>IF(Table1[[#This Row],[vs Kompetitor]]&gt;0,"Win", "Lose")</f>
        <v>Win</v>
      </c>
    </row>
    <row r="949" spans="1:14" x14ac:dyDescent="0.25">
      <c r="A949">
        <v>948</v>
      </c>
      <c r="B949" t="s">
        <v>7</v>
      </c>
      <c r="C949" t="s">
        <v>136</v>
      </c>
      <c r="D949">
        <v>8</v>
      </c>
      <c r="E949">
        <v>2021</v>
      </c>
      <c r="F949" s="2">
        <f>DATE(Table1[[#This Row],[Tahun]],Table1[[#This Row],[Bulan]],1)</f>
        <v>44409</v>
      </c>
      <c r="G949">
        <v>149</v>
      </c>
      <c r="H949">
        <v>124</v>
      </c>
      <c r="I949" s="6">
        <f>(Table1[[#This Row],[Aktual]]-Table1[[#This Row],[Target]])</f>
        <v>25</v>
      </c>
      <c r="J949" s="3">
        <f>(Table1[[#This Row],[Aktual]]-Table1[[#This Row],[Target]])/Table1[[#This Row],[Target]]</f>
        <v>0.20161290322580644</v>
      </c>
      <c r="K949" t="str">
        <f>IF(Table1[[#This Row],[Performance Gap (%)]]&lt;0,"Tidak mencapai target", IF(Table1[[#This Row],[Performance Gap (%)]]=0,"Mencapai target", "Melebihi Target"))</f>
        <v>Melebihi Target</v>
      </c>
      <c r="L949">
        <f>VLOOKUP(Table1[[#This Row],[Propinsi]]&amp;"_"&amp;Table1[[#This Row],[Dati 2]]&amp;"_"&amp;Table1[[#This Row],[Tanggal]],Table2[[#All],[Kompetitor area]:[Jumlah Kompetitor]],7,0)</f>
        <v>155</v>
      </c>
      <c r="M949">
        <f>Table1[[#This Row],[Aktual]]-Table1[[#This Row],[Jumlah Kompetitor]]</f>
        <v>-6</v>
      </c>
      <c r="N949" t="str">
        <f>IF(Table1[[#This Row],[vs Kompetitor]]&gt;0,"Win", "Lose")</f>
        <v>Lose</v>
      </c>
    </row>
    <row r="950" spans="1:14" x14ac:dyDescent="0.25">
      <c r="A950">
        <v>949</v>
      </c>
      <c r="B950" t="s">
        <v>7</v>
      </c>
      <c r="C950" t="s">
        <v>137</v>
      </c>
      <c r="D950">
        <v>8</v>
      </c>
      <c r="E950">
        <v>2021</v>
      </c>
      <c r="F950" s="2">
        <f>DATE(Table1[[#This Row],[Tahun]],Table1[[#This Row],[Bulan]],1)</f>
        <v>44409</v>
      </c>
      <c r="G950">
        <v>89</v>
      </c>
      <c r="H950">
        <v>82</v>
      </c>
      <c r="I950" s="6">
        <f>(Table1[[#This Row],[Aktual]]-Table1[[#This Row],[Target]])</f>
        <v>7</v>
      </c>
      <c r="J950" s="3">
        <f>(Table1[[#This Row],[Aktual]]-Table1[[#This Row],[Target]])/Table1[[#This Row],[Target]]</f>
        <v>8.5365853658536592E-2</v>
      </c>
      <c r="K950" t="str">
        <f>IF(Table1[[#This Row],[Performance Gap (%)]]&lt;0,"Tidak mencapai target", IF(Table1[[#This Row],[Performance Gap (%)]]=0,"Mencapai target", "Melebihi Target"))</f>
        <v>Melebihi Target</v>
      </c>
      <c r="L950">
        <f>VLOOKUP(Table1[[#This Row],[Propinsi]]&amp;"_"&amp;Table1[[#This Row],[Dati 2]]&amp;"_"&amp;Table1[[#This Row],[Tanggal]],Table2[[#All],[Kompetitor area]:[Jumlah Kompetitor]],7,0)</f>
        <v>94</v>
      </c>
      <c r="M950">
        <f>Table1[[#This Row],[Aktual]]-Table1[[#This Row],[Jumlah Kompetitor]]</f>
        <v>-5</v>
      </c>
      <c r="N950" t="str">
        <f>IF(Table1[[#This Row],[vs Kompetitor]]&gt;0,"Win", "Lose")</f>
        <v>Lose</v>
      </c>
    </row>
    <row r="951" spans="1:14" x14ac:dyDescent="0.25">
      <c r="A951">
        <v>950</v>
      </c>
      <c r="B951" t="s">
        <v>7</v>
      </c>
      <c r="C951" t="s">
        <v>138</v>
      </c>
      <c r="D951">
        <v>8</v>
      </c>
      <c r="E951">
        <v>2021</v>
      </c>
      <c r="F951" s="2">
        <f>DATE(Table1[[#This Row],[Tahun]],Table1[[#This Row],[Bulan]],1)</f>
        <v>44409</v>
      </c>
      <c r="G951">
        <v>189</v>
      </c>
      <c r="H951">
        <v>151</v>
      </c>
      <c r="I951" s="6">
        <f>(Table1[[#This Row],[Aktual]]-Table1[[#This Row],[Target]])</f>
        <v>38</v>
      </c>
      <c r="J951" s="3">
        <f>(Table1[[#This Row],[Aktual]]-Table1[[#This Row],[Target]])/Table1[[#This Row],[Target]]</f>
        <v>0.25165562913907286</v>
      </c>
      <c r="K951" t="str">
        <f>IF(Table1[[#This Row],[Performance Gap (%)]]&lt;0,"Tidak mencapai target", IF(Table1[[#This Row],[Performance Gap (%)]]=0,"Mencapai target", "Melebihi Target"))</f>
        <v>Melebihi Target</v>
      </c>
      <c r="L951">
        <f>VLOOKUP(Table1[[#This Row],[Propinsi]]&amp;"_"&amp;Table1[[#This Row],[Dati 2]]&amp;"_"&amp;Table1[[#This Row],[Tanggal]],Table2[[#All],[Kompetitor area]:[Jumlah Kompetitor]],7,0)</f>
        <v>174</v>
      </c>
      <c r="M951">
        <f>Table1[[#This Row],[Aktual]]-Table1[[#This Row],[Jumlah Kompetitor]]</f>
        <v>15</v>
      </c>
      <c r="N951" t="str">
        <f>IF(Table1[[#This Row],[vs Kompetitor]]&gt;0,"Win", "Lose")</f>
        <v>Win</v>
      </c>
    </row>
    <row r="952" spans="1:14" x14ac:dyDescent="0.25">
      <c r="A952">
        <v>951</v>
      </c>
      <c r="B952" t="s">
        <v>7</v>
      </c>
      <c r="C952" t="s">
        <v>139</v>
      </c>
      <c r="D952">
        <v>8</v>
      </c>
      <c r="E952">
        <v>2021</v>
      </c>
      <c r="F952" s="2">
        <f>DATE(Table1[[#This Row],[Tahun]],Table1[[#This Row],[Bulan]],1)</f>
        <v>44409</v>
      </c>
      <c r="G952">
        <v>244</v>
      </c>
      <c r="H952">
        <v>237</v>
      </c>
      <c r="I952" s="6">
        <f>(Table1[[#This Row],[Aktual]]-Table1[[#This Row],[Target]])</f>
        <v>7</v>
      </c>
      <c r="J952" s="3">
        <f>(Table1[[#This Row],[Aktual]]-Table1[[#This Row],[Target]])/Table1[[#This Row],[Target]]</f>
        <v>2.9535864978902954E-2</v>
      </c>
      <c r="K952" t="str">
        <f>IF(Table1[[#This Row],[Performance Gap (%)]]&lt;0,"Tidak mencapai target", IF(Table1[[#This Row],[Performance Gap (%)]]=0,"Mencapai target", "Melebihi Target"))</f>
        <v>Melebihi Target</v>
      </c>
      <c r="L952">
        <f>VLOOKUP(Table1[[#This Row],[Propinsi]]&amp;"_"&amp;Table1[[#This Row],[Dati 2]]&amp;"_"&amp;Table1[[#This Row],[Tanggal]],Table2[[#All],[Kompetitor area]:[Jumlah Kompetitor]],7,0)</f>
        <v>227</v>
      </c>
      <c r="M952">
        <f>Table1[[#This Row],[Aktual]]-Table1[[#This Row],[Jumlah Kompetitor]]</f>
        <v>17</v>
      </c>
      <c r="N952" t="str">
        <f>IF(Table1[[#This Row],[vs Kompetitor]]&gt;0,"Win", "Lose")</f>
        <v>Win</v>
      </c>
    </row>
    <row r="953" spans="1:14" x14ac:dyDescent="0.25">
      <c r="A953">
        <v>952</v>
      </c>
      <c r="B953" t="s">
        <v>7</v>
      </c>
      <c r="C953" t="s">
        <v>140</v>
      </c>
      <c r="D953">
        <v>8</v>
      </c>
      <c r="E953">
        <v>2021</v>
      </c>
      <c r="F953" s="2">
        <f>DATE(Table1[[#This Row],[Tahun]],Table1[[#This Row],[Bulan]],1)</f>
        <v>44409</v>
      </c>
      <c r="G953">
        <v>219</v>
      </c>
      <c r="H953">
        <v>173</v>
      </c>
      <c r="I953" s="6">
        <f>(Table1[[#This Row],[Aktual]]-Table1[[#This Row],[Target]])</f>
        <v>46</v>
      </c>
      <c r="J953" s="3">
        <f>(Table1[[#This Row],[Aktual]]-Table1[[#This Row],[Target]])/Table1[[#This Row],[Target]]</f>
        <v>0.26589595375722541</v>
      </c>
      <c r="K953" t="str">
        <f>IF(Table1[[#This Row],[Performance Gap (%)]]&lt;0,"Tidak mencapai target", IF(Table1[[#This Row],[Performance Gap (%)]]=0,"Mencapai target", "Melebihi Target"))</f>
        <v>Melebihi Target</v>
      </c>
      <c r="L953">
        <f>VLOOKUP(Table1[[#This Row],[Propinsi]]&amp;"_"&amp;Table1[[#This Row],[Dati 2]]&amp;"_"&amp;Table1[[#This Row],[Tanggal]],Table2[[#All],[Kompetitor area]:[Jumlah Kompetitor]],7,0)</f>
        <v>196</v>
      </c>
      <c r="M953">
        <f>Table1[[#This Row],[Aktual]]-Table1[[#This Row],[Jumlah Kompetitor]]</f>
        <v>23</v>
      </c>
      <c r="N953" t="str">
        <f>IF(Table1[[#This Row],[vs Kompetitor]]&gt;0,"Win", "Lose")</f>
        <v>Win</v>
      </c>
    </row>
    <row r="954" spans="1:14" x14ac:dyDescent="0.25">
      <c r="A954">
        <v>953</v>
      </c>
      <c r="B954" t="s">
        <v>7</v>
      </c>
      <c r="C954" t="s">
        <v>141</v>
      </c>
      <c r="D954">
        <v>8</v>
      </c>
      <c r="E954">
        <v>2021</v>
      </c>
      <c r="F954" s="2">
        <f>DATE(Table1[[#This Row],[Tahun]],Table1[[#This Row],[Bulan]],1)</f>
        <v>44409</v>
      </c>
      <c r="G954">
        <v>150</v>
      </c>
      <c r="H954">
        <v>130</v>
      </c>
      <c r="I954" s="6">
        <f>(Table1[[#This Row],[Aktual]]-Table1[[#This Row],[Target]])</f>
        <v>20</v>
      </c>
      <c r="J954" s="3">
        <f>(Table1[[#This Row],[Aktual]]-Table1[[#This Row],[Target]])/Table1[[#This Row],[Target]]</f>
        <v>0.15384615384615385</v>
      </c>
      <c r="K954" t="str">
        <f>IF(Table1[[#This Row],[Performance Gap (%)]]&lt;0,"Tidak mencapai target", IF(Table1[[#This Row],[Performance Gap (%)]]=0,"Mencapai target", "Melebihi Target"))</f>
        <v>Melebihi Target</v>
      </c>
      <c r="L954">
        <f>VLOOKUP(Table1[[#This Row],[Propinsi]]&amp;"_"&amp;Table1[[#This Row],[Dati 2]]&amp;"_"&amp;Table1[[#This Row],[Tanggal]],Table2[[#All],[Kompetitor area]:[Jumlah Kompetitor]],7,0)</f>
        <v>128</v>
      </c>
      <c r="M954">
        <f>Table1[[#This Row],[Aktual]]-Table1[[#This Row],[Jumlah Kompetitor]]</f>
        <v>22</v>
      </c>
      <c r="N954" t="str">
        <f>IF(Table1[[#This Row],[vs Kompetitor]]&gt;0,"Win", "Lose")</f>
        <v>Win</v>
      </c>
    </row>
    <row r="955" spans="1:14" x14ac:dyDescent="0.25">
      <c r="A955">
        <v>954</v>
      </c>
      <c r="B955" t="s">
        <v>7</v>
      </c>
      <c r="C955" t="s">
        <v>142</v>
      </c>
      <c r="D955">
        <v>8</v>
      </c>
      <c r="E955">
        <v>2021</v>
      </c>
      <c r="F955" s="2">
        <f>DATE(Table1[[#This Row],[Tahun]],Table1[[#This Row],[Bulan]],1)</f>
        <v>44409</v>
      </c>
      <c r="G955">
        <v>142</v>
      </c>
      <c r="H955">
        <v>148</v>
      </c>
      <c r="I955" s="6">
        <f>(Table1[[#This Row],[Aktual]]-Table1[[#This Row],[Target]])</f>
        <v>-6</v>
      </c>
      <c r="J955" s="3">
        <f>(Table1[[#This Row],[Aktual]]-Table1[[#This Row],[Target]])/Table1[[#This Row],[Target]]</f>
        <v>-4.0540540540540543E-2</v>
      </c>
      <c r="K955" t="str">
        <f>IF(Table1[[#This Row],[Performance Gap (%)]]&lt;0,"Tidak mencapai target", IF(Table1[[#This Row],[Performance Gap (%)]]=0,"Mencapai target", "Melebihi Target"))</f>
        <v>Tidak mencapai target</v>
      </c>
      <c r="L955">
        <f>VLOOKUP(Table1[[#This Row],[Propinsi]]&amp;"_"&amp;Table1[[#This Row],[Dati 2]]&amp;"_"&amp;Table1[[#This Row],[Tanggal]],Table2[[#All],[Kompetitor area]:[Jumlah Kompetitor]],7,0)</f>
        <v>147</v>
      </c>
      <c r="M955">
        <f>Table1[[#This Row],[Aktual]]-Table1[[#This Row],[Jumlah Kompetitor]]</f>
        <v>-5</v>
      </c>
      <c r="N955" t="str">
        <f>IF(Table1[[#This Row],[vs Kompetitor]]&gt;0,"Win", "Lose")</f>
        <v>Lose</v>
      </c>
    </row>
    <row r="956" spans="1:14" x14ac:dyDescent="0.25">
      <c r="A956">
        <v>955</v>
      </c>
      <c r="B956" t="s">
        <v>7</v>
      </c>
      <c r="C956" t="s">
        <v>143</v>
      </c>
      <c r="D956">
        <v>8</v>
      </c>
      <c r="E956">
        <v>2021</v>
      </c>
      <c r="F956" s="2">
        <f>DATE(Table1[[#This Row],[Tahun]],Table1[[#This Row],[Bulan]],1)</f>
        <v>44409</v>
      </c>
      <c r="G956">
        <v>208</v>
      </c>
      <c r="H956">
        <v>174</v>
      </c>
      <c r="I956" s="6">
        <f>(Table1[[#This Row],[Aktual]]-Table1[[#This Row],[Target]])</f>
        <v>34</v>
      </c>
      <c r="J956" s="3">
        <f>(Table1[[#This Row],[Aktual]]-Table1[[#This Row],[Target]])/Table1[[#This Row],[Target]]</f>
        <v>0.19540229885057472</v>
      </c>
      <c r="K956" t="str">
        <f>IF(Table1[[#This Row],[Performance Gap (%)]]&lt;0,"Tidak mencapai target", IF(Table1[[#This Row],[Performance Gap (%)]]=0,"Mencapai target", "Melebihi Target"))</f>
        <v>Melebihi Target</v>
      </c>
      <c r="L956">
        <f>VLOOKUP(Table1[[#This Row],[Propinsi]]&amp;"_"&amp;Table1[[#This Row],[Dati 2]]&amp;"_"&amp;Table1[[#This Row],[Tanggal]],Table2[[#All],[Kompetitor area]:[Jumlah Kompetitor]],7,0)</f>
        <v>189</v>
      </c>
      <c r="M956">
        <f>Table1[[#This Row],[Aktual]]-Table1[[#This Row],[Jumlah Kompetitor]]</f>
        <v>19</v>
      </c>
      <c r="N956" t="str">
        <f>IF(Table1[[#This Row],[vs Kompetitor]]&gt;0,"Win", "Lose")</f>
        <v>Win</v>
      </c>
    </row>
    <row r="957" spans="1:14" x14ac:dyDescent="0.25">
      <c r="A957">
        <v>956</v>
      </c>
      <c r="B957" t="s">
        <v>7</v>
      </c>
      <c r="C957" t="s">
        <v>144</v>
      </c>
      <c r="D957">
        <v>8</v>
      </c>
      <c r="E957">
        <v>2021</v>
      </c>
      <c r="F957" s="2">
        <f>DATE(Table1[[#This Row],[Tahun]],Table1[[#This Row],[Bulan]],1)</f>
        <v>44409</v>
      </c>
      <c r="G957">
        <v>92</v>
      </c>
      <c r="H957">
        <v>102</v>
      </c>
      <c r="I957" s="6">
        <f>(Table1[[#This Row],[Aktual]]-Table1[[#This Row],[Target]])</f>
        <v>-10</v>
      </c>
      <c r="J957" s="3">
        <f>(Table1[[#This Row],[Aktual]]-Table1[[#This Row],[Target]])/Table1[[#This Row],[Target]]</f>
        <v>-9.8039215686274508E-2</v>
      </c>
      <c r="K957" t="str">
        <f>IF(Table1[[#This Row],[Performance Gap (%)]]&lt;0,"Tidak mencapai target", IF(Table1[[#This Row],[Performance Gap (%)]]=0,"Mencapai target", "Melebihi Target"))</f>
        <v>Tidak mencapai target</v>
      </c>
      <c r="L957">
        <f>VLOOKUP(Table1[[#This Row],[Propinsi]]&amp;"_"&amp;Table1[[#This Row],[Dati 2]]&amp;"_"&amp;Table1[[#This Row],[Tanggal]],Table2[[#All],[Kompetitor area]:[Jumlah Kompetitor]],7,0)</f>
        <v>105</v>
      </c>
      <c r="M957">
        <f>Table1[[#This Row],[Aktual]]-Table1[[#This Row],[Jumlah Kompetitor]]</f>
        <v>-13</v>
      </c>
      <c r="N957" t="str">
        <f>IF(Table1[[#This Row],[vs Kompetitor]]&gt;0,"Win", "Lose")</f>
        <v>Lose</v>
      </c>
    </row>
    <row r="958" spans="1:14" x14ac:dyDescent="0.25">
      <c r="A958">
        <v>957</v>
      </c>
      <c r="B958" t="s">
        <v>7</v>
      </c>
      <c r="C958" t="s">
        <v>145</v>
      </c>
      <c r="D958">
        <v>8</v>
      </c>
      <c r="E958">
        <v>2021</v>
      </c>
      <c r="F958" s="2">
        <f>DATE(Table1[[#This Row],[Tahun]],Table1[[#This Row],[Bulan]],1)</f>
        <v>44409</v>
      </c>
      <c r="G958">
        <v>118</v>
      </c>
      <c r="H958">
        <v>115</v>
      </c>
      <c r="I958" s="6">
        <f>(Table1[[#This Row],[Aktual]]-Table1[[#This Row],[Target]])</f>
        <v>3</v>
      </c>
      <c r="J958" s="3">
        <f>(Table1[[#This Row],[Aktual]]-Table1[[#This Row],[Target]])/Table1[[#This Row],[Target]]</f>
        <v>2.6086956521739129E-2</v>
      </c>
      <c r="K958" t="str">
        <f>IF(Table1[[#This Row],[Performance Gap (%)]]&lt;0,"Tidak mencapai target", IF(Table1[[#This Row],[Performance Gap (%)]]=0,"Mencapai target", "Melebihi Target"))</f>
        <v>Melebihi Target</v>
      </c>
      <c r="L958">
        <f>VLOOKUP(Table1[[#This Row],[Propinsi]]&amp;"_"&amp;Table1[[#This Row],[Dati 2]]&amp;"_"&amp;Table1[[#This Row],[Tanggal]],Table2[[#All],[Kompetitor area]:[Jumlah Kompetitor]],7,0)</f>
        <v>124</v>
      </c>
      <c r="M958">
        <f>Table1[[#This Row],[Aktual]]-Table1[[#This Row],[Jumlah Kompetitor]]</f>
        <v>-6</v>
      </c>
      <c r="N958" t="str">
        <f>IF(Table1[[#This Row],[vs Kompetitor]]&gt;0,"Win", "Lose")</f>
        <v>Lose</v>
      </c>
    </row>
    <row r="959" spans="1:14" x14ac:dyDescent="0.25">
      <c r="A959">
        <v>958</v>
      </c>
      <c r="B959" t="s">
        <v>7</v>
      </c>
      <c r="C959" t="s">
        <v>146</v>
      </c>
      <c r="D959">
        <v>8</v>
      </c>
      <c r="E959">
        <v>2021</v>
      </c>
      <c r="F959" s="2">
        <f>DATE(Table1[[#This Row],[Tahun]],Table1[[#This Row],[Bulan]],1)</f>
        <v>44409</v>
      </c>
      <c r="G959">
        <v>212</v>
      </c>
      <c r="H959">
        <v>199</v>
      </c>
      <c r="I959" s="6">
        <f>(Table1[[#This Row],[Aktual]]-Table1[[#This Row],[Target]])</f>
        <v>13</v>
      </c>
      <c r="J959" s="3">
        <f>(Table1[[#This Row],[Aktual]]-Table1[[#This Row],[Target]])/Table1[[#This Row],[Target]]</f>
        <v>6.5326633165829151E-2</v>
      </c>
      <c r="K959" t="str">
        <f>IF(Table1[[#This Row],[Performance Gap (%)]]&lt;0,"Tidak mencapai target", IF(Table1[[#This Row],[Performance Gap (%)]]=0,"Mencapai target", "Melebihi Target"))</f>
        <v>Melebihi Target</v>
      </c>
      <c r="L959">
        <f>VLOOKUP(Table1[[#This Row],[Propinsi]]&amp;"_"&amp;Table1[[#This Row],[Dati 2]]&amp;"_"&amp;Table1[[#This Row],[Tanggal]],Table2[[#All],[Kompetitor area]:[Jumlah Kompetitor]],7,0)</f>
        <v>209</v>
      </c>
      <c r="M959">
        <f>Table1[[#This Row],[Aktual]]-Table1[[#This Row],[Jumlah Kompetitor]]</f>
        <v>3</v>
      </c>
      <c r="N959" t="str">
        <f>IF(Table1[[#This Row],[vs Kompetitor]]&gt;0,"Win", "Lose")</f>
        <v>Win</v>
      </c>
    </row>
    <row r="960" spans="1:14" x14ac:dyDescent="0.25">
      <c r="A960">
        <v>959</v>
      </c>
      <c r="B960" t="s">
        <v>7</v>
      </c>
      <c r="C960" t="s">
        <v>147</v>
      </c>
      <c r="D960">
        <v>8</v>
      </c>
      <c r="E960">
        <v>2021</v>
      </c>
      <c r="F960" s="2">
        <f>DATE(Table1[[#This Row],[Tahun]],Table1[[#This Row],[Bulan]],1)</f>
        <v>44409</v>
      </c>
      <c r="G960">
        <v>109</v>
      </c>
      <c r="H960">
        <v>106</v>
      </c>
      <c r="I960" s="6">
        <f>(Table1[[#This Row],[Aktual]]-Table1[[#This Row],[Target]])</f>
        <v>3</v>
      </c>
      <c r="J960" s="3">
        <f>(Table1[[#This Row],[Aktual]]-Table1[[#This Row],[Target]])/Table1[[#This Row],[Target]]</f>
        <v>2.8301886792452831E-2</v>
      </c>
      <c r="K960" t="str">
        <f>IF(Table1[[#This Row],[Performance Gap (%)]]&lt;0,"Tidak mencapai target", IF(Table1[[#This Row],[Performance Gap (%)]]=0,"Mencapai target", "Melebihi Target"))</f>
        <v>Melebihi Target</v>
      </c>
      <c r="L960">
        <f>VLOOKUP(Table1[[#This Row],[Propinsi]]&amp;"_"&amp;Table1[[#This Row],[Dati 2]]&amp;"_"&amp;Table1[[#This Row],[Tanggal]],Table2[[#All],[Kompetitor area]:[Jumlah Kompetitor]],7,0)</f>
        <v>132</v>
      </c>
      <c r="M960">
        <f>Table1[[#This Row],[Aktual]]-Table1[[#This Row],[Jumlah Kompetitor]]</f>
        <v>-23</v>
      </c>
      <c r="N960" t="str">
        <f>IF(Table1[[#This Row],[vs Kompetitor]]&gt;0,"Win", "Lose")</f>
        <v>Lose</v>
      </c>
    </row>
    <row r="961" spans="1:14" x14ac:dyDescent="0.25">
      <c r="A961">
        <v>960</v>
      </c>
      <c r="B961" t="s">
        <v>7</v>
      </c>
      <c r="C961" t="s">
        <v>148</v>
      </c>
      <c r="D961">
        <v>8</v>
      </c>
      <c r="E961">
        <v>2021</v>
      </c>
      <c r="F961" s="2">
        <f>DATE(Table1[[#This Row],[Tahun]],Table1[[#This Row],[Bulan]],1)</f>
        <v>44409</v>
      </c>
      <c r="G961">
        <v>163</v>
      </c>
      <c r="H961">
        <v>178</v>
      </c>
      <c r="I961" s="6">
        <f>(Table1[[#This Row],[Aktual]]-Table1[[#This Row],[Target]])</f>
        <v>-15</v>
      </c>
      <c r="J961" s="3">
        <f>(Table1[[#This Row],[Aktual]]-Table1[[#This Row],[Target]])/Table1[[#This Row],[Target]]</f>
        <v>-8.4269662921348312E-2</v>
      </c>
      <c r="K961" t="str">
        <f>IF(Table1[[#This Row],[Performance Gap (%)]]&lt;0,"Tidak mencapai target", IF(Table1[[#This Row],[Performance Gap (%)]]=0,"Mencapai target", "Melebihi Target"))</f>
        <v>Tidak mencapai target</v>
      </c>
      <c r="L961">
        <f>VLOOKUP(Table1[[#This Row],[Propinsi]]&amp;"_"&amp;Table1[[#This Row],[Dati 2]]&amp;"_"&amp;Table1[[#This Row],[Tanggal]],Table2[[#All],[Kompetitor area]:[Jumlah Kompetitor]],7,0)</f>
        <v>166</v>
      </c>
      <c r="M961">
        <f>Table1[[#This Row],[Aktual]]-Table1[[#This Row],[Jumlah Kompetitor]]</f>
        <v>-3</v>
      </c>
      <c r="N961" t="str">
        <f>IF(Table1[[#This Row],[vs Kompetitor]]&gt;0,"Win", "Lose")</f>
        <v>Lose</v>
      </c>
    </row>
    <row r="962" spans="1:14" x14ac:dyDescent="0.25">
      <c r="A962">
        <v>961</v>
      </c>
      <c r="B962" t="s">
        <v>7</v>
      </c>
      <c r="C962" t="s">
        <v>149</v>
      </c>
      <c r="D962">
        <v>8</v>
      </c>
      <c r="E962">
        <v>2021</v>
      </c>
      <c r="F962" s="2">
        <f>DATE(Table1[[#This Row],[Tahun]],Table1[[#This Row],[Bulan]],1)</f>
        <v>44409</v>
      </c>
      <c r="G962">
        <v>61</v>
      </c>
      <c r="H962">
        <v>54</v>
      </c>
      <c r="I962" s="6">
        <f>(Table1[[#This Row],[Aktual]]-Table1[[#This Row],[Target]])</f>
        <v>7</v>
      </c>
      <c r="J962" s="3">
        <f>(Table1[[#This Row],[Aktual]]-Table1[[#This Row],[Target]])/Table1[[#This Row],[Target]]</f>
        <v>0.12962962962962962</v>
      </c>
      <c r="K962" t="str">
        <f>IF(Table1[[#This Row],[Performance Gap (%)]]&lt;0,"Tidak mencapai target", IF(Table1[[#This Row],[Performance Gap (%)]]=0,"Mencapai target", "Melebihi Target"))</f>
        <v>Melebihi Target</v>
      </c>
      <c r="L962">
        <f>VLOOKUP(Table1[[#This Row],[Propinsi]]&amp;"_"&amp;Table1[[#This Row],[Dati 2]]&amp;"_"&amp;Table1[[#This Row],[Tanggal]],Table2[[#All],[Kompetitor area]:[Jumlah Kompetitor]],7,0)</f>
        <v>62</v>
      </c>
      <c r="M962">
        <f>Table1[[#This Row],[Aktual]]-Table1[[#This Row],[Jumlah Kompetitor]]</f>
        <v>-1</v>
      </c>
      <c r="N962" t="str">
        <f>IF(Table1[[#This Row],[vs Kompetitor]]&gt;0,"Win", "Lose")</f>
        <v>Lose</v>
      </c>
    </row>
    <row r="963" spans="1:14" x14ac:dyDescent="0.25">
      <c r="A963">
        <v>962</v>
      </c>
      <c r="B963" t="s">
        <v>8</v>
      </c>
      <c r="C963" t="s">
        <v>150</v>
      </c>
      <c r="D963">
        <v>8</v>
      </c>
      <c r="E963">
        <v>2021</v>
      </c>
      <c r="F963" s="2">
        <f>DATE(Table1[[#This Row],[Tahun]],Table1[[#This Row],[Bulan]],1)</f>
        <v>44409</v>
      </c>
      <c r="G963">
        <v>648</v>
      </c>
      <c r="H963">
        <v>661</v>
      </c>
      <c r="I963" s="6">
        <f>(Table1[[#This Row],[Aktual]]-Table1[[#This Row],[Target]])</f>
        <v>-13</v>
      </c>
      <c r="J963" s="3">
        <f>(Table1[[#This Row],[Aktual]]-Table1[[#This Row],[Target]])/Table1[[#This Row],[Target]]</f>
        <v>-1.9667170953101363E-2</v>
      </c>
      <c r="K963" t="str">
        <f>IF(Table1[[#This Row],[Performance Gap (%)]]&lt;0,"Tidak mencapai target", IF(Table1[[#This Row],[Performance Gap (%)]]=0,"Mencapai target", "Melebihi Target"))</f>
        <v>Tidak mencapai target</v>
      </c>
      <c r="L963">
        <f>VLOOKUP(Table1[[#This Row],[Propinsi]]&amp;"_"&amp;Table1[[#This Row],[Dati 2]]&amp;"_"&amp;Table1[[#This Row],[Tanggal]],Table2[[#All],[Kompetitor area]:[Jumlah Kompetitor]],7,0)</f>
        <v>667</v>
      </c>
      <c r="M963">
        <f>Table1[[#This Row],[Aktual]]-Table1[[#This Row],[Jumlah Kompetitor]]</f>
        <v>-19</v>
      </c>
      <c r="N963" t="str">
        <f>IF(Table1[[#This Row],[vs Kompetitor]]&gt;0,"Win", "Lose")</f>
        <v>Lose</v>
      </c>
    </row>
    <row r="964" spans="1:14" x14ac:dyDescent="0.25">
      <c r="A964">
        <v>963</v>
      </c>
      <c r="B964" t="s">
        <v>8</v>
      </c>
      <c r="C964" t="s">
        <v>151</v>
      </c>
      <c r="D964">
        <v>8</v>
      </c>
      <c r="E964">
        <v>2021</v>
      </c>
      <c r="F964" s="2">
        <f>DATE(Table1[[#This Row],[Tahun]],Table1[[#This Row],[Bulan]],1)</f>
        <v>44409</v>
      </c>
      <c r="G964">
        <v>562</v>
      </c>
      <c r="H964">
        <v>550</v>
      </c>
      <c r="I964" s="6">
        <f>(Table1[[#This Row],[Aktual]]-Table1[[#This Row],[Target]])</f>
        <v>12</v>
      </c>
      <c r="J964" s="3">
        <f>(Table1[[#This Row],[Aktual]]-Table1[[#This Row],[Target]])/Table1[[#This Row],[Target]]</f>
        <v>2.181818181818182E-2</v>
      </c>
      <c r="K964" t="str">
        <f>IF(Table1[[#This Row],[Performance Gap (%)]]&lt;0,"Tidak mencapai target", IF(Table1[[#This Row],[Performance Gap (%)]]=0,"Mencapai target", "Melebihi Target"))</f>
        <v>Melebihi Target</v>
      </c>
      <c r="L964">
        <f>VLOOKUP(Table1[[#This Row],[Propinsi]]&amp;"_"&amp;Table1[[#This Row],[Dati 2]]&amp;"_"&amp;Table1[[#This Row],[Tanggal]],Table2[[#All],[Kompetitor area]:[Jumlah Kompetitor]],7,0)</f>
        <v>532</v>
      </c>
      <c r="M964">
        <f>Table1[[#This Row],[Aktual]]-Table1[[#This Row],[Jumlah Kompetitor]]</f>
        <v>30</v>
      </c>
      <c r="N964" t="str">
        <f>IF(Table1[[#This Row],[vs Kompetitor]]&gt;0,"Win", "Lose")</f>
        <v>Win</v>
      </c>
    </row>
    <row r="965" spans="1:14" x14ac:dyDescent="0.25">
      <c r="A965">
        <v>964</v>
      </c>
      <c r="B965" t="s">
        <v>8</v>
      </c>
      <c r="C965" t="s">
        <v>152</v>
      </c>
      <c r="D965">
        <v>8</v>
      </c>
      <c r="E965">
        <v>2021</v>
      </c>
      <c r="F965" s="2">
        <f>DATE(Table1[[#This Row],[Tahun]],Table1[[#This Row],[Bulan]],1)</f>
        <v>44409</v>
      </c>
      <c r="G965">
        <v>178</v>
      </c>
      <c r="H965">
        <v>172</v>
      </c>
      <c r="I965" s="6">
        <f>(Table1[[#This Row],[Aktual]]-Table1[[#This Row],[Target]])</f>
        <v>6</v>
      </c>
      <c r="J965" s="3">
        <f>(Table1[[#This Row],[Aktual]]-Table1[[#This Row],[Target]])/Table1[[#This Row],[Target]]</f>
        <v>3.4883720930232558E-2</v>
      </c>
      <c r="K965" t="str">
        <f>IF(Table1[[#This Row],[Performance Gap (%)]]&lt;0,"Tidak mencapai target", IF(Table1[[#This Row],[Performance Gap (%)]]=0,"Mencapai target", "Melebihi Target"))</f>
        <v>Melebihi Target</v>
      </c>
      <c r="L965">
        <f>VLOOKUP(Table1[[#This Row],[Propinsi]]&amp;"_"&amp;Table1[[#This Row],[Dati 2]]&amp;"_"&amp;Table1[[#This Row],[Tanggal]],Table2[[#All],[Kompetitor area]:[Jumlah Kompetitor]],7,0)</f>
        <v>187</v>
      </c>
      <c r="M965">
        <f>Table1[[#This Row],[Aktual]]-Table1[[#This Row],[Jumlah Kompetitor]]</f>
        <v>-9</v>
      </c>
      <c r="N965" t="str">
        <f>IF(Table1[[#This Row],[vs Kompetitor]]&gt;0,"Win", "Lose")</f>
        <v>Lose</v>
      </c>
    </row>
    <row r="966" spans="1:14" x14ac:dyDescent="0.25">
      <c r="A966">
        <v>965</v>
      </c>
      <c r="B966" t="s">
        <v>8</v>
      </c>
      <c r="C966" t="s">
        <v>153</v>
      </c>
      <c r="D966">
        <v>8</v>
      </c>
      <c r="E966">
        <v>2021</v>
      </c>
      <c r="F966" s="2">
        <f>DATE(Table1[[#This Row],[Tahun]],Table1[[#This Row],[Bulan]],1)</f>
        <v>44409</v>
      </c>
      <c r="G966">
        <v>481</v>
      </c>
      <c r="H966">
        <v>405</v>
      </c>
      <c r="I966" s="6">
        <f>(Table1[[#This Row],[Aktual]]-Table1[[#This Row],[Target]])</f>
        <v>76</v>
      </c>
      <c r="J966" s="3">
        <f>(Table1[[#This Row],[Aktual]]-Table1[[#This Row],[Target]])/Table1[[#This Row],[Target]]</f>
        <v>0.18765432098765433</v>
      </c>
      <c r="K966" t="str">
        <f>IF(Table1[[#This Row],[Performance Gap (%)]]&lt;0,"Tidak mencapai target", IF(Table1[[#This Row],[Performance Gap (%)]]=0,"Mencapai target", "Melebihi Target"))</f>
        <v>Melebihi Target</v>
      </c>
      <c r="L966">
        <f>VLOOKUP(Table1[[#This Row],[Propinsi]]&amp;"_"&amp;Table1[[#This Row],[Dati 2]]&amp;"_"&amp;Table1[[#This Row],[Tanggal]],Table2[[#All],[Kompetitor area]:[Jumlah Kompetitor]],7,0)</f>
        <v>439</v>
      </c>
      <c r="M966">
        <f>Table1[[#This Row],[Aktual]]-Table1[[#This Row],[Jumlah Kompetitor]]</f>
        <v>42</v>
      </c>
      <c r="N966" t="str">
        <f>IF(Table1[[#This Row],[vs Kompetitor]]&gt;0,"Win", "Lose")</f>
        <v>Win</v>
      </c>
    </row>
    <row r="967" spans="1:14" x14ac:dyDescent="0.25">
      <c r="A967">
        <v>966</v>
      </c>
      <c r="B967" t="s">
        <v>8</v>
      </c>
      <c r="C967" t="s">
        <v>154</v>
      </c>
      <c r="D967">
        <v>8</v>
      </c>
      <c r="E967">
        <v>2021</v>
      </c>
      <c r="F967" s="2">
        <f>DATE(Table1[[#This Row],[Tahun]],Table1[[#This Row],[Bulan]],1)</f>
        <v>44409</v>
      </c>
      <c r="G967">
        <v>286</v>
      </c>
      <c r="H967">
        <v>254</v>
      </c>
      <c r="I967" s="6">
        <f>(Table1[[#This Row],[Aktual]]-Table1[[#This Row],[Target]])</f>
        <v>32</v>
      </c>
      <c r="J967" s="3">
        <f>(Table1[[#This Row],[Aktual]]-Table1[[#This Row],[Target]])/Table1[[#This Row],[Target]]</f>
        <v>0.12598425196850394</v>
      </c>
      <c r="K967" t="str">
        <f>IF(Table1[[#This Row],[Performance Gap (%)]]&lt;0,"Tidak mencapai target", IF(Table1[[#This Row],[Performance Gap (%)]]=0,"Mencapai target", "Melebihi Target"))</f>
        <v>Melebihi Target</v>
      </c>
      <c r="L967">
        <f>VLOOKUP(Table1[[#This Row],[Propinsi]]&amp;"_"&amp;Table1[[#This Row],[Dati 2]]&amp;"_"&amp;Table1[[#This Row],[Tanggal]],Table2[[#All],[Kompetitor area]:[Jumlah Kompetitor]],7,0)</f>
        <v>262</v>
      </c>
      <c r="M967">
        <f>Table1[[#This Row],[Aktual]]-Table1[[#This Row],[Jumlah Kompetitor]]</f>
        <v>24</v>
      </c>
      <c r="N967" t="str">
        <f>IF(Table1[[#This Row],[vs Kompetitor]]&gt;0,"Win", "Lose")</f>
        <v>Win</v>
      </c>
    </row>
    <row r="968" spans="1:14" x14ac:dyDescent="0.25">
      <c r="A968">
        <v>967</v>
      </c>
      <c r="B968" t="s">
        <v>8</v>
      </c>
      <c r="C968" t="s">
        <v>155</v>
      </c>
      <c r="D968">
        <v>8</v>
      </c>
      <c r="E968">
        <v>2021</v>
      </c>
      <c r="F968" s="2">
        <f>DATE(Table1[[#This Row],[Tahun]],Table1[[#This Row],[Bulan]],1)</f>
        <v>44409</v>
      </c>
      <c r="G968">
        <v>327</v>
      </c>
      <c r="H968">
        <v>351</v>
      </c>
      <c r="I968" s="6">
        <f>(Table1[[#This Row],[Aktual]]-Table1[[#This Row],[Target]])</f>
        <v>-24</v>
      </c>
      <c r="J968" s="3">
        <f>(Table1[[#This Row],[Aktual]]-Table1[[#This Row],[Target]])/Table1[[#This Row],[Target]]</f>
        <v>-6.8376068376068383E-2</v>
      </c>
      <c r="K968" t="str">
        <f>IF(Table1[[#This Row],[Performance Gap (%)]]&lt;0,"Tidak mencapai target", IF(Table1[[#This Row],[Performance Gap (%)]]=0,"Mencapai target", "Melebihi Target"))</f>
        <v>Tidak mencapai target</v>
      </c>
      <c r="L968">
        <f>VLOOKUP(Table1[[#This Row],[Propinsi]]&amp;"_"&amp;Table1[[#This Row],[Dati 2]]&amp;"_"&amp;Table1[[#This Row],[Tanggal]],Table2[[#All],[Kompetitor area]:[Jumlah Kompetitor]],7,0)</f>
        <v>340</v>
      </c>
      <c r="M968">
        <f>Table1[[#This Row],[Aktual]]-Table1[[#This Row],[Jumlah Kompetitor]]</f>
        <v>-13</v>
      </c>
      <c r="N968" t="str">
        <f>IF(Table1[[#This Row],[vs Kompetitor]]&gt;0,"Win", "Lose")</f>
        <v>Lose</v>
      </c>
    </row>
    <row r="969" spans="1:14" x14ac:dyDescent="0.25">
      <c r="A969">
        <v>968</v>
      </c>
      <c r="B969" t="s">
        <v>8</v>
      </c>
      <c r="C969" t="s">
        <v>156</v>
      </c>
      <c r="D969">
        <v>8</v>
      </c>
      <c r="E969">
        <v>2021</v>
      </c>
      <c r="F969" s="2">
        <f>DATE(Table1[[#This Row],[Tahun]],Table1[[#This Row],[Bulan]],1)</f>
        <v>44409</v>
      </c>
      <c r="G969">
        <v>157</v>
      </c>
      <c r="H969">
        <v>135</v>
      </c>
      <c r="I969" s="6">
        <f>(Table1[[#This Row],[Aktual]]-Table1[[#This Row],[Target]])</f>
        <v>22</v>
      </c>
      <c r="J969" s="3">
        <f>(Table1[[#This Row],[Aktual]]-Table1[[#This Row],[Target]])/Table1[[#This Row],[Target]]</f>
        <v>0.16296296296296298</v>
      </c>
      <c r="K969" t="str">
        <f>IF(Table1[[#This Row],[Performance Gap (%)]]&lt;0,"Tidak mencapai target", IF(Table1[[#This Row],[Performance Gap (%)]]=0,"Mencapai target", "Melebihi Target"))</f>
        <v>Melebihi Target</v>
      </c>
      <c r="L969">
        <f>VLOOKUP(Table1[[#This Row],[Propinsi]]&amp;"_"&amp;Table1[[#This Row],[Dati 2]]&amp;"_"&amp;Table1[[#This Row],[Tanggal]],Table2[[#All],[Kompetitor area]:[Jumlah Kompetitor]],7,0)</f>
        <v>145</v>
      </c>
      <c r="M969">
        <f>Table1[[#This Row],[Aktual]]-Table1[[#This Row],[Jumlah Kompetitor]]</f>
        <v>12</v>
      </c>
      <c r="N969" t="str">
        <f>IF(Table1[[#This Row],[vs Kompetitor]]&gt;0,"Win", "Lose")</f>
        <v>Win</v>
      </c>
    </row>
    <row r="970" spans="1:14" x14ac:dyDescent="0.25">
      <c r="A970">
        <v>969</v>
      </c>
      <c r="B970" t="s">
        <v>8</v>
      </c>
      <c r="C970" t="s">
        <v>157</v>
      </c>
      <c r="D970">
        <v>8</v>
      </c>
      <c r="E970">
        <v>2021</v>
      </c>
      <c r="F970" s="2">
        <f>DATE(Table1[[#This Row],[Tahun]],Table1[[#This Row],[Bulan]],1)</f>
        <v>44409</v>
      </c>
      <c r="G970">
        <v>251</v>
      </c>
      <c r="H970">
        <v>248</v>
      </c>
      <c r="I970" s="6">
        <f>(Table1[[#This Row],[Aktual]]-Table1[[#This Row],[Target]])</f>
        <v>3</v>
      </c>
      <c r="J970" s="3">
        <f>(Table1[[#This Row],[Aktual]]-Table1[[#This Row],[Target]])/Table1[[#This Row],[Target]]</f>
        <v>1.2096774193548387E-2</v>
      </c>
      <c r="K970" t="str">
        <f>IF(Table1[[#This Row],[Performance Gap (%)]]&lt;0,"Tidak mencapai target", IF(Table1[[#This Row],[Performance Gap (%)]]=0,"Mencapai target", "Melebihi Target"))</f>
        <v>Melebihi Target</v>
      </c>
      <c r="L970">
        <f>VLOOKUP(Table1[[#This Row],[Propinsi]]&amp;"_"&amp;Table1[[#This Row],[Dati 2]]&amp;"_"&amp;Table1[[#This Row],[Tanggal]],Table2[[#All],[Kompetitor area]:[Jumlah Kompetitor]],7,0)</f>
        <v>222</v>
      </c>
      <c r="M970">
        <f>Table1[[#This Row],[Aktual]]-Table1[[#This Row],[Jumlah Kompetitor]]</f>
        <v>29</v>
      </c>
      <c r="N970" t="str">
        <f>IF(Table1[[#This Row],[vs Kompetitor]]&gt;0,"Win", "Lose")</f>
        <v>Win</v>
      </c>
    </row>
    <row r="971" spans="1:14" x14ac:dyDescent="0.25">
      <c r="A971">
        <v>970</v>
      </c>
      <c r="B971" t="s">
        <v>8</v>
      </c>
      <c r="C971" t="s">
        <v>158</v>
      </c>
      <c r="D971">
        <v>8</v>
      </c>
      <c r="E971">
        <v>2021</v>
      </c>
      <c r="F971" s="2">
        <f>DATE(Table1[[#This Row],[Tahun]],Table1[[#This Row],[Bulan]],1)</f>
        <v>44409</v>
      </c>
      <c r="G971">
        <v>195</v>
      </c>
      <c r="H971">
        <v>183</v>
      </c>
      <c r="I971" s="6">
        <f>(Table1[[#This Row],[Aktual]]-Table1[[#This Row],[Target]])</f>
        <v>12</v>
      </c>
      <c r="J971" s="3">
        <f>(Table1[[#This Row],[Aktual]]-Table1[[#This Row],[Target]])/Table1[[#This Row],[Target]]</f>
        <v>6.5573770491803282E-2</v>
      </c>
      <c r="K971" t="str">
        <f>IF(Table1[[#This Row],[Performance Gap (%)]]&lt;0,"Tidak mencapai target", IF(Table1[[#This Row],[Performance Gap (%)]]=0,"Mencapai target", "Melebihi Target"))</f>
        <v>Melebihi Target</v>
      </c>
      <c r="L971">
        <f>VLOOKUP(Table1[[#This Row],[Propinsi]]&amp;"_"&amp;Table1[[#This Row],[Dati 2]]&amp;"_"&amp;Table1[[#This Row],[Tanggal]],Table2[[#All],[Kompetitor area]:[Jumlah Kompetitor]],7,0)</f>
        <v>211</v>
      </c>
      <c r="M971">
        <f>Table1[[#This Row],[Aktual]]-Table1[[#This Row],[Jumlah Kompetitor]]</f>
        <v>-16</v>
      </c>
      <c r="N971" t="str">
        <f>IF(Table1[[#This Row],[vs Kompetitor]]&gt;0,"Win", "Lose")</f>
        <v>Lose</v>
      </c>
    </row>
    <row r="972" spans="1:14" x14ac:dyDescent="0.25">
      <c r="A972">
        <v>971</v>
      </c>
      <c r="B972" t="s">
        <v>8</v>
      </c>
      <c r="C972" t="s">
        <v>159</v>
      </c>
      <c r="D972">
        <v>8</v>
      </c>
      <c r="E972">
        <v>2021</v>
      </c>
      <c r="F972" s="2">
        <f>DATE(Table1[[#This Row],[Tahun]],Table1[[#This Row],[Bulan]],1)</f>
        <v>44409</v>
      </c>
      <c r="G972">
        <v>201</v>
      </c>
      <c r="H972">
        <v>173</v>
      </c>
      <c r="I972" s="6">
        <f>(Table1[[#This Row],[Aktual]]-Table1[[#This Row],[Target]])</f>
        <v>28</v>
      </c>
      <c r="J972" s="3">
        <f>(Table1[[#This Row],[Aktual]]-Table1[[#This Row],[Target]])/Table1[[#This Row],[Target]]</f>
        <v>0.16184971098265896</v>
      </c>
      <c r="K972" t="str">
        <f>IF(Table1[[#This Row],[Performance Gap (%)]]&lt;0,"Tidak mencapai target", IF(Table1[[#This Row],[Performance Gap (%)]]=0,"Mencapai target", "Melebihi Target"))</f>
        <v>Melebihi Target</v>
      </c>
      <c r="L972">
        <f>VLOOKUP(Table1[[#This Row],[Propinsi]]&amp;"_"&amp;Table1[[#This Row],[Dati 2]]&amp;"_"&amp;Table1[[#This Row],[Tanggal]],Table2[[#All],[Kompetitor area]:[Jumlah Kompetitor]],7,0)</f>
        <v>173</v>
      </c>
      <c r="M972">
        <f>Table1[[#This Row],[Aktual]]-Table1[[#This Row],[Jumlah Kompetitor]]</f>
        <v>28</v>
      </c>
      <c r="N972" t="str">
        <f>IF(Table1[[#This Row],[vs Kompetitor]]&gt;0,"Win", "Lose")</f>
        <v>Win</v>
      </c>
    </row>
    <row r="973" spans="1:14" x14ac:dyDescent="0.25">
      <c r="A973">
        <v>972</v>
      </c>
      <c r="B973" t="s">
        <v>8</v>
      </c>
      <c r="C973" t="s">
        <v>160</v>
      </c>
      <c r="D973">
        <v>8</v>
      </c>
      <c r="E973">
        <v>2021</v>
      </c>
      <c r="F973" s="2">
        <f>DATE(Table1[[#This Row],[Tahun]],Table1[[#This Row],[Bulan]],1)</f>
        <v>44409</v>
      </c>
      <c r="G973">
        <v>104</v>
      </c>
      <c r="H973">
        <v>107</v>
      </c>
      <c r="I973" s="6">
        <f>(Table1[[#This Row],[Aktual]]-Table1[[#This Row],[Target]])</f>
        <v>-3</v>
      </c>
      <c r="J973" s="3">
        <f>(Table1[[#This Row],[Aktual]]-Table1[[#This Row],[Target]])/Table1[[#This Row],[Target]]</f>
        <v>-2.8037383177570093E-2</v>
      </c>
      <c r="K973" t="str">
        <f>IF(Table1[[#This Row],[Performance Gap (%)]]&lt;0,"Tidak mencapai target", IF(Table1[[#This Row],[Performance Gap (%)]]=0,"Mencapai target", "Melebihi Target"))</f>
        <v>Tidak mencapai target</v>
      </c>
      <c r="L973">
        <f>VLOOKUP(Table1[[#This Row],[Propinsi]]&amp;"_"&amp;Table1[[#This Row],[Dati 2]]&amp;"_"&amp;Table1[[#This Row],[Tanggal]],Table2[[#All],[Kompetitor area]:[Jumlah Kompetitor]],7,0)</f>
        <v>108</v>
      </c>
      <c r="M973">
        <f>Table1[[#This Row],[Aktual]]-Table1[[#This Row],[Jumlah Kompetitor]]</f>
        <v>-4</v>
      </c>
      <c r="N973" t="str">
        <f>IF(Table1[[#This Row],[vs Kompetitor]]&gt;0,"Win", "Lose")</f>
        <v>Lose</v>
      </c>
    </row>
    <row r="974" spans="1:14" x14ac:dyDescent="0.25">
      <c r="A974">
        <v>973</v>
      </c>
      <c r="B974" t="s">
        <v>8</v>
      </c>
      <c r="C974" t="s">
        <v>161</v>
      </c>
      <c r="D974">
        <v>8</v>
      </c>
      <c r="E974">
        <v>2021</v>
      </c>
      <c r="F974" s="2">
        <f>DATE(Table1[[#This Row],[Tahun]],Table1[[#This Row],[Bulan]],1)</f>
        <v>44409</v>
      </c>
      <c r="G974">
        <v>196</v>
      </c>
      <c r="H974">
        <v>169</v>
      </c>
      <c r="I974" s="6">
        <f>(Table1[[#This Row],[Aktual]]-Table1[[#This Row],[Target]])</f>
        <v>27</v>
      </c>
      <c r="J974" s="3">
        <f>(Table1[[#This Row],[Aktual]]-Table1[[#This Row],[Target]])/Table1[[#This Row],[Target]]</f>
        <v>0.15976331360946747</v>
      </c>
      <c r="K974" t="str">
        <f>IF(Table1[[#This Row],[Performance Gap (%)]]&lt;0,"Tidak mencapai target", IF(Table1[[#This Row],[Performance Gap (%)]]=0,"Mencapai target", "Melebihi Target"))</f>
        <v>Melebihi Target</v>
      </c>
      <c r="L974">
        <f>VLOOKUP(Table1[[#This Row],[Propinsi]]&amp;"_"&amp;Table1[[#This Row],[Dati 2]]&amp;"_"&amp;Table1[[#This Row],[Tanggal]],Table2[[#All],[Kompetitor area]:[Jumlah Kompetitor]],7,0)</f>
        <v>181</v>
      </c>
      <c r="M974">
        <f>Table1[[#This Row],[Aktual]]-Table1[[#This Row],[Jumlah Kompetitor]]</f>
        <v>15</v>
      </c>
      <c r="N974" t="str">
        <f>IF(Table1[[#This Row],[vs Kompetitor]]&gt;0,"Win", "Lose")</f>
        <v>Win</v>
      </c>
    </row>
    <row r="975" spans="1:14" x14ac:dyDescent="0.25">
      <c r="A975">
        <v>974</v>
      </c>
      <c r="B975" t="s">
        <v>8</v>
      </c>
      <c r="C975" t="s">
        <v>162</v>
      </c>
      <c r="D975">
        <v>8</v>
      </c>
      <c r="E975">
        <v>2021</v>
      </c>
      <c r="F975" s="2">
        <f>DATE(Table1[[#This Row],[Tahun]],Table1[[#This Row],[Bulan]],1)</f>
        <v>44409</v>
      </c>
      <c r="G975">
        <v>118</v>
      </c>
      <c r="H975">
        <v>118</v>
      </c>
      <c r="I975" s="6">
        <f>(Table1[[#This Row],[Aktual]]-Table1[[#This Row],[Target]])</f>
        <v>0</v>
      </c>
      <c r="J975" s="3">
        <f>(Table1[[#This Row],[Aktual]]-Table1[[#This Row],[Target]])/Table1[[#This Row],[Target]]</f>
        <v>0</v>
      </c>
      <c r="K975" t="str">
        <f>IF(Table1[[#This Row],[Performance Gap (%)]]&lt;0,"Tidak mencapai target", IF(Table1[[#This Row],[Performance Gap (%)]]=0,"Mencapai target", "Melebihi Target"))</f>
        <v>Mencapai target</v>
      </c>
      <c r="L975">
        <f>VLOOKUP(Table1[[#This Row],[Propinsi]]&amp;"_"&amp;Table1[[#This Row],[Dati 2]]&amp;"_"&amp;Table1[[#This Row],[Tanggal]],Table2[[#All],[Kompetitor area]:[Jumlah Kompetitor]],7,0)</f>
        <v>122</v>
      </c>
      <c r="M975">
        <f>Table1[[#This Row],[Aktual]]-Table1[[#This Row],[Jumlah Kompetitor]]</f>
        <v>-4</v>
      </c>
      <c r="N975" t="str">
        <f>IF(Table1[[#This Row],[vs Kompetitor]]&gt;0,"Win", "Lose")</f>
        <v>Lose</v>
      </c>
    </row>
    <row r="976" spans="1:14" x14ac:dyDescent="0.25">
      <c r="A976">
        <v>975</v>
      </c>
      <c r="B976" t="s">
        <v>8</v>
      </c>
      <c r="C976" t="s">
        <v>163</v>
      </c>
      <c r="D976">
        <v>8</v>
      </c>
      <c r="E976">
        <v>2021</v>
      </c>
      <c r="F976" s="2">
        <f>DATE(Table1[[#This Row],[Tahun]],Table1[[#This Row],[Bulan]],1)</f>
        <v>44409</v>
      </c>
      <c r="G976">
        <v>267</v>
      </c>
      <c r="H976">
        <v>252</v>
      </c>
      <c r="I976" s="6">
        <f>(Table1[[#This Row],[Aktual]]-Table1[[#This Row],[Target]])</f>
        <v>15</v>
      </c>
      <c r="J976" s="3">
        <f>(Table1[[#This Row],[Aktual]]-Table1[[#This Row],[Target]])/Table1[[#This Row],[Target]]</f>
        <v>5.9523809523809521E-2</v>
      </c>
      <c r="K976" t="str">
        <f>IF(Table1[[#This Row],[Performance Gap (%)]]&lt;0,"Tidak mencapai target", IF(Table1[[#This Row],[Performance Gap (%)]]=0,"Mencapai target", "Melebihi Target"))</f>
        <v>Melebihi Target</v>
      </c>
      <c r="L976">
        <f>VLOOKUP(Table1[[#This Row],[Propinsi]]&amp;"_"&amp;Table1[[#This Row],[Dati 2]]&amp;"_"&amp;Table1[[#This Row],[Tanggal]],Table2[[#All],[Kompetitor area]:[Jumlah Kompetitor]],7,0)</f>
        <v>277</v>
      </c>
      <c r="M976">
        <f>Table1[[#This Row],[Aktual]]-Table1[[#This Row],[Jumlah Kompetitor]]</f>
        <v>-10</v>
      </c>
      <c r="N976" t="str">
        <f>IF(Table1[[#This Row],[vs Kompetitor]]&gt;0,"Win", "Lose")</f>
        <v>Lose</v>
      </c>
    </row>
    <row r="977" spans="1:14" x14ac:dyDescent="0.25">
      <c r="A977">
        <v>976</v>
      </c>
      <c r="B977" t="s">
        <v>8</v>
      </c>
      <c r="C977" t="s">
        <v>164</v>
      </c>
      <c r="D977">
        <v>8</v>
      </c>
      <c r="E977">
        <v>2021</v>
      </c>
      <c r="F977" s="2">
        <f>DATE(Table1[[#This Row],[Tahun]],Table1[[#This Row],[Bulan]],1)</f>
        <v>44409</v>
      </c>
      <c r="G977">
        <v>283</v>
      </c>
      <c r="H977">
        <v>290</v>
      </c>
      <c r="I977" s="6">
        <f>(Table1[[#This Row],[Aktual]]-Table1[[#This Row],[Target]])</f>
        <v>-7</v>
      </c>
      <c r="J977" s="3">
        <f>(Table1[[#This Row],[Aktual]]-Table1[[#This Row],[Target]])/Table1[[#This Row],[Target]]</f>
        <v>-2.4137931034482758E-2</v>
      </c>
      <c r="K977" t="str">
        <f>IF(Table1[[#This Row],[Performance Gap (%)]]&lt;0,"Tidak mencapai target", IF(Table1[[#This Row],[Performance Gap (%)]]=0,"Mencapai target", "Melebihi Target"))</f>
        <v>Tidak mencapai target</v>
      </c>
      <c r="L977">
        <f>VLOOKUP(Table1[[#This Row],[Propinsi]]&amp;"_"&amp;Table1[[#This Row],[Dati 2]]&amp;"_"&amp;Table1[[#This Row],[Tanggal]],Table2[[#All],[Kompetitor area]:[Jumlah Kompetitor]],7,0)</f>
        <v>265</v>
      </c>
      <c r="M977">
        <f>Table1[[#This Row],[Aktual]]-Table1[[#This Row],[Jumlah Kompetitor]]</f>
        <v>18</v>
      </c>
      <c r="N977" t="str">
        <f>IF(Table1[[#This Row],[vs Kompetitor]]&gt;0,"Win", "Lose")</f>
        <v>Win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825E-06E3-4CBE-AF12-E4AA6A4B009D}">
  <dimension ref="A1:G489"/>
  <sheetViews>
    <sheetView workbookViewId="0"/>
  </sheetViews>
  <sheetFormatPr defaultRowHeight="15" x14ac:dyDescent="0.25"/>
  <cols>
    <col min="1" max="1" width="19.28515625" bestFit="1" customWidth="1"/>
    <col min="2" max="2" width="29.85546875" bestFit="1" customWidth="1"/>
    <col min="3" max="3" width="6" bestFit="1" customWidth="1"/>
    <col min="4" max="4" width="6.42578125" bestFit="1" customWidth="1"/>
    <col min="5" max="5" width="9.28515625" bestFit="1" customWidth="1"/>
    <col min="6" max="6" width="6.7109375" bestFit="1" customWidth="1"/>
    <col min="7" max="7" width="6.5703125" bestFit="1" customWidth="1"/>
  </cols>
  <sheetData>
    <row r="1" spans="1:7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</row>
    <row r="2" spans="1:7" x14ac:dyDescent="0.25">
      <c r="A2" s="8" t="s">
        <v>6</v>
      </c>
      <c r="B2" s="8" t="s">
        <v>43</v>
      </c>
      <c r="C2" s="8">
        <v>9</v>
      </c>
      <c r="D2" s="8">
        <v>2021</v>
      </c>
      <c r="E2" s="9">
        <v>44440</v>
      </c>
      <c r="F2" s="8">
        <v>1238</v>
      </c>
      <c r="G2" s="8">
        <v>1304</v>
      </c>
    </row>
    <row r="3" spans="1:7" x14ac:dyDescent="0.25">
      <c r="A3" s="8" t="s">
        <v>6</v>
      </c>
      <c r="B3" s="8" t="s">
        <v>44</v>
      </c>
      <c r="C3" s="8">
        <v>9</v>
      </c>
      <c r="D3" s="8">
        <v>2021</v>
      </c>
      <c r="E3" s="9">
        <v>44440</v>
      </c>
      <c r="F3" s="8">
        <v>690</v>
      </c>
      <c r="G3" s="8">
        <v>694</v>
      </c>
    </row>
    <row r="4" spans="1:7" x14ac:dyDescent="0.25">
      <c r="A4" s="8" t="s">
        <v>6</v>
      </c>
      <c r="B4" s="8" t="s">
        <v>45</v>
      </c>
      <c r="C4" s="8">
        <v>9</v>
      </c>
      <c r="D4" s="8">
        <v>2021</v>
      </c>
      <c r="E4" s="9">
        <v>44440</v>
      </c>
      <c r="F4" s="8">
        <v>983</v>
      </c>
      <c r="G4" s="8">
        <v>805</v>
      </c>
    </row>
    <row r="5" spans="1:7" x14ac:dyDescent="0.25">
      <c r="A5" s="8" t="s">
        <v>6</v>
      </c>
      <c r="B5" s="8" t="s">
        <v>46</v>
      </c>
      <c r="C5" s="8">
        <v>9</v>
      </c>
      <c r="D5" s="8">
        <v>2021</v>
      </c>
      <c r="E5" s="9">
        <v>44440</v>
      </c>
      <c r="F5" s="8">
        <v>102</v>
      </c>
      <c r="G5" s="8">
        <v>108</v>
      </c>
    </row>
    <row r="6" spans="1:7" x14ac:dyDescent="0.25">
      <c r="A6" s="8" t="s">
        <v>6</v>
      </c>
      <c r="B6" s="8" t="s">
        <v>47</v>
      </c>
      <c r="C6" s="8">
        <v>9</v>
      </c>
      <c r="D6" s="8">
        <v>2021</v>
      </c>
      <c r="E6" s="9">
        <v>44440</v>
      </c>
      <c r="F6" s="8">
        <v>1180</v>
      </c>
      <c r="G6" s="8">
        <v>1292</v>
      </c>
    </row>
    <row r="7" spans="1:7" x14ac:dyDescent="0.25">
      <c r="A7" s="8" t="s">
        <v>6</v>
      </c>
      <c r="B7" s="8" t="s">
        <v>48</v>
      </c>
      <c r="C7" s="8">
        <v>9</v>
      </c>
      <c r="D7" s="8">
        <v>2021</v>
      </c>
      <c r="E7" s="9">
        <v>44440</v>
      </c>
      <c r="F7" s="8">
        <v>524</v>
      </c>
      <c r="G7" s="8">
        <v>585</v>
      </c>
    </row>
    <row r="8" spans="1:7" x14ac:dyDescent="0.25">
      <c r="A8" s="8" t="s">
        <v>6</v>
      </c>
      <c r="B8" s="8" t="s">
        <v>49</v>
      </c>
      <c r="C8" s="8">
        <v>9</v>
      </c>
      <c r="D8" s="8">
        <v>2021</v>
      </c>
      <c r="E8" s="9">
        <v>44440</v>
      </c>
      <c r="F8" s="8">
        <v>1165</v>
      </c>
      <c r="G8" s="8">
        <v>1118</v>
      </c>
    </row>
    <row r="9" spans="1:7" x14ac:dyDescent="0.25">
      <c r="A9" s="8" t="s">
        <v>6</v>
      </c>
      <c r="B9" s="8" t="s">
        <v>50</v>
      </c>
      <c r="C9" s="8">
        <v>9</v>
      </c>
      <c r="D9" s="8">
        <v>2021</v>
      </c>
      <c r="E9" s="9">
        <v>44440</v>
      </c>
      <c r="F9" s="8">
        <v>961</v>
      </c>
      <c r="G9" s="8">
        <v>931</v>
      </c>
    </row>
    <row r="10" spans="1:7" x14ac:dyDescent="0.25">
      <c r="A10" s="8" t="s">
        <v>6</v>
      </c>
      <c r="B10" s="8" t="s">
        <v>51</v>
      </c>
      <c r="C10" s="8">
        <v>9</v>
      </c>
      <c r="D10" s="8">
        <v>2021</v>
      </c>
      <c r="E10" s="9">
        <v>44440</v>
      </c>
      <c r="F10" s="8">
        <v>167</v>
      </c>
      <c r="G10" s="8">
        <v>169</v>
      </c>
    </row>
    <row r="11" spans="1:7" x14ac:dyDescent="0.25">
      <c r="A11" s="8" t="s">
        <v>6</v>
      </c>
      <c r="B11" s="8" t="s">
        <v>52</v>
      </c>
      <c r="C11" s="8">
        <v>9</v>
      </c>
      <c r="D11" s="8">
        <v>2021</v>
      </c>
      <c r="E11" s="9">
        <v>44440</v>
      </c>
      <c r="F11" s="8">
        <v>558</v>
      </c>
      <c r="G11" s="8">
        <v>592</v>
      </c>
    </row>
    <row r="12" spans="1:7" x14ac:dyDescent="0.25">
      <c r="A12" s="8" t="s">
        <v>6</v>
      </c>
      <c r="B12" s="8" t="s">
        <v>53</v>
      </c>
      <c r="C12" s="8">
        <v>9</v>
      </c>
      <c r="D12" s="8">
        <v>2021</v>
      </c>
      <c r="E12" s="9">
        <v>44440</v>
      </c>
      <c r="F12" s="8">
        <v>465</v>
      </c>
      <c r="G12" s="8">
        <v>491</v>
      </c>
    </row>
    <row r="13" spans="1:7" x14ac:dyDescent="0.25">
      <c r="A13" s="8" t="s">
        <v>6</v>
      </c>
      <c r="B13" s="8" t="s">
        <v>54</v>
      </c>
      <c r="C13" s="8">
        <v>9</v>
      </c>
      <c r="D13" s="8">
        <v>2021</v>
      </c>
      <c r="E13" s="9">
        <v>44440</v>
      </c>
      <c r="F13" s="8">
        <v>511</v>
      </c>
      <c r="G13" s="8">
        <v>529</v>
      </c>
    </row>
    <row r="14" spans="1:7" x14ac:dyDescent="0.25">
      <c r="A14" s="8" t="s">
        <v>6</v>
      </c>
      <c r="B14" s="8" t="s">
        <v>55</v>
      </c>
      <c r="C14" s="8">
        <v>9</v>
      </c>
      <c r="D14" s="8">
        <v>2021</v>
      </c>
      <c r="E14" s="9">
        <v>44440</v>
      </c>
      <c r="F14" s="8">
        <v>342</v>
      </c>
      <c r="G14" s="8">
        <v>306</v>
      </c>
    </row>
    <row r="15" spans="1:7" x14ac:dyDescent="0.25">
      <c r="A15" s="8" t="s">
        <v>6</v>
      </c>
      <c r="B15" s="8" t="s">
        <v>56</v>
      </c>
      <c r="C15" s="8">
        <v>9</v>
      </c>
      <c r="D15" s="8">
        <v>2021</v>
      </c>
      <c r="E15" s="9">
        <v>44440</v>
      </c>
      <c r="F15" s="8">
        <v>161</v>
      </c>
      <c r="G15" s="8">
        <v>149</v>
      </c>
    </row>
    <row r="16" spans="1:7" x14ac:dyDescent="0.25">
      <c r="A16" s="8" t="s">
        <v>6</v>
      </c>
      <c r="B16" s="8" t="s">
        <v>57</v>
      </c>
      <c r="C16" s="8">
        <v>9</v>
      </c>
      <c r="D16" s="8">
        <v>2021</v>
      </c>
      <c r="E16" s="9">
        <v>44440</v>
      </c>
      <c r="F16" s="8">
        <v>630</v>
      </c>
      <c r="G16" s="8">
        <v>517</v>
      </c>
    </row>
    <row r="17" spans="1:7" x14ac:dyDescent="0.25">
      <c r="A17" s="8" t="s">
        <v>6</v>
      </c>
      <c r="B17" s="8" t="s">
        <v>58</v>
      </c>
      <c r="C17" s="8">
        <v>9</v>
      </c>
      <c r="D17" s="8">
        <v>2021</v>
      </c>
      <c r="E17" s="9">
        <v>44440</v>
      </c>
      <c r="F17" s="8">
        <v>509</v>
      </c>
      <c r="G17" s="8">
        <v>527</v>
      </c>
    </row>
    <row r="18" spans="1:7" x14ac:dyDescent="0.25">
      <c r="A18" s="8" t="s">
        <v>6</v>
      </c>
      <c r="B18" s="8" t="s">
        <v>59</v>
      </c>
      <c r="C18" s="8">
        <v>9</v>
      </c>
      <c r="D18" s="8">
        <v>2021</v>
      </c>
      <c r="E18" s="9">
        <v>44440</v>
      </c>
      <c r="F18" s="8">
        <v>182</v>
      </c>
      <c r="G18" s="8">
        <v>156</v>
      </c>
    </row>
    <row r="19" spans="1:7" x14ac:dyDescent="0.25">
      <c r="A19" s="8" t="s">
        <v>6</v>
      </c>
      <c r="B19" s="8" t="s">
        <v>60</v>
      </c>
      <c r="C19" s="8">
        <v>9</v>
      </c>
      <c r="D19" s="8">
        <v>2021</v>
      </c>
      <c r="E19" s="9">
        <v>44440</v>
      </c>
      <c r="F19" s="8">
        <v>78</v>
      </c>
      <c r="G19" s="8">
        <v>76</v>
      </c>
    </row>
    <row r="20" spans="1:7" x14ac:dyDescent="0.25">
      <c r="A20" s="8" t="s">
        <v>6</v>
      </c>
      <c r="B20" s="8" t="s">
        <v>61</v>
      </c>
      <c r="C20" s="8">
        <v>9</v>
      </c>
      <c r="D20" s="8">
        <v>2021</v>
      </c>
      <c r="E20" s="9">
        <v>44440</v>
      </c>
      <c r="F20" s="8">
        <v>524</v>
      </c>
      <c r="G20" s="8">
        <v>549</v>
      </c>
    </row>
    <row r="21" spans="1:7" x14ac:dyDescent="0.25">
      <c r="A21" s="8" t="s">
        <v>3</v>
      </c>
      <c r="B21" s="8" t="s">
        <v>62</v>
      </c>
      <c r="C21" s="8">
        <v>9</v>
      </c>
      <c r="D21" s="8">
        <v>2021</v>
      </c>
      <c r="E21" s="9">
        <v>44440</v>
      </c>
      <c r="F21" s="8">
        <v>755</v>
      </c>
      <c r="G21" s="8">
        <v>656</v>
      </c>
    </row>
    <row r="22" spans="1:7" x14ac:dyDescent="0.25">
      <c r="A22" s="8" t="s">
        <v>3</v>
      </c>
      <c r="B22" s="8" t="s">
        <v>63</v>
      </c>
      <c r="C22" s="8">
        <v>9</v>
      </c>
      <c r="D22" s="8">
        <v>2021</v>
      </c>
      <c r="E22" s="9">
        <v>44440</v>
      </c>
      <c r="F22" s="8">
        <v>941</v>
      </c>
      <c r="G22" s="8">
        <v>1014</v>
      </c>
    </row>
    <row r="23" spans="1:7" x14ac:dyDescent="0.25">
      <c r="A23" s="8" t="s">
        <v>3</v>
      </c>
      <c r="B23" s="8" t="s">
        <v>64</v>
      </c>
      <c r="C23" s="8">
        <v>9</v>
      </c>
      <c r="D23" s="8">
        <v>2021</v>
      </c>
      <c r="E23" s="9">
        <v>44440</v>
      </c>
      <c r="F23" s="8">
        <v>652</v>
      </c>
      <c r="G23" s="8">
        <v>716</v>
      </c>
    </row>
    <row r="24" spans="1:7" x14ac:dyDescent="0.25">
      <c r="A24" s="8" t="s">
        <v>3</v>
      </c>
      <c r="B24" s="8" t="s">
        <v>65</v>
      </c>
      <c r="C24" s="8">
        <v>9</v>
      </c>
      <c r="D24" s="8">
        <v>2021</v>
      </c>
      <c r="E24" s="9">
        <v>44440</v>
      </c>
      <c r="F24" s="8">
        <v>1182</v>
      </c>
      <c r="G24" s="8">
        <v>1200</v>
      </c>
    </row>
    <row r="25" spans="1:7" x14ac:dyDescent="0.25">
      <c r="A25" s="8" t="s">
        <v>3</v>
      </c>
      <c r="B25" s="8" t="s">
        <v>66</v>
      </c>
      <c r="C25" s="8">
        <v>9</v>
      </c>
      <c r="D25" s="8">
        <v>2021</v>
      </c>
      <c r="E25" s="9">
        <v>44440</v>
      </c>
      <c r="F25" s="8">
        <v>1262</v>
      </c>
      <c r="G25" s="8">
        <v>965</v>
      </c>
    </row>
    <row r="26" spans="1:7" x14ac:dyDescent="0.25">
      <c r="A26" s="8" t="s">
        <v>3</v>
      </c>
      <c r="B26" s="8" t="s">
        <v>67</v>
      </c>
      <c r="C26" s="8">
        <v>9</v>
      </c>
      <c r="D26" s="8">
        <v>2021</v>
      </c>
      <c r="E26" s="9">
        <v>44440</v>
      </c>
      <c r="F26" s="8">
        <v>22</v>
      </c>
      <c r="G26" s="8">
        <v>21</v>
      </c>
    </row>
    <row r="27" spans="1:7" x14ac:dyDescent="0.25">
      <c r="A27" s="8" t="s">
        <v>2</v>
      </c>
      <c r="B27" s="8" t="s">
        <v>68</v>
      </c>
      <c r="C27" s="8">
        <v>9</v>
      </c>
      <c r="D27" s="8">
        <v>2021</v>
      </c>
      <c r="E27" s="9">
        <v>44440</v>
      </c>
      <c r="F27" s="8">
        <v>849</v>
      </c>
      <c r="G27" s="8">
        <v>1271</v>
      </c>
    </row>
    <row r="28" spans="1:7" x14ac:dyDescent="0.25">
      <c r="A28" s="8" t="s">
        <v>2</v>
      </c>
      <c r="B28" s="8" t="s">
        <v>69</v>
      </c>
      <c r="C28" s="8">
        <v>9</v>
      </c>
      <c r="D28" s="8">
        <v>2021</v>
      </c>
      <c r="E28" s="9">
        <v>44440</v>
      </c>
      <c r="F28" s="8">
        <v>650</v>
      </c>
      <c r="G28" s="8">
        <v>587</v>
      </c>
    </row>
    <row r="29" spans="1:7" x14ac:dyDescent="0.25">
      <c r="A29" s="8" t="s">
        <v>4</v>
      </c>
      <c r="B29" s="8" t="s">
        <v>70</v>
      </c>
      <c r="C29" s="8">
        <v>9</v>
      </c>
      <c r="D29" s="8">
        <v>2021</v>
      </c>
      <c r="E29" s="9">
        <v>44440</v>
      </c>
      <c r="F29" s="8">
        <v>861</v>
      </c>
      <c r="G29" s="8">
        <v>985</v>
      </c>
    </row>
    <row r="30" spans="1:7" x14ac:dyDescent="0.25">
      <c r="A30" s="8" t="s">
        <v>4</v>
      </c>
      <c r="B30" s="8" t="s">
        <v>71</v>
      </c>
      <c r="C30" s="8">
        <v>9</v>
      </c>
      <c r="D30" s="8">
        <v>2021</v>
      </c>
      <c r="E30" s="9">
        <v>44440</v>
      </c>
      <c r="F30" s="8">
        <v>1477</v>
      </c>
      <c r="G30" s="8">
        <v>1593</v>
      </c>
    </row>
    <row r="31" spans="1:7" x14ac:dyDescent="0.25">
      <c r="A31" s="8" t="s">
        <v>4</v>
      </c>
      <c r="B31" s="8" t="s">
        <v>72</v>
      </c>
      <c r="C31" s="8">
        <v>9</v>
      </c>
      <c r="D31" s="8">
        <v>2021</v>
      </c>
      <c r="E31" s="9">
        <v>44440</v>
      </c>
      <c r="F31" s="8">
        <v>1275</v>
      </c>
      <c r="G31" s="8">
        <v>1296</v>
      </c>
    </row>
    <row r="32" spans="1:7" x14ac:dyDescent="0.25">
      <c r="A32" s="8" t="s">
        <v>4</v>
      </c>
      <c r="B32" s="8" t="s">
        <v>73</v>
      </c>
      <c r="C32" s="8">
        <v>9</v>
      </c>
      <c r="D32" s="8">
        <v>2021</v>
      </c>
      <c r="E32" s="9">
        <v>44440</v>
      </c>
      <c r="F32" s="8">
        <v>1521</v>
      </c>
      <c r="G32" s="8">
        <v>1534</v>
      </c>
    </row>
    <row r="33" spans="1:7" x14ac:dyDescent="0.25">
      <c r="A33" s="8" t="s">
        <v>4</v>
      </c>
      <c r="B33" s="8" t="s">
        <v>74</v>
      </c>
      <c r="C33" s="8">
        <v>9</v>
      </c>
      <c r="D33" s="8">
        <v>2021</v>
      </c>
      <c r="E33" s="9">
        <v>44440</v>
      </c>
      <c r="F33" s="8">
        <v>1715</v>
      </c>
      <c r="G33" s="8">
        <v>1493</v>
      </c>
    </row>
    <row r="34" spans="1:7" x14ac:dyDescent="0.25">
      <c r="A34" s="8" t="s">
        <v>4</v>
      </c>
      <c r="B34" s="8" t="s">
        <v>75</v>
      </c>
      <c r="C34" s="8">
        <v>9</v>
      </c>
      <c r="D34" s="8">
        <v>2021</v>
      </c>
      <c r="E34" s="9">
        <v>44440</v>
      </c>
      <c r="F34" s="8">
        <v>435</v>
      </c>
      <c r="G34" s="8">
        <v>478</v>
      </c>
    </row>
    <row r="35" spans="1:7" x14ac:dyDescent="0.25">
      <c r="A35" s="8" t="s">
        <v>4</v>
      </c>
      <c r="B35" s="8" t="s">
        <v>76</v>
      </c>
      <c r="C35" s="8">
        <v>9</v>
      </c>
      <c r="D35" s="8">
        <v>2021</v>
      </c>
      <c r="E35" s="9">
        <v>44440</v>
      </c>
      <c r="F35" s="8">
        <v>548</v>
      </c>
      <c r="G35" s="8">
        <v>518</v>
      </c>
    </row>
    <row r="36" spans="1:7" x14ac:dyDescent="0.25">
      <c r="A36" s="8" t="s">
        <v>4</v>
      </c>
      <c r="B36" s="8" t="s">
        <v>77</v>
      </c>
      <c r="C36" s="8">
        <v>9</v>
      </c>
      <c r="D36" s="8">
        <v>2021</v>
      </c>
      <c r="E36" s="9">
        <v>44440</v>
      </c>
      <c r="F36" s="8">
        <v>707</v>
      </c>
      <c r="G36" s="8">
        <v>663</v>
      </c>
    </row>
    <row r="37" spans="1:7" x14ac:dyDescent="0.25">
      <c r="A37" s="8" t="s">
        <v>4</v>
      </c>
      <c r="B37" s="8" t="s">
        <v>78</v>
      </c>
      <c r="C37" s="8">
        <v>9</v>
      </c>
      <c r="D37" s="8">
        <v>2021</v>
      </c>
      <c r="E37" s="9">
        <v>44440</v>
      </c>
      <c r="F37" s="8">
        <v>858</v>
      </c>
      <c r="G37" s="8">
        <v>888</v>
      </c>
    </row>
    <row r="38" spans="1:7" x14ac:dyDescent="0.25">
      <c r="A38" s="8" t="s">
        <v>2</v>
      </c>
      <c r="B38" s="8" t="s">
        <v>79</v>
      </c>
      <c r="C38" s="8">
        <v>9</v>
      </c>
      <c r="D38" s="8">
        <v>2021</v>
      </c>
      <c r="E38" s="9">
        <v>44440</v>
      </c>
      <c r="F38" s="8">
        <v>441</v>
      </c>
      <c r="G38" s="8">
        <v>393</v>
      </c>
    </row>
    <row r="39" spans="1:7" x14ac:dyDescent="0.25">
      <c r="A39" s="8" t="s">
        <v>2</v>
      </c>
      <c r="B39" s="8" t="s">
        <v>80</v>
      </c>
      <c r="C39" s="8">
        <v>9</v>
      </c>
      <c r="D39" s="8">
        <v>2021</v>
      </c>
      <c r="E39" s="9">
        <v>44440</v>
      </c>
      <c r="F39" s="8">
        <v>624</v>
      </c>
      <c r="G39" s="8">
        <v>620</v>
      </c>
    </row>
    <row r="40" spans="1:7" x14ac:dyDescent="0.25">
      <c r="A40" s="8" t="s">
        <v>2</v>
      </c>
      <c r="B40" s="8" t="s">
        <v>81</v>
      </c>
      <c r="C40" s="8">
        <v>9</v>
      </c>
      <c r="D40" s="8">
        <v>2021</v>
      </c>
      <c r="E40" s="9">
        <v>44440</v>
      </c>
      <c r="F40" s="8">
        <v>971</v>
      </c>
      <c r="G40" s="8">
        <v>1090</v>
      </c>
    </row>
    <row r="41" spans="1:7" x14ac:dyDescent="0.25">
      <c r="A41" s="8" t="s">
        <v>2</v>
      </c>
      <c r="B41" s="8" t="s">
        <v>82</v>
      </c>
      <c r="C41" s="8">
        <v>9</v>
      </c>
      <c r="D41" s="8">
        <v>2021</v>
      </c>
      <c r="E41" s="9">
        <v>44440</v>
      </c>
      <c r="F41" s="8">
        <v>263</v>
      </c>
      <c r="G41" s="8">
        <v>260</v>
      </c>
    </row>
    <row r="42" spans="1:7" x14ac:dyDescent="0.25">
      <c r="A42" s="8" t="s">
        <v>4</v>
      </c>
      <c r="B42" s="8" t="s">
        <v>83</v>
      </c>
      <c r="C42" s="8">
        <v>9</v>
      </c>
      <c r="D42" s="8">
        <v>2021</v>
      </c>
      <c r="E42" s="9">
        <v>44440</v>
      </c>
      <c r="F42" s="8">
        <v>149</v>
      </c>
      <c r="G42" s="8">
        <v>136</v>
      </c>
    </row>
    <row r="43" spans="1:7" x14ac:dyDescent="0.25">
      <c r="A43" s="8" t="s">
        <v>4</v>
      </c>
      <c r="B43" s="8" t="s">
        <v>84</v>
      </c>
      <c r="C43" s="8">
        <v>9</v>
      </c>
      <c r="D43" s="8">
        <v>2021</v>
      </c>
      <c r="E43" s="9">
        <v>44440</v>
      </c>
      <c r="F43" s="8">
        <v>1951</v>
      </c>
      <c r="G43" s="8">
        <v>1809</v>
      </c>
    </row>
    <row r="44" spans="1:7" x14ac:dyDescent="0.25">
      <c r="A44" s="8" t="s">
        <v>4</v>
      </c>
      <c r="B44" s="8" t="s">
        <v>85</v>
      </c>
      <c r="C44" s="8">
        <v>9</v>
      </c>
      <c r="D44" s="8">
        <v>2021</v>
      </c>
      <c r="E44" s="9">
        <v>44440</v>
      </c>
      <c r="F44" s="8">
        <v>926</v>
      </c>
      <c r="G44" s="8">
        <v>917</v>
      </c>
    </row>
    <row r="45" spans="1:7" x14ac:dyDescent="0.25">
      <c r="A45" s="8" t="s">
        <v>4</v>
      </c>
      <c r="B45" s="8" t="s">
        <v>86</v>
      </c>
      <c r="C45" s="8">
        <v>9</v>
      </c>
      <c r="D45" s="8">
        <v>2021</v>
      </c>
      <c r="E45" s="9">
        <v>44440</v>
      </c>
      <c r="F45" s="8">
        <v>229</v>
      </c>
      <c r="G45" s="8">
        <v>205</v>
      </c>
    </row>
    <row r="46" spans="1:7" x14ac:dyDescent="0.25">
      <c r="A46" s="8" t="s">
        <v>4</v>
      </c>
      <c r="B46" s="8" t="s">
        <v>87</v>
      </c>
      <c r="C46" s="8">
        <v>9</v>
      </c>
      <c r="D46" s="8">
        <v>2021</v>
      </c>
      <c r="E46" s="9">
        <v>44440</v>
      </c>
      <c r="F46" s="8">
        <v>1110</v>
      </c>
      <c r="G46" s="8">
        <v>1397</v>
      </c>
    </row>
    <row r="47" spans="1:7" x14ac:dyDescent="0.25">
      <c r="A47" s="8" t="s">
        <v>4</v>
      </c>
      <c r="B47" s="8" t="s">
        <v>88</v>
      </c>
      <c r="C47" s="8">
        <v>9</v>
      </c>
      <c r="D47" s="8">
        <v>2021</v>
      </c>
      <c r="E47" s="9">
        <v>44440</v>
      </c>
      <c r="F47" s="8">
        <v>896</v>
      </c>
      <c r="G47" s="8">
        <v>876</v>
      </c>
    </row>
    <row r="48" spans="1:7" x14ac:dyDescent="0.25">
      <c r="A48" s="8" t="s">
        <v>4</v>
      </c>
      <c r="B48" s="8" t="s">
        <v>89</v>
      </c>
      <c r="C48" s="8">
        <v>9</v>
      </c>
      <c r="D48" s="8">
        <v>2021</v>
      </c>
      <c r="E48" s="9">
        <v>44440</v>
      </c>
      <c r="F48" s="8">
        <v>589</v>
      </c>
      <c r="G48" s="8">
        <v>587</v>
      </c>
    </row>
    <row r="49" spans="1:7" x14ac:dyDescent="0.25">
      <c r="A49" s="8" t="s">
        <v>4</v>
      </c>
      <c r="B49" s="8" t="s">
        <v>90</v>
      </c>
      <c r="C49" s="8">
        <v>9</v>
      </c>
      <c r="D49" s="8">
        <v>2021</v>
      </c>
      <c r="E49" s="9">
        <v>44440</v>
      </c>
      <c r="F49" s="8">
        <v>511</v>
      </c>
      <c r="G49" s="8">
        <v>532</v>
      </c>
    </row>
    <row r="50" spans="1:7" x14ac:dyDescent="0.25">
      <c r="A50" s="8" t="s">
        <v>4</v>
      </c>
      <c r="B50" s="8" t="s">
        <v>91</v>
      </c>
      <c r="C50" s="8">
        <v>9</v>
      </c>
      <c r="D50" s="8">
        <v>2021</v>
      </c>
      <c r="E50" s="9">
        <v>44440</v>
      </c>
      <c r="F50" s="8">
        <v>539</v>
      </c>
      <c r="G50" s="8">
        <v>505</v>
      </c>
    </row>
    <row r="51" spans="1:7" x14ac:dyDescent="0.25">
      <c r="A51" s="8" t="s">
        <v>4</v>
      </c>
      <c r="B51" s="8" t="s">
        <v>92</v>
      </c>
      <c r="C51" s="8">
        <v>9</v>
      </c>
      <c r="D51" s="8">
        <v>2021</v>
      </c>
      <c r="E51" s="9">
        <v>44440</v>
      </c>
      <c r="F51" s="8">
        <v>649</v>
      </c>
      <c r="G51" s="8">
        <v>673</v>
      </c>
    </row>
    <row r="52" spans="1:7" x14ac:dyDescent="0.25">
      <c r="A52" s="8" t="s">
        <v>4</v>
      </c>
      <c r="B52" s="8" t="s">
        <v>93</v>
      </c>
      <c r="C52" s="8">
        <v>9</v>
      </c>
      <c r="D52" s="8">
        <v>2021</v>
      </c>
      <c r="E52" s="9">
        <v>44440</v>
      </c>
      <c r="F52" s="8">
        <v>405</v>
      </c>
      <c r="G52" s="8">
        <v>384</v>
      </c>
    </row>
    <row r="53" spans="1:7" x14ac:dyDescent="0.25">
      <c r="A53" s="8" t="s">
        <v>4</v>
      </c>
      <c r="B53" s="8" t="s">
        <v>94</v>
      </c>
      <c r="C53" s="8">
        <v>9</v>
      </c>
      <c r="D53" s="8">
        <v>2021</v>
      </c>
      <c r="E53" s="9">
        <v>44440</v>
      </c>
      <c r="F53" s="8">
        <v>83</v>
      </c>
      <c r="G53" s="8">
        <v>96</v>
      </c>
    </row>
    <row r="54" spans="1:7" x14ac:dyDescent="0.25">
      <c r="A54" s="8" t="s">
        <v>5</v>
      </c>
      <c r="B54" s="8" t="s">
        <v>95</v>
      </c>
      <c r="C54" s="8">
        <v>9</v>
      </c>
      <c r="D54" s="8">
        <v>2021</v>
      </c>
      <c r="E54" s="9">
        <v>44440</v>
      </c>
      <c r="F54" s="8">
        <v>678</v>
      </c>
      <c r="G54" s="8">
        <v>682</v>
      </c>
    </row>
    <row r="55" spans="1:7" x14ac:dyDescent="0.25">
      <c r="A55" s="8" t="s">
        <v>5</v>
      </c>
      <c r="B55" s="8" t="s">
        <v>96</v>
      </c>
      <c r="C55" s="8">
        <v>9</v>
      </c>
      <c r="D55" s="8">
        <v>2021</v>
      </c>
      <c r="E55" s="9">
        <v>44440</v>
      </c>
      <c r="F55" s="8">
        <v>157</v>
      </c>
      <c r="G55" s="8">
        <v>134</v>
      </c>
    </row>
    <row r="56" spans="1:7" x14ac:dyDescent="0.25">
      <c r="A56" s="8" t="s">
        <v>5</v>
      </c>
      <c r="B56" s="8" t="s">
        <v>97</v>
      </c>
      <c r="C56" s="8">
        <v>9</v>
      </c>
      <c r="D56" s="8">
        <v>2021</v>
      </c>
      <c r="E56" s="9">
        <v>44440</v>
      </c>
      <c r="F56" s="8">
        <v>152</v>
      </c>
      <c r="G56" s="8">
        <v>149</v>
      </c>
    </row>
    <row r="57" spans="1:7" x14ac:dyDescent="0.25">
      <c r="A57" s="8" t="s">
        <v>5</v>
      </c>
      <c r="B57" s="8" t="s">
        <v>98</v>
      </c>
      <c r="C57" s="8">
        <v>9</v>
      </c>
      <c r="D57" s="8">
        <v>2021</v>
      </c>
      <c r="E57" s="9">
        <v>44440</v>
      </c>
      <c r="F57" s="8">
        <v>533</v>
      </c>
      <c r="G57" s="8">
        <v>502</v>
      </c>
    </row>
    <row r="58" spans="1:7" x14ac:dyDescent="0.25">
      <c r="A58" s="8" t="s">
        <v>5</v>
      </c>
      <c r="B58" s="8" t="s">
        <v>99</v>
      </c>
      <c r="C58" s="8">
        <v>9</v>
      </c>
      <c r="D58" s="8">
        <v>2021</v>
      </c>
      <c r="E58" s="9">
        <v>44440</v>
      </c>
      <c r="F58" s="8">
        <v>772</v>
      </c>
      <c r="G58" s="8">
        <v>689</v>
      </c>
    </row>
    <row r="59" spans="1:7" x14ac:dyDescent="0.25">
      <c r="A59" s="8" t="s">
        <v>5</v>
      </c>
      <c r="B59" s="8" t="s">
        <v>100</v>
      </c>
      <c r="C59" s="8">
        <v>9</v>
      </c>
      <c r="D59" s="8">
        <v>2021</v>
      </c>
      <c r="E59" s="9">
        <v>44440</v>
      </c>
      <c r="F59" s="8">
        <v>196</v>
      </c>
      <c r="G59" s="8">
        <v>204</v>
      </c>
    </row>
    <row r="60" spans="1:7" x14ac:dyDescent="0.25">
      <c r="A60" s="8" t="s">
        <v>5</v>
      </c>
      <c r="B60" s="8" t="s">
        <v>101</v>
      </c>
      <c r="C60" s="8">
        <v>9</v>
      </c>
      <c r="D60" s="8">
        <v>2021</v>
      </c>
      <c r="E60" s="9">
        <v>44440</v>
      </c>
      <c r="F60" s="8">
        <v>1063</v>
      </c>
      <c r="G60" s="8">
        <v>1000</v>
      </c>
    </row>
    <row r="61" spans="1:7" x14ac:dyDescent="0.25">
      <c r="A61" s="8" t="s">
        <v>5</v>
      </c>
      <c r="B61" s="8" t="s">
        <v>102</v>
      </c>
      <c r="C61" s="8">
        <v>9</v>
      </c>
      <c r="D61" s="8">
        <v>2021</v>
      </c>
      <c r="E61" s="9">
        <v>44440</v>
      </c>
      <c r="F61" s="8">
        <v>723</v>
      </c>
      <c r="G61" s="8">
        <v>722</v>
      </c>
    </row>
    <row r="62" spans="1:7" x14ac:dyDescent="0.25">
      <c r="A62" s="8" t="s">
        <v>5</v>
      </c>
      <c r="B62" s="8" t="s">
        <v>103</v>
      </c>
      <c r="C62" s="8">
        <v>9</v>
      </c>
      <c r="D62" s="8">
        <v>2021</v>
      </c>
      <c r="E62" s="9">
        <v>44440</v>
      </c>
      <c r="F62" s="8">
        <v>1746</v>
      </c>
      <c r="G62" s="8">
        <v>1477</v>
      </c>
    </row>
    <row r="63" spans="1:7" x14ac:dyDescent="0.25">
      <c r="A63" s="8" t="s">
        <v>5</v>
      </c>
      <c r="B63" s="8" t="s">
        <v>104</v>
      </c>
      <c r="C63" s="8">
        <v>9</v>
      </c>
      <c r="D63" s="8">
        <v>2021</v>
      </c>
      <c r="E63" s="9">
        <v>44440</v>
      </c>
      <c r="F63" s="8">
        <v>1462</v>
      </c>
      <c r="G63" s="8">
        <v>1444</v>
      </c>
    </row>
    <row r="64" spans="1:7" x14ac:dyDescent="0.25">
      <c r="A64" s="8" t="s">
        <v>5</v>
      </c>
      <c r="B64" s="8" t="s">
        <v>105</v>
      </c>
      <c r="C64" s="8">
        <v>9</v>
      </c>
      <c r="D64" s="8">
        <v>2021</v>
      </c>
      <c r="E64" s="9">
        <v>44440</v>
      </c>
      <c r="F64" s="8">
        <v>618</v>
      </c>
      <c r="G64" s="8">
        <v>505</v>
      </c>
    </row>
    <row r="65" spans="1:7" x14ac:dyDescent="0.25">
      <c r="A65" s="8" t="s">
        <v>5</v>
      </c>
      <c r="B65" s="8" t="s">
        <v>106</v>
      </c>
      <c r="C65" s="8">
        <v>9</v>
      </c>
      <c r="D65" s="8">
        <v>2021</v>
      </c>
      <c r="E65" s="9">
        <v>44440</v>
      </c>
      <c r="F65" s="8">
        <v>485</v>
      </c>
      <c r="G65" s="8">
        <v>515</v>
      </c>
    </row>
    <row r="66" spans="1:7" x14ac:dyDescent="0.25">
      <c r="A66" s="8" t="s">
        <v>5</v>
      </c>
      <c r="B66" s="8" t="s">
        <v>107</v>
      </c>
      <c r="C66" s="8">
        <v>9</v>
      </c>
      <c r="D66" s="8">
        <v>2021</v>
      </c>
      <c r="E66" s="9">
        <v>44440</v>
      </c>
      <c r="F66" s="8">
        <v>594</v>
      </c>
      <c r="G66" s="8">
        <v>520</v>
      </c>
    </row>
    <row r="67" spans="1:7" x14ac:dyDescent="0.25">
      <c r="A67" s="8" t="s">
        <v>5</v>
      </c>
      <c r="B67" s="8" t="s">
        <v>108</v>
      </c>
      <c r="C67" s="8">
        <v>9</v>
      </c>
      <c r="D67" s="8">
        <v>2021</v>
      </c>
      <c r="E67" s="9">
        <v>44440</v>
      </c>
      <c r="F67" s="8">
        <v>1123</v>
      </c>
      <c r="G67" s="8">
        <v>1074</v>
      </c>
    </row>
    <row r="68" spans="1:7" x14ac:dyDescent="0.25">
      <c r="A68" s="8" t="s">
        <v>5</v>
      </c>
      <c r="B68" s="8" t="s">
        <v>109</v>
      </c>
      <c r="C68" s="8">
        <v>9</v>
      </c>
      <c r="D68" s="8">
        <v>2021</v>
      </c>
      <c r="E68" s="9">
        <v>44440</v>
      </c>
      <c r="F68" s="8">
        <v>1059</v>
      </c>
      <c r="G68" s="8">
        <v>1031</v>
      </c>
    </row>
    <row r="69" spans="1:7" x14ac:dyDescent="0.25">
      <c r="A69" s="8" t="s">
        <v>5</v>
      </c>
      <c r="B69" s="8" t="s">
        <v>110</v>
      </c>
      <c r="C69" s="8">
        <v>9</v>
      </c>
      <c r="D69" s="8">
        <v>2021</v>
      </c>
      <c r="E69" s="9">
        <v>44440</v>
      </c>
      <c r="F69" s="8">
        <v>723</v>
      </c>
      <c r="G69" s="8">
        <v>662</v>
      </c>
    </row>
    <row r="70" spans="1:7" x14ac:dyDescent="0.25">
      <c r="A70" s="8" t="s">
        <v>5</v>
      </c>
      <c r="B70" s="8" t="s">
        <v>111</v>
      </c>
      <c r="C70" s="8">
        <v>9</v>
      </c>
      <c r="D70" s="8">
        <v>2021</v>
      </c>
      <c r="E70" s="9">
        <v>44440</v>
      </c>
      <c r="F70" s="8">
        <v>595</v>
      </c>
      <c r="G70" s="8">
        <v>579</v>
      </c>
    </row>
    <row r="71" spans="1:7" x14ac:dyDescent="0.25">
      <c r="A71" s="8" t="s">
        <v>5</v>
      </c>
      <c r="B71" s="8" t="s">
        <v>112</v>
      </c>
      <c r="C71" s="8">
        <v>9</v>
      </c>
      <c r="D71" s="8">
        <v>2021</v>
      </c>
      <c r="E71" s="9">
        <v>44440</v>
      </c>
      <c r="F71" s="8">
        <v>356</v>
      </c>
      <c r="G71" s="8">
        <v>303</v>
      </c>
    </row>
    <row r="72" spans="1:7" x14ac:dyDescent="0.25">
      <c r="A72" s="8" t="s">
        <v>5</v>
      </c>
      <c r="B72" s="8" t="s">
        <v>113</v>
      </c>
      <c r="C72" s="8">
        <v>9</v>
      </c>
      <c r="D72" s="8">
        <v>2021</v>
      </c>
      <c r="E72" s="9">
        <v>44440</v>
      </c>
      <c r="F72" s="8">
        <v>746</v>
      </c>
      <c r="G72" s="8">
        <v>731</v>
      </c>
    </row>
    <row r="73" spans="1:7" x14ac:dyDescent="0.25">
      <c r="A73" s="8" t="s">
        <v>5</v>
      </c>
      <c r="B73" s="8" t="s">
        <v>114</v>
      </c>
      <c r="C73" s="8">
        <v>9</v>
      </c>
      <c r="D73" s="8">
        <v>2021</v>
      </c>
      <c r="E73" s="9">
        <v>44440</v>
      </c>
      <c r="F73" s="8">
        <v>511</v>
      </c>
      <c r="G73" s="8">
        <v>595</v>
      </c>
    </row>
    <row r="74" spans="1:7" x14ac:dyDescent="0.25">
      <c r="A74" s="8" t="s">
        <v>5</v>
      </c>
      <c r="B74" s="8" t="s">
        <v>115</v>
      </c>
      <c r="C74" s="8">
        <v>9</v>
      </c>
      <c r="D74" s="8">
        <v>2021</v>
      </c>
      <c r="E74" s="9">
        <v>44440</v>
      </c>
      <c r="F74" s="8">
        <v>483</v>
      </c>
      <c r="G74" s="8">
        <v>532</v>
      </c>
    </row>
    <row r="75" spans="1:7" x14ac:dyDescent="0.25">
      <c r="A75" s="8" t="s">
        <v>5</v>
      </c>
      <c r="B75" s="8" t="s">
        <v>116</v>
      </c>
      <c r="C75" s="8">
        <v>9</v>
      </c>
      <c r="D75" s="8">
        <v>2021</v>
      </c>
      <c r="E75" s="9">
        <v>44440</v>
      </c>
      <c r="F75" s="8">
        <v>962</v>
      </c>
      <c r="G75" s="8">
        <v>852</v>
      </c>
    </row>
    <row r="76" spans="1:7" x14ac:dyDescent="0.25">
      <c r="A76" s="8" t="s">
        <v>5</v>
      </c>
      <c r="B76" s="8" t="s">
        <v>117</v>
      </c>
      <c r="C76" s="8">
        <v>9</v>
      </c>
      <c r="D76" s="8">
        <v>2021</v>
      </c>
      <c r="E76" s="9">
        <v>44440</v>
      </c>
      <c r="F76" s="8">
        <v>1183</v>
      </c>
      <c r="G76" s="8">
        <v>1105</v>
      </c>
    </row>
    <row r="77" spans="1:7" x14ac:dyDescent="0.25">
      <c r="A77" s="8" t="s">
        <v>5</v>
      </c>
      <c r="B77" s="8" t="s">
        <v>118</v>
      </c>
      <c r="C77" s="8">
        <v>9</v>
      </c>
      <c r="D77" s="8">
        <v>2021</v>
      </c>
      <c r="E77" s="9">
        <v>44440</v>
      </c>
      <c r="F77" s="8">
        <v>704</v>
      </c>
      <c r="G77" s="8">
        <v>634</v>
      </c>
    </row>
    <row r="78" spans="1:7" x14ac:dyDescent="0.25">
      <c r="A78" s="8" t="s">
        <v>5</v>
      </c>
      <c r="B78" s="8" t="s">
        <v>119</v>
      </c>
      <c r="C78" s="8">
        <v>9</v>
      </c>
      <c r="D78" s="8">
        <v>2021</v>
      </c>
      <c r="E78" s="9">
        <v>44440</v>
      </c>
      <c r="F78" s="8">
        <v>778</v>
      </c>
      <c r="G78" s="8">
        <v>823</v>
      </c>
    </row>
    <row r="79" spans="1:7" x14ac:dyDescent="0.25">
      <c r="A79" s="8" t="s">
        <v>5</v>
      </c>
      <c r="B79" s="8" t="s">
        <v>120</v>
      </c>
      <c r="C79" s="8">
        <v>9</v>
      </c>
      <c r="D79" s="8">
        <v>2021</v>
      </c>
      <c r="E79" s="9">
        <v>44440</v>
      </c>
      <c r="F79" s="8">
        <v>777</v>
      </c>
      <c r="G79" s="8">
        <v>676</v>
      </c>
    </row>
    <row r="80" spans="1:7" x14ac:dyDescent="0.25">
      <c r="A80" s="8" t="s">
        <v>5</v>
      </c>
      <c r="B80" s="8" t="s">
        <v>121</v>
      </c>
      <c r="C80" s="8">
        <v>9</v>
      </c>
      <c r="D80" s="8">
        <v>2021</v>
      </c>
      <c r="E80" s="9">
        <v>44440</v>
      </c>
      <c r="F80" s="8">
        <v>877</v>
      </c>
      <c r="G80" s="8">
        <v>1013</v>
      </c>
    </row>
    <row r="81" spans="1:7" x14ac:dyDescent="0.25">
      <c r="A81" s="8" t="s">
        <v>5</v>
      </c>
      <c r="B81" s="8" t="s">
        <v>122</v>
      </c>
      <c r="C81" s="8">
        <v>9</v>
      </c>
      <c r="D81" s="8">
        <v>2021</v>
      </c>
      <c r="E81" s="9">
        <v>44440</v>
      </c>
      <c r="F81" s="8">
        <v>476</v>
      </c>
      <c r="G81" s="8">
        <v>522</v>
      </c>
    </row>
    <row r="82" spans="1:7" x14ac:dyDescent="0.25">
      <c r="A82" s="8" t="s">
        <v>5</v>
      </c>
      <c r="B82" s="8" t="s">
        <v>123</v>
      </c>
      <c r="C82" s="8">
        <v>9</v>
      </c>
      <c r="D82" s="8">
        <v>2021</v>
      </c>
      <c r="E82" s="9">
        <v>44440</v>
      </c>
      <c r="F82" s="8">
        <v>550</v>
      </c>
      <c r="G82" s="8">
        <v>502</v>
      </c>
    </row>
    <row r="83" spans="1:7" x14ac:dyDescent="0.25">
      <c r="A83" s="8" t="s">
        <v>5</v>
      </c>
      <c r="B83" s="8" t="s">
        <v>124</v>
      </c>
      <c r="C83" s="8">
        <v>9</v>
      </c>
      <c r="D83" s="8">
        <v>2021</v>
      </c>
      <c r="E83" s="9">
        <v>44440</v>
      </c>
      <c r="F83" s="8">
        <v>624</v>
      </c>
      <c r="G83" s="8">
        <v>617</v>
      </c>
    </row>
    <row r="84" spans="1:7" x14ac:dyDescent="0.25">
      <c r="A84" s="8" t="s">
        <v>5</v>
      </c>
      <c r="B84" s="8" t="s">
        <v>125</v>
      </c>
      <c r="C84" s="8">
        <v>9</v>
      </c>
      <c r="D84" s="8">
        <v>2021</v>
      </c>
      <c r="E84" s="9">
        <v>44440</v>
      </c>
      <c r="F84" s="8">
        <v>398</v>
      </c>
      <c r="G84" s="8">
        <v>403</v>
      </c>
    </row>
    <row r="85" spans="1:7" x14ac:dyDescent="0.25">
      <c r="A85" s="8" t="s">
        <v>7</v>
      </c>
      <c r="B85" s="8" t="s">
        <v>126</v>
      </c>
      <c r="C85" s="8">
        <v>9</v>
      </c>
      <c r="D85" s="8">
        <v>2021</v>
      </c>
      <c r="E85" s="9">
        <v>44440</v>
      </c>
      <c r="F85" s="8">
        <v>911</v>
      </c>
      <c r="G85" s="8">
        <v>967</v>
      </c>
    </row>
    <row r="86" spans="1:7" x14ac:dyDescent="0.25">
      <c r="A86" s="8" t="s">
        <v>7</v>
      </c>
      <c r="B86" s="8" t="s">
        <v>127</v>
      </c>
      <c r="C86" s="8">
        <v>9</v>
      </c>
      <c r="D86" s="8">
        <v>2021</v>
      </c>
      <c r="E86" s="9">
        <v>44440</v>
      </c>
      <c r="F86" s="8">
        <v>701</v>
      </c>
      <c r="G86" s="8">
        <v>647</v>
      </c>
    </row>
    <row r="87" spans="1:7" x14ac:dyDescent="0.25">
      <c r="A87" s="8" t="s">
        <v>7</v>
      </c>
      <c r="B87" s="8" t="s">
        <v>128</v>
      </c>
      <c r="C87" s="8">
        <v>9</v>
      </c>
      <c r="D87" s="8">
        <v>2021</v>
      </c>
      <c r="E87" s="9">
        <v>44440</v>
      </c>
      <c r="F87" s="8">
        <v>431</v>
      </c>
      <c r="G87" s="8">
        <v>437</v>
      </c>
    </row>
    <row r="88" spans="1:7" x14ac:dyDescent="0.25">
      <c r="A88" s="8" t="s">
        <v>7</v>
      </c>
      <c r="B88" s="8" t="s">
        <v>129</v>
      </c>
      <c r="C88" s="8">
        <v>9</v>
      </c>
      <c r="D88" s="8">
        <v>2021</v>
      </c>
      <c r="E88" s="9">
        <v>44440</v>
      </c>
      <c r="F88" s="8">
        <v>259</v>
      </c>
      <c r="G88" s="8">
        <v>248</v>
      </c>
    </row>
    <row r="89" spans="1:7" x14ac:dyDescent="0.25">
      <c r="A89" s="8" t="s">
        <v>7</v>
      </c>
      <c r="B89" s="8" t="s">
        <v>130</v>
      </c>
      <c r="C89" s="8">
        <v>9</v>
      </c>
      <c r="D89" s="8">
        <v>2021</v>
      </c>
      <c r="E89" s="9">
        <v>44440</v>
      </c>
      <c r="F89" s="8">
        <v>140</v>
      </c>
      <c r="G89" s="8">
        <v>157</v>
      </c>
    </row>
    <row r="90" spans="1:7" x14ac:dyDescent="0.25">
      <c r="A90" s="8" t="s">
        <v>7</v>
      </c>
      <c r="B90" s="8" t="s">
        <v>131</v>
      </c>
      <c r="C90" s="8">
        <v>9</v>
      </c>
      <c r="D90" s="8">
        <v>2021</v>
      </c>
      <c r="E90" s="9">
        <v>44440</v>
      </c>
      <c r="F90" s="8">
        <v>147</v>
      </c>
      <c r="G90" s="8">
        <v>156</v>
      </c>
    </row>
    <row r="91" spans="1:7" x14ac:dyDescent="0.25">
      <c r="A91" s="8" t="s">
        <v>7</v>
      </c>
      <c r="B91" s="8" t="s">
        <v>132</v>
      </c>
      <c r="C91" s="8">
        <v>9</v>
      </c>
      <c r="D91" s="8">
        <v>2021</v>
      </c>
      <c r="E91" s="9">
        <v>44440</v>
      </c>
      <c r="F91" s="8">
        <v>204</v>
      </c>
      <c r="G91" s="8">
        <v>181</v>
      </c>
    </row>
    <row r="92" spans="1:7" x14ac:dyDescent="0.25">
      <c r="A92" s="8" t="s">
        <v>7</v>
      </c>
      <c r="B92" s="8" t="s">
        <v>133</v>
      </c>
      <c r="C92" s="8">
        <v>9</v>
      </c>
      <c r="D92" s="8">
        <v>2021</v>
      </c>
      <c r="E92" s="9">
        <v>44440</v>
      </c>
      <c r="F92" s="8">
        <v>237</v>
      </c>
      <c r="G92" s="8">
        <v>187</v>
      </c>
    </row>
    <row r="93" spans="1:7" x14ac:dyDescent="0.25">
      <c r="A93" s="8" t="s">
        <v>7</v>
      </c>
      <c r="B93" s="8" t="s">
        <v>134</v>
      </c>
      <c r="C93" s="8">
        <v>9</v>
      </c>
      <c r="D93" s="8">
        <v>2021</v>
      </c>
      <c r="E93" s="9">
        <v>44440</v>
      </c>
      <c r="F93" s="8">
        <v>100</v>
      </c>
      <c r="G93" s="8">
        <v>106</v>
      </c>
    </row>
    <row r="94" spans="1:7" x14ac:dyDescent="0.25">
      <c r="A94" s="8" t="s">
        <v>7</v>
      </c>
      <c r="B94" s="8" t="s">
        <v>135</v>
      </c>
      <c r="C94" s="8">
        <v>9</v>
      </c>
      <c r="D94" s="8">
        <v>2021</v>
      </c>
      <c r="E94" s="9">
        <v>44440</v>
      </c>
      <c r="F94" s="8">
        <v>315</v>
      </c>
      <c r="G94" s="8">
        <v>285</v>
      </c>
    </row>
    <row r="95" spans="1:7" x14ac:dyDescent="0.25">
      <c r="A95" s="8" t="s">
        <v>7</v>
      </c>
      <c r="B95" s="8" t="s">
        <v>136</v>
      </c>
      <c r="C95" s="8">
        <v>9</v>
      </c>
      <c r="D95" s="8">
        <v>2021</v>
      </c>
      <c r="E95" s="9">
        <v>44440</v>
      </c>
      <c r="F95" s="8">
        <v>159</v>
      </c>
      <c r="G95" s="8">
        <v>127</v>
      </c>
    </row>
    <row r="96" spans="1:7" x14ac:dyDescent="0.25">
      <c r="A96" s="8" t="s">
        <v>7</v>
      </c>
      <c r="B96" s="8" t="s">
        <v>137</v>
      </c>
      <c r="C96" s="8">
        <v>9</v>
      </c>
      <c r="D96" s="8">
        <v>2021</v>
      </c>
      <c r="E96" s="9">
        <v>44440</v>
      </c>
      <c r="F96" s="8">
        <v>84</v>
      </c>
      <c r="G96" s="8">
        <v>82</v>
      </c>
    </row>
    <row r="97" spans="1:7" x14ac:dyDescent="0.25">
      <c r="A97" s="8" t="s">
        <v>7</v>
      </c>
      <c r="B97" s="8" t="s">
        <v>138</v>
      </c>
      <c r="C97" s="8">
        <v>9</v>
      </c>
      <c r="D97" s="8">
        <v>2021</v>
      </c>
      <c r="E97" s="9">
        <v>44440</v>
      </c>
      <c r="F97" s="8">
        <v>168</v>
      </c>
      <c r="G97" s="8">
        <v>154</v>
      </c>
    </row>
    <row r="98" spans="1:7" x14ac:dyDescent="0.25">
      <c r="A98" s="8" t="s">
        <v>7</v>
      </c>
      <c r="B98" s="8" t="s">
        <v>139</v>
      </c>
      <c r="C98" s="8">
        <v>9</v>
      </c>
      <c r="D98" s="8">
        <v>2021</v>
      </c>
      <c r="E98" s="9">
        <v>44440</v>
      </c>
      <c r="F98" s="8">
        <v>232</v>
      </c>
      <c r="G98" s="8">
        <v>242</v>
      </c>
    </row>
    <row r="99" spans="1:7" x14ac:dyDescent="0.25">
      <c r="A99" s="8" t="s">
        <v>7</v>
      </c>
      <c r="B99" s="8" t="s">
        <v>140</v>
      </c>
      <c r="C99" s="8">
        <v>9</v>
      </c>
      <c r="D99" s="8">
        <v>2021</v>
      </c>
      <c r="E99" s="9">
        <v>44440</v>
      </c>
      <c r="F99" s="8">
        <v>192</v>
      </c>
      <c r="G99" s="8">
        <v>176</v>
      </c>
    </row>
    <row r="100" spans="1:7" x14ac:dyDescent="0.25">
      <c r="A100" s="8" t="s">
        <v>7</v>
      </c>
      <c r="B100" s="8" t="s">
        <v>141</v>
      </c>
      <c r="C100" s="8">
        <v>9</v>
      </c>
      <c r="D100" s="8">
        <v>2021</v>
      </c>
      <c r="E100" s="9">
        <v>44440</v>
      </c>
      <c r="F100" s="8">
        <v>135</v>
      </c>
      <c r="G100" s="8">
        <v>133</v>
      </c>
    </row>
    <row r="101" spans="1:7" x14ac:dyDescent="0.25">
      <c r="A101" s="8" t="s">
        <v>7</v>
      </c>
      <c r="B101" s="8" t="s">
        <v>142</v>
      </c>
      <c r="C101" s="8">
        <v>9</v>
      </c>
      <c r="D101" s="8">
        <v>2021</v>
      </c>
      <c r="E101" s="9">
        <v>44440</v>
      </c>
      <c r="F101" s="8">
        <v>167</v>
      </c>
      <c r="G101" s="8">
        <v>153</v>
      </c>
    </row>
    <row r="102" spans="1:7" x14ac:dyDescent="0.25">
      <c r="A102" s="8" t="s">
        <v>7</v>
      </c>
      <c r="B102" s="8" t="s">
        <v>143</v>
      </c>
      <c r="C102" s="8">
        <v>9</v>
      </c>
      <c r="D102" s="8">
        <v>2021</v>
      </c>
      <c r="E102" s="9">
        <v>44440</v>
      </c>
      <c r="F102" s="8">
        <v>189</v>
      </c>
      <c r="G102" s="8">
        <v>176</v>
      </c>
    </row>
    <row r="103" spans="1:7" x14ac:dyDescent="0.25">
      <c r="A103" s="8" t="s">
        <v>7</v>
      </c>
      <c r="B103" s="8" t="s">
        <v>144</v>
      </c>
      <c r="C103" s="8">
        <v>9</v>
      </c>
      <c r="D103" s="8">
        <v>2021</v>
      </c>
      <c r="E103" s="9">
        <v>44440</v>
      </c>
      <c r="F103" s="8">
        <v>98</v>
      </c>
      <c r="G103" s="8">
        <v>104</v>
      </c>
    </row>
    <row r="104" spans="1:7" x14ac:dyDescent="0.25">
      <c r="A104" s="8" t="s">
        <v>7</v>
      </c>
      <c r="B104" s="8" t="s">
        <v>145</v>
      </c>
      <c r="C104" s="8">
        <v>9</v>
      </c>
      <c r="D104" s="8">
        <v>2021</v>
      </c>
      <c r="E104" s="9">
        <v>44440</v>
      </c>
      <c r="F104" s="8">
        <v>117</v>
      </c>
      <c r="G104" s="8">
        <v>118</v>
      </c>
    </row>
    <row r="105" spans="1:7" x14ac:dyDescent="0.25">
      <c r="A105" s="8" t="s">
        <v>7</v>
      </c>
      <c r="B105" s="8" t="s">
        <v>146</v>
      </c>
      <c r="C105" s="8">
        <v>9</v>
      </c>
      <c r="D105" s="8">
        <v>2021</v>
      </c>
      <c r="E105" s="9">
        <v>44440</v>
      </c>
      <c r="F105" s="8">
        <v>213</v>
      </c>
      <c r="G105" s="8">
        <v>199</v>
      </c>
    </row>
    <row r="106" spans="1:7" x14ac:dyDescent="0.25">
      <c r="A106" s="8" t="s">
        <v>7</v>
      </c>
      <c r="B106" s="8" t="s">
        <v>147</v>
      </c>
      <c r="C106" s="8">
        <v>9</v>
      </c>
      <c r="D106" s="8">
        <v>2021</v>
      </c>
      <c r="E106" s="9">
        <v>44440</v>
      </c>
      <c r="F106" s="8">
        <v>125</v>
      </c>
      <c r="G106" s="8">
        <v>106</v>
      </c>
    </row>
    <row r="107" spans="1:7" x14ac:dyDescent="0.25">
      <c r="A107" s="8" t="s">
        <v>7</v>
      </c>
      <c r="B107" s="8" t="s">
        <v>148</v>
      </c>
      <c r="C107" s="8">
        <v>9</v>
      </c>
      <c r="D107" s="8">
        <v>2021</v>
      </c>
      <c r="E107" s="9">
        <v>44440</v>
      </c>
      <c r="F107" s="8">
        <v>144</v>
      </c>
      <c r="G107" s="8">
        <v>178</v>
      </c>
    </row>
    <row r="108" spans="1:7" x14ac:dyDescent="0.25">
      <c r="A108" s="8" t="s">
        <v>7</v>
      </c>
      <c r="B108" s="8" t="s">
        <v>149</v>
      </c>
      <c r="C108" s="8">
        <v>9</v>
      </c>
      <c r="D108" s="8">
        <v>2021</v>
      </c>
      <c r="E108" s="9">
        <v>44440</v>
      </c>
      <c r="F108" s="8">
        <v>62</v>
      </c>
      <c r="G108" s="8">
        <v>56</v>
      </c>
    </row>
    <row r="109" spans="1:7" x14ac:dyDescent="0.25">
      <c r="A109" s="8" t="s">
        <v>8</v>
      </c>
      <c r="B109" s="8" t="s">
        <v>150</v>
      </c>
      <c r="C109" s="8">
        <v>9</v>
      </c>
      <c r="D109" s="8">
        <v>2021</v>
      </c>
      <c r="E109" s="9">
        <v>44440</v>
      </c>
      <c r="F109" s="8">
        <v>696</v>
      </c>
      <c r="G109" s="8">
        <v>681</v>
      </c>
    </row>
    <row r="110" spans="1:7" x14ac:dyDescent="0.25">
      <c r="A110" s="8" t="s">
        <v>8</v>
      </c>
      <c r="B110" s="8" t="s">
        <v>151</v>
      </c>
      <c r="C110" s="8">
        <v>9</v>
      </c>
      <c r="D110" s="8">
        <v>2021</v>
      </c>
      <c r="E110" s="9">
        <v>44440</v>
      </c>
      <c r="F110" s="8">
        <v>526</v>
      </c>
      <c r="G110" s="8">
        <v>567</v>
      </c>
    </row>
    <row r="111" spans="1:7" x14ac:dyDescent="0.25">
      <c r="A111" s="8" t="s">
        <v>8</v>
      </c>
      <c r="B111" s="8" t="s">
        <v>152</v>
      </c>
      <c r="C111" s="8">
        <v>9</v>
      </c>
      <c r="D111" s="8">
        <v>2021</v>
      </c>
      <c r="E111" s="9">
        <v>44440</v>
      </c>
      <c r="F111" s="8">
        <v>209</v>
      </c>
      <c r="G111" s="8">
        <v>172</v>
      </c>
    </row>
    <row r="112" spans="1:7" x14ac:dyDescent="0.25">
      <c r="A112" s="8" t="s">
        <v>8</v>
      </c>
      <c r="B112" s="8" t="s">
        <v>153</v>
      </c>
      <c r="C112" s="8">
        <v>9</v>
      </c>
      <c r="D112" s="8">
        <v>2021</v>
      </c>
      <c r="E112" s="9">
        <v>44440</v>
      </c>
      <c r="F112" s="8">
        <v>415</v>
      </c>
      <c r="G112" s="8">
        <v>405</v>
      </c>
    </row>
    <row r="113" spans="1:7" x14ac:dyDescent="0.25">
      <c r="A113" s="8" t="s">
        <v>8</v>
      </c>
      <c r="B113" s="8" t="s">
        <v>154</v>
      </c>
      <c r="C113" s="8">
        <v>9</v>
      </c>
      <c r="D113" s="8">
        <v>2021</v>
      </c>
      <c r="E113" s="9">
        <v>44440</v>
      </c>
      <c r="F113" s="8">
        <v>252</v>
      </c>
      <c r="G113" s="8">
        <v>254</v>
      </c>
    </row>
    <row r="114" spans="1:7" x14ac:dyDescent="0.25">
      <c r="A114" s="8" t="s">
        <v>8</v>
      </c>
      <c r="B114" s="8" t="s">
        <v>155</v>
      </c>
      <c r="C114" s="8">
        <v>9</v>
      </c>
      <c r="D114" s="8">
        <v>2021</v>
      </c>
      <c r="E114" s="9">
        <v>44440</v>
      </c>
      <c r="F114" s="8">
        <v>361</v>
      </c>
      <c r="G114" s="8">
        <v>351</v>
      </c>
    </row>
    <row r="115" spans="1:7" x14ac:dyDescent="0.25">
      <c r="A115" s="8" t="s">
        <v>8</v>
      </c>
      <c r="B115" s="8" t="s">
        <v>156</v>
      </c>
      <c r="C115" s="8">
        <v>9</v>
      </c>
      <c r="D115" s="8">
        <v>2021</v>
      </c>
      <c r="E115" s="9">
        <v>44440</v>
      </c>
      <c r="F115" s="8">
        <v>136</v>
      </c>
      <c r="G115" s="8">
        <v>135</v>
      </c>
    </row>
    <row r="116" spans="1:7" x14ac:dyDescent="0.25">
      <c r="A116" s="8" t="s">
        <v>8</v>
      </c>
      <c r="B116" s="8" t="s">
        <v>157</v>
      </c>
      <c r="C116" s="8">
        <v>9</v>
      </c>
      <c r="D116" s="8">
        <v>2021</v>
      </c>
      <c r="E116" s="9">
        <v>44440</v>
      </c>
      <c r="F116" s="8">
        <v>254</v>
      </c>
      <c r="G116" s="8">
        <v>256</v>
      </c>
    </row>
    <row r="117" spans="1:7" x14ac:dyDescent="0.25">
      <c r="A117" s="8" t="s">
        <v>8</v>
      </c>
      <c r="B117" s="8" t="s">
        <v>158</v>
      </c>
      <c r="C117" s="8">
        <v>9</v>
      </c>
      <c r="D117" s="8">
        <v>2021</v>
      </c>
      <c r="E117" s="9">
        <v>44440</v>
      </c>
      <c r="F117" s="8">
        <v>200</v>
      </c>
      <c r="G117" s="8">
        <v>183</v>
      </c>
    </row>
    <row r="118" spans="1:7" x14ac:dyDescent="0.25">
      <c r="A118" s="8" t="s">
        <v>8</v>
      </c>
      <c r="B118" s="8" t="s">
        <v>159</v>
      </c>
      <c r="C118" s="8">
        <v>9</v>
      </c>
      <c r="D118" s="8">
        <v>2021</v>
      </c>
      <c r="E118" s="9">
        <v>44440</v>
      </c>
      <c r="F118" s="8">
        <v>188</v>
      </c>
      <c r="G118" s="8">
        <v>179</v>
      </c>
    </row>
    <row r="119" spans="1:7" x14ac:dyDescent="0.25">
      <c r="A119" s="8" t="s">
        <v>8</v>
      </c>
      <c r="B119" s="8" t="s">
        <v>160</v>
      </c>
      <c r="C119" s="8">
        <v>9</v>
      </c>
      <c r="D119" s="8">
        <v>2021</v>
      </c>
      <c r="E119" s="9">
        <v>44440</v>
      </c>
      <c r="F119" s="8">
        <v>110</v>
      </c>
      <c r="G119" s="8">
        <v>108</v>
      </c>
    </row>
    <row r="120" spans="1:7" x14ac:dyDescent="0.25">
      <c r="A120" s="8" t="s">
        <v>8</v>
      </c>
      <c r="B120" s="8" t="s">
        <v>161</v>
      </c>
      <c r="C120" s="8">
        <v>9</v>
      </c>
      <c r="D120" s="8">
        <v>2021</v>
      </c>
      <c r="E120" s="9">
        <v>44440</v>
      </c>
      <c r="F120" s="8">
        <v>220</v>
      </c>
      <c r="G120" s="8">
        <v>171</v>
      </c>
    </row>
    <row r="121" spans="1:7" x14ac:dyDescent="0.25">
      <c r="A121" s="8" t="s">
        <v>8</v>
      </c>
      <c r="B121" s="8" t="s">
        <v>162</v>
      </c>
      <c r="C121" s="8">
        <v>9</v>
      </c>
      <c r="D121" s="8">
        <v>2021</v>
      </c>
      <c r="E121" s="9">
        <v>44440</v>
      </c>
      <c r="F121" s="8">
        <v>113</v>
      </c>
      <c r="G121" s="8">
        <v>118</v>
      </c>
    </row>
    <row r="122" spans="1:7" x14ac:dyDescent="0.25">
      <c r="A122" s="8" t="s">
        <v>8</v>
      </c>
      <c r="B122" s="8" t="s">
        <v>163</v>
      </c>
      <c r="C122" s="8">
        <v>9</v>
      </c>
      <c r="D122" s="8">
        <v>2021</v>
      </c>
      <c r="E122" s="9">
        <v>44440</v>
      </c>
      <c r="F122" s="8">
        <v>258</v>
      </c>
      <c r="G122" s="8">
        <v>255</v>
      </c>
    </row>
    <row r="123" spans="1:7" x14ac:dyDescent="0.25">
      <c r="A123" s="8" t="s">
        <v>8</v>
      </c>
      <c r="B123" s="8" t="s">
        <v>164</v>
      </c>
      <c r="C123" s="8">
        <v>9</v>
      </c>
      <c r="D123" s="8">
        <v>2021</v>
      </c>
      <c r="E123" s="9">
        <v>44440</v>
      </c>
      <c r="F123" s="8">
        <v>299</v>
      </c>
      <c r="G123" s="8">
        <v>296</v>
      </c>
    </row>
    <row r="124" spans="1:7" x14ac:dyDescent="0.25">
      <c r="A124" s="8" t="s">
        <v>6</v>
      </c>
      <c r="B124" s="8" t="s">
        <v>43</v>
      </c>
      <c r="C124" s="8">
        <v>10</v>
      </c>
      <c r="D124" s="8">
        <v>2021</v>
      </c>
      <c r="E124" s="9">
        <v>44470</v>
      </c>
      <c r="F124" s="8">
        <v>1277</v>
      </c>
      <c r="G124" s="8">
        <v>1317</v>
      </c>
    </row>
    <row r="125" spans="1:7" x14ac:dyDescent="0.25">
      <c r="A125" s="8" t="s">
        <v>6</v>
      </c>
      <c r="B125" s="8" t="s">
        <v>44</v>
      </c>
      <c r="C125" s="8">
        <v>10</v>
      </c>
      <c r="D125" s="8">
        <v>2021</v>
      </c>
      <c r="E125" s="9">
        <v>44470</v>
      </c>
      <c r="F125" s="8">
        <v>739</v>
      </c>
      <c r="G125" s="8">
        <v>700</v>
      </c>
    </row>
    <row r="126" spans="1:7" x14ac:dyDescent="0.25">
      <c r="A126" s="8" t="s">
        <v>6</v>
      </c>
      <c r="B126" s="8" t="s">
        <v>45</v>
      </c>
      <c r="C126" s="8">
        <v>10</v>
      </c>
      <c r="D126" s="8">
        <v>2021</v>
      </c>
      <c r="E126" s="9">
        <v>44470</v>
      </c>
      <c r="F126" s="8">
        <v>979</v>
      </c>
      <c r="G126" s="8">
        <v>821</v>
      </c>
    </row>
    <row r="127" spans="1:7" x14ac:dyDescent="0.25">
      <c r="A127" s="8" t="s">
        <v>6</v>
      </c>
      <c r="B127" s="8" t="s">
        <v>46</v>
      </c>
      <c r="C127" s="8">
        <v>10</v>
      </c>
      <c r="D127" s="8">
        <v>2021</v>
      </c>
      <c r="E127" s="9">
        <v>44470</v>
      </c>
      <c r="F127" s="8">
        <v>106</v>
      </c>
      <c r="G127" s="8">
        <v>110</v>
      </c>
    </row>
    <row r="128" spans="1:7" x14ac:dyDescent="0.25">
      <c r="A128" s="8" t="s">
        <v>6</v>
      </c>
      <c r="B128" s="8" t="s">
        <v>47</v>
      </c>
      <c r="C128" s="8">
        <v>10</v>
      </c>
      <c r="D128" s="8">
        <v>2021</v>
      </c>
      <c r="E128" s="9">
        <v>44470</v>
      </c>
      <c r="F128" s="8">
        <v>1316</v>
      </c>
      <c r="G128" s="8">
        <v>1330</v>
      </c>
    </row>
    <row r="129" spans="1:7" x14ac:dyDescent="0.25">
      <c r="A129" s="8" t="s">
        <v>6</v>
      </c>
      <c r="B129" s="8" t="s">
        <v>48</v>
      </c>
      <c r="C129" s="8">
        <v>10</v>
      </c>
      <c r="D129" s="8">
        <v>2021</v>
      </c>
      <c r="E129" s="9">
        <v>44470</v>
      </c>
      <c r="F129" s="8">
        <v>553</v>
      </c>
      <c r="G129" s="8">
        <v>591</v>
      </c>
    </row>
    <row r="130" spans="1:7" x14ac:dyDescent="0.25">
      <c r="A130" s="8" t="s">
        <v>6</v>
      </c>
      <c r="B130" s="8" t="s">
        <v>49</v>
      </c>
      <c r="C130" s="8">
        <v>10</v>
      </c>
      <c r="D130" s="8">
        <v>2021</v>
      </c>
      <c r="E130" s="9">
        <v>44470</v>
      </c>
      <c r="F130" s="8">
        <v>1087</v>
      </c>
      <c r="G130" s="8">
        <v>1130</v>
      </c>
    </row>
    <row r="131" spans="1:7" x14ac:dyDescent="0.25">
      <c r="A131" s="8" t="s">
        <v>6</v>
      </c>
      <c r="B131" s="8" t="s">
        <v>50</v>
      </c>
      <c r="C131" s="8">
        <v>10</v>
      </c>
      <c r="D131" s="8">
        <v>2021</v>
      </c>
      <c r="E131" s="9">
        <v>44470</v>
      </c>
      <c r="F131" s="8">
        <v>985</v>
      </c>
      <c r="G131" s="8">
        <v>931</v>
      </c>
    </row>
    <row r="132" spans="1:7" x14ac:dyDescent="0.25">
      <c r="A132" s="8" t="s">
        <v>6</v>
      </c>
      <c r="B132" s="8" t="s">
        <v>51</v>
      </c>
      <c r="C132" s="8">
        <v>10</v>
      </c>
      <c r="D132" s="8">
        <v>2021</v>
      </c>
      <c r="E132" s="9">
        <v>44470</v>
      </c>
      <c r="F132" s="8">
        <v>166</v>
      </c>
      <c r="G132" s="8">
        <v>175</v>
      </c>
    </row>
    <row r="133" spans="1:7" x14ac:dyDescent="0.25">
      <c r="A133" s="8" t="s">
        <v>6</v>
      </c>
      <c r="B133" s="8" t="s">
        <v>52</v>
      </c>
      <c r="C133" s="8">
        <v>10</v>
      </c>
      <c r="D133" s="8">
        <v>2021</v>
      </c>
      <c r="E133" s="9">
        <v>44470</v>
      </c>
      <c r="F133" s="8">
        <v>522</v>
      </c>
      <c r="G133" s="8">
        <v>598</v>
      </c>
    </row>
    <row r="134" spans="1:7" x14ac:dyDescent="0.25">
      <c r="A134" s="8" t="s">
        <v>6</v>
      </c>
      <c r="B134" s="8" t="s">
        <v>53</v>
      </c>
      <c r="C134" s="8">
        <v>10</v>
      </c>
      <c r="D134" s="8">
        <v>2021</v>
      </c>
      <c r="E134" s="9">
        <v>44470</v>
      </c>
      <c r="F134" s="8">
        <v>518</v>
      </c>
      <c r="G134" s="8">
        <v>501</v>
      </c>
    </row>
    <row r="135" spans="1:7" x14ac:dyDescent="0.25">
      <c r="A135" s="8" t="s">
        <v>6</v>
      </c>
      <c r="B135" s="8" t="s">
        <v>54</v>
      </c>
      <c r="C135" s="8">
        <v>10</v>
      </c>
      <c r="D135" s="8">
        <v>2021</v>
      </c>
      <c r="E135" s="9">
        <v>44470</v>
      </c>
      <c r="F135" s="8">
        <v>522</v>
      </c>
      <c r="G135" s="8">
        <v>534</v>
      </c>
    </row>
    <row r="136" spans="1:7" x14ac:dyDescent="0.25">
      <c r="A136" s="8" t="s">
        <v>6</v>
      </c>
      <c r="B136" s="8" t="s">
        <v>55</v>
      </c>
      <c r="C136" s="8">
        <v>10</v>
      </c>
      <c r="D136" s="8">
        <v>2021</v>
      </c>
      <c r="E136" s="9">
        <v>44470</v>
      </c>
      <c r="F136" s="8">
        <v>364</v>
      </c>
      <c r="G136" s="8">
        <v>315</v>
      </c>
    </row>
    <row r="137" spans="1:7" x14ac:dyDescent="0.25">
      <c r="A137" s="8" t="s">
        <v>6</v>
      </c>
      <c r="B137" s="8" t="s">
        <v>56</v>
      </c>
      <c r="C137" s="8">
        <v>10</v>
      </c>
      <c r="D137" s="8">
        <v>2021</v>
      </c>
      <c r="E137" s="9">
        <v>44470</v>
      </c>
      <c r="F137" s="8">
        <v>152</v>
      </c>
      <c r="G137" s="8">
        <v>153</v>
      </c>
    </row>
    <row r="138" spans="1:7" x14ac:dyDescent="0.25">
      <c r="A138" s="8" t="s">
        <v>6</v>
      </c>
      <c r="B138" s="8" t="s">
        <v>57</v>
      </c>
      <c r="C138" s="8">
        <v>10</v>
      </c>
      <c r="D138" s="8">
        <v>2021</v>
      </c>
      <c r="E138" s="9">
        <v>44470</v>
      </c>
      <c r="F138" s="8">
        <v>624</v>
      </c>
      <c r="G138" s="8">
        <v>517</v>
      </c>
    </row>
    <row r="139" spans="1:7" x14ac:dyDescent="0.25">
      <c r="A139" s="8" t="s">
        <v>6</v>
      </c>
      <c r="B139" s="8" t="s">
        <v>58</v>
      </c>
      <c r="C139" s="8">
        <v>10</v>
      </c>
      <c r="D139" s="8">
        <v>2021</v>
      </c>
      <c r="E139" s="9">
        <v>44470</v>
      </c>
      <c r="F139" s="8">
        <v>585</v>
      </c>
      <c r="G139" s="8">
        <v>533</v>
      </c>
    </row>
    <row r="140" spans="1:7" x14ac:dyDescent="0.25">
      <c r="A140" s="8" t="s">
        <v>6</v>
      </c>
      <c r="B140" s="8" t="s">
        <v>59</v>
      </c>
      <c r="C140" s="8">
        <v>10</v>
      </c>
      <c r="D140" s="8">
        <v>2021</v>
      </c>
      <c r="E140" s="9">
        <v>44470</v>
      </c>
      <c r="F140" s="8">
        <v>180</v>
      </c>
      <c r="G140" s="8">
        <v>156</v>
      </c>
    </row>
    <row r="141" spans="1:7" x14ac:dyDescent="0.25">
      <c r="A141" s="8" t="s">
        <v>6</v>
      </c>
      <c r="B141" s="8" t="s">
        <v>60</v>
      </c>
      <c r="C141" s="8">
        <v>10</v>
      </c>
      <c r="D141" s="8">
        <v>2021</v>
      </c>
      <c r="E141" s="9">
        <v>44470</v>
      </c>
      <c r="F141" s="8">
        <v>74</v>
      </c>
      <c r="G141" s="8">
        <v>77</v>
      </c>
    </row>
    <row r="142" spans="1:7" x14ac:dyDescent="0.25">
      <c r="A142" s="8" t="s">
        <v>6</v>
      </c>
      <c r="B142" s="8" t="s">
        <v>61</v>
      </c>
      <c r="C142" s="8">
        <v>10</v>
      </c>
      <c r="D142" s="8">
        <v>2021</v>
      </c>
      <c r="E142" s="9">
        <v>44470</v>
      </c>
      <c r="F142" s="8">
        <v>511</v>
      </c>
      <c r="G142" s="8">
        <v>566</v>
      </c>
    </row>
    <row r="143" spans="1:7" x14ac:dyDescent="0.25">
      <c r="A143" s="8" t="s">
        <v>3</v>
      </c>
      <c r="B143" s="8" t="s">
        <v>62</v>
      </c>
      <c r="C143" s="8">
        <v>10</v>
      </c>
      <c r="D143" s="8">
        <v>2021</v>
      </c>
      <c r="E143" s="9">
        <v>44470</v>
      </c>
      <c r="F143" s="8">
        <v>734</v>
      </c>
      <c r="G143" s="8">
        <v>670</v>
      </c>
    </row>
    <row r="144" spans="1:7" x14ac:dyDescent="0.25">
      <c r="A144" s="8" t="s">
        <v>3</v>
      </c>
      <c r="B144" s="8" t="s">
        <v>63</v>
      </c>
      <c r="C144" s="8">
        <v>10</v>
      </c>
      <c r="D144" s="8">
        <v>2021</v>
      </c>
      <c r="E144" s="9">
        <v>44470</v>
      </c>
      <c r="F144" s="8">
        <v>1062</v>
      </c>
      <c r="G144" s="8">
        <v>1045</v>
      </c>
    </row>
    <row r="145" spans="1:7" x14ac:dyDescent="0.25">
      <c r="A145" s="8" t="s">
        <v>3</v>
      </c>
      <c r="B145" s="8" t="s">
        <v>64</v>
      </c>
      <c r="C145" s="8">
        <v>10</v>
      </c>
      <c r="D145" s="8">
        <v>2021</v>
      </c>
      <c r="E145" s="9">
        <v>44470</v>
      </c>
      <c r="F145" s="8">
        <v>696</v>
      </c>
      <c r="G145" s="8">
        <v>730</v>
      </c>
    </row>
    <row r="146" spans="1:7" x14ac:dyDescent="0.25">
      <c r="A146" s="8" t="s">
        <v>3</v>
      </c>
      <c r="B146" s="8" t="s">
        <v>65</v>
      </c>
      <c r="C146" s="8">
        <v>10</v>
      </c>
      <c r="D146" s="8">
        <v>2021</v>
      </c>
      <c r="E146" s="9">
        <v>44470</v>
      </c>
      <c r="F146" s="8">
        <v>1298</v>
      </c>
      <c r="G146" s="8">
        <v>1236</v>
      </c>
    </row>
    <row r="147" spans="1:7" x14ac:dyDescent="0.25">
      <c r="A147" s="8" t="s">
        <v>3</v>
      </c>
      <c r="B147" s="8" t="s">
        <v>66</v>
      </c>
      <c r="C147" s="8">
        <v>10</v>
      </c>
      <c r="D147" s="8">
        <v>2021</v>
      </c>
      <c r="E147" s="9">
        <v>44470</v>
      </c>
      <c r="F147" s="8">
        <v>1266</v>
      </c>
      <c r="G147" s="8">
        <v>975</v>
      </c>
    </row>
    <row r="148" spans="1:7" x14ac:dyDescent="0.25">
      <c r="A148" s="8" t="s">
        <v>3</v>
      </c>
      <c r="B148" s="8" t="s">
        <v>67</v>
      </c>
      <c r="C148" s="8">
        <v>10</v>
      </c>
      <c r="D148" s="8">
        <v>2021</v>
      </c>
      <c r="E148" s="9">
        <v>44470</v>
      </c>
      <c r="F148" s="8">
        <v>23</v>
      </c>
      <c r="G148" s="8">
        <v>22</v>
      </c>
    </row>
    <row r="149" spans="1:7" x14ac:dyDescent="0.25">
      <c r="A149" s="8" t="s">
        <v>2</v>
      </c>
      <c r="B149" s="8" t="s">
        <v>68</v>
      </c>
      <c r="C149" s="8">
        <v>10</v>
      </c>
      <c r="D149" s="8">
        <v>2021</v>
      </c>
      <c r="E149" s="9">
        <v>44470</v>
      </c>
      <c r="F149" s="8">
        <v>813</v>
      </c>
      <c r="G149" s="8">
        <v>1271</v>
      </c>
    </row>
    <row r="150" spans="1:7" x14ac:dyDescent="0.25">
      <c r="A150" s="8" t="s">
        <v>2</v>
      </c>
      <c r="B150" s="8" t="s">
        <v>69</v>
      </c>
      <c r="C150" s="8">
        <v>10</v>
      </c>
      <c r="D150" s="8">
        <v>2021</v>
      </c>
      <c r="E150" s="9">
        <v>44470</v>
      </c>
      <c r="F150" s="8">
        <v>618</v>
      </c>
      <c r="G150" s="8">
        <v>599</v>
      </c>
    </row>
    <row r="151" spans="1:7" x14ac:dyDescent="0.25">
      <c r="A151" s="8" t="s">
        <v>4</v>
      </c>
      <c r="B151" s="8" t="s">
        <v>70</v>
      </c>
      <c r="C151" s="8">
        <v>10</v>
      </c>
      <c r="D151" s="8">
        <v>2021</v>
      </c>
      <c r="E151" s="9">
        <v>44470</v>
      </c>
      <c r="F151" s="8">
        <v>959</v>
      </c>
      <c r="G151" s="8">
        <v>985</v>
      </c>
    </row>
    <row r="152" spans="1:7" x14ac:dyDescent="0.25">
      <c r="A152" s="8" t="s">
        <v>4</v>
      </c>
      <c r="B152" s="8" t="s">
        <v>71</v>
      </c>
      <c r="C152" s="8">
        <v>10</v>
      </c>
      <c r="D152" s="8">
        <v>2021</v>
      </c>
      <c r="E152" s="9">
        <v>44470</v>
      </c>
      <c r="F152" s="8">
        <v>1408</v>
      </c>
      <c r="G152" s="8">
        <v>1641</v>
      </c>
    </row>
    <row r="153" spans="1:7" x14ac:dyDescent="0.25">
      <c r="A153" s="8" t="s">
        <v>4</v>
      </c>
      <c r="B153" s="8" t="s">
        <v>72</v>
      </c>
      <c r="C153" s="8">
        <v>10</v>
      </c>
      <c r="D153" s="8">
        <v>2021</v>
      </c>
      <c r="E153" s="9">
        <v>44470</v>
      </c>
      <c r="F153" s="8">
        <v>1153</v>
      </c>
      <c r="G153" s="8">
        <v>1309</v>
      </c>
    </row>
    <row r="154" spans="1:7" x14ac:dyDescent="0.25">
      <c r="A154" s="8" t="s">
        <v>4</v>
      </c>
      <c r="B154" s="8" t="s">
        <v>73</v>
      </c>
      <c r="C154" s="8">
        <v>10</v>
      </c>
      <c r="D154" s="8">
        <v>2021</v>
      </c>
      <c r="E154" s="9">
        <v>44470</v>
      </c>
      <c r="F154" s="8">
        <v>1475</v>
      </c>
      <c r="G154" s="8">
        <v>1550</v>
      </c>
    </row>
    <row r="155" spans="1:7" x14ac:dyDescent="0.25">
      <c r="A155" s="8" t="s">
        <v>4</v>
      </c>
      <c r="B155" s="8" t="s">
        <v>74</v>
      </c>
      <c r="C155" s="8">
        <v>10</v>
      </c>
      <c r="D155" s="8">
        <v>2021</v>
      </c>
      <c r="E155" s="9">
        <v>44470</v>
      </c>
      <c r="F155" s="8">
        <v>1522</v>
      </c>
      <c r="G155" s="8">
        <v>1538</v>
      </c>
    </row>
    <row r="156" spans="1:7" x14ac:dyDescent="0.25">
      <c r="A156" s="8" t="s">
        <v>4</v>
      </c>
      <c r="B156" s="8" t="s">
        <v>75</v>
      </c>
      <c r="C156" s="8">
        <v>10</v>
      </c>
      <c r="D156" s="8">
        <v>2021</v>
      </c>
      <c r="E156" s="9">
        <v>44470</v>
      </c>
      <c r="F156" s="8">
        <v>404</v>
      </c>
      <c r="G156" s="8">
        <v>493</v>
      </c>
    </row>
    <row r="157" spans="1:7" x14ac:dyDescent="0.25">
      <c r="A157" s="8" t="s">
        <v>4</v>
      </c>
      <c r="B157" s="8" t="s">
        <v>76</v>
      </c>
      <c r="C157" s="8">
        <v>10</v>
      </c>
      <c r="D157" s="8">
        <v>2021</v>
      </c>
      <c r="E157" s="9">
        <v>44470</v>
      </c>
      <c r="F157" s="8">
        <v>516</v>
      </c>
      <c r="G157" s="8">
        <v>528</v>
      </c>
    </row>
    <row r="158" spans="1:7" x14ac:dyDescent="0.25">
      <c r="A158" s="8" t="s">
        <v>4</v>
      </c>
      <c r="B158" s="8" t="s">
        <v>77</v>
      </c>
      <c r="C158" s="8">
        <v>10</v>
      </c>
      <c r="D158" s="8">
        <v>2021</v>
      </c>
      <c r="E158" s="9">
        <v>44470</v>
      </c>
      <c r="F158" s="8">
        <v>697</v>
      </c>
      <c r="G158" s="8">
        <v>669</v>
      </c>
    </row>
    <row r="159" spans="1:7" x14ac:dyDescent="0.25">
      <c r="A159" s="8" t="s">
        <v>4</v>
      </c>
      <c r="B159" s="8" t="s">
        <v>78</v>
      </c>
      <c r="C159" s="8">
        <v>10</v>
      </c>
      <c r="D159" s="8">
        <v>2021</v>
      </c>
      <c r="E159" s="9">
        <v>44470</v>
      </c>
      <c r="F159" s="8">
        <v>979</v>
      </c>
      <c r="G159" s="8">
        <v>914</v>
      </c>
    </row>
    <row r="160" spans="1:7" x14ac:dyDescent="0.25">
      <c r="A160" s="8" t="s">
        <v>2</v>
      </c>
      <c r="B160" s="8" t="s">
        <v>79</v>
      </c>
      <c r="C160" s="8">
        <v>10</v>
      </c>
      <c r="D160" s="8">
        <v>2021</v>
      </c>
      <c r="E160" s="9">
        <v>44470</v>
      </c>
      <c r="F160" s="8">
        <v>458</v>
      </c>
      <c r="G160" s="8">
        <v>393</v>
      </c>
    </row>
    <row r="161" spans="1:7" x14ac:dyDescent="0.25">
      <c r="A161" s="8" t="s">
        <v>2</v>
      </c>
      <c r="B161" s="8" t="s">
        <v>80</v>
      </c>
      <c r="C161" s="8">
        <v>10</v>
      </c>
      <c r="D161" s="8">
        <v>2021</v>
      </c>
      <c r="E161" s="9">
        <v>44470</v>
      </c>
      <c r="F161" s="8">
        <v>710</v>
      </c>
      <c r="G161" s="8">
        <v>639</v>
      </c>
    </row>
    <row r="162" spans="1:7" x14ac:dyDescent="0.25">
      <c r="A162" s="8" t="s">
        <v>2</v>
      </c>
      <c r="B162" s="8" t="s">
        <v>81</v>
      </c>
      <c r="C162" s="8">
        <v>10</v>
      </c>
      <c r="D162" s="8">
        <v>2021</v>
      </c>
      <c r="E162" s="9">
        <v>44470</v>
      </c>
      <c r="F162" s="8">
        <v>1096</v>
      </c>
      <c r="G162" s="8">
        <v>1101</v>
      </c>
    </row>
    <row r="163" spans="1:7" x14ac:dyDescent="0.25">
      <c r="A163" s="8" t="s">
        <v>2</v>
      </c>
      <c r="B163" s="8" t="s">
        <v>82</v>
      </c>
      <c r="C163" s="8">
        <v>10</v>
      </c>
      <c r="D163" s="8">
        <v>2021</v>
      </c>
      <c r="E163" s="9">
        <v>44470</v>
      </c>
      <c r="F163" s="8">
        <v>245</v>
      </c>
      <c r="G163" s="8">
        <v>267</v>
      </c>
    </row>
    <row r="164" spans="1:7" x14ac:dyDescent="0.25">
      <c r="A164" s="8" t="s">
        <v>4</v>
      </c>
      <c r="B164" s="8" t="s">
        <v>83</v>
      </c>
      <c r="C164" s="8">
        <v>10</v>
      </c>
      <c r="D164" s="8">
        <v>2021</v>
      </c>
      <c r="E164" s="9">
        <v>44470</v>
      </c>
      <c r="F164" s="8">
        <v>147</v>
      </c>
      <c r="G164" s="8">
        <v>139</v>
      </c>
    </row>
    <row r="165" spans="1:7" x14ac:dyDescent="0.25">
      <c r="A165" s="8" t="s">
        <v>4</v>
      </c>
      <c r="B165" s="8" t="s">
        <v>84</v>
      </c>
      <c r="C165" s="8">
        <v>10</v>
      </c>
      <c r="D165" s="8">
        <v>2021</v>
      </c>
      <c r="E165" s="9">
        <v>44470</v>
      </c>
      <c r="F165" s="8">
        <v>2161</v>
      </c>
      <c r="G165" s="8">
        <v>1828</v>
      </c>
    </row>
    <row r="166" spans="1:7" x14ac:dyDescent="0.25">
      <c r="A166" s="8" t="s">
        <v>4</v>
      </c>
      <c r="B166" s="8" t="s">
        <v>85</v>
      </c>
      <c r="C166" s="8">
        <v>10</v>
      </c>
      <c r="D166" s="8">
        <v>2021</v>
      </c>
      <c r="E166" s="9">
        <v>44470</v>
      </c>
      <c r="F166" s="8">
        <v>993</v>
      </c>
      <c r="G166" s="8">
        <v>936</v>
      </c>
    </row>
    <row r="167" spans="1:7" x14ac:dyDescent="0.25">
      <c r="A167" s="8" t="s">
        <v>4</v>
      </c>
      <c r="B167" s="8" t="s">
        <v>86</v>
      </c>
      <c r="C167" s="8">
        <v>10</v>
      </c>
      <c r="D167" s="8">
        <v>2021</v>
      </c>
      <c r="E167" s="9">
        <v>44470</v>
      </c>
      <c r="F167" s="8">
        <v>234</v>
      </c>
      <c r="G167" s="8">
        <v>211</v>
      </c>
    </row>
    <row r="168" spans="1:7" x14ac:dyDescent="0.25">
      <c r="A168" s="8" t="s">
        <v>4</v>
      </c>
      <c r="B168" s="8" t="s">
        <v>87</v>
      </c>
      <c r="C168" s="8">
        <v>10</v>
      </c>
      <c r="D168" s="8">
        <v>2021</v>
      </c>
      <c r="E168" s="9">
        <v>44470</v>
      </c>
      <c r="F168" s="8">
        <v>1278</v>
      </c>
      <c r="G168" s="8">
        <v>1411</v>
      </c>
    </row>
    <row r="169" spans="1:7" x14ac:dyDescent="0.25">
      <c r="A169" s="8" t="s">
        <v>4</v>
      </c>
      <c r="B169" s="8" t="s">
        <v>88</v>
      </c>
      <c r="C169" s="8">
        <v>10</v>
      </c>
      <c r="D169" s="8">
        <v>2021</v>
      </c>
      <c r="E169" s="9">
        <v>44470</v>
      </c>
      <c r="F169" s="8">
        <v>923</v>
      </c>
      <c r="G169" s="8">
        <v>903</v>
      </c>
    </row>
    <row r="170" spans="1:7" x14ac:dyDescent="0.25">
      <c r="A170" s="8" t="s">
        <v>4</v>
      </c>
      <c r="B170" s="8" t="s">
        <v>89</v>
      </c>
      <c r="C170" s="8">
        <v>10</v>
      </c>
      <c r="D170" s="8">
        <v>2021</v>
      </c>
      <c r="E170" s="9">
        <v>44470</v>
      </c>
      <c r="F170" s="8">
        <v>570</v>
      </c>
      <c r="G170" s="8">
        <v>587</v>
      </c>
    </row>
    <row r="171" spans="1:7" x14ac:dyDescent="0.25">
      <c r="A171" s="8" t="s">
        <v>4</v>
      </c>
      <c r="B171" s="8" t="s">
        <v>90</v>
      </c>
      <c r="C171" s="8">
        <v>10</v>
      </c>
      <c r="D171" s="8">
        <v>2021</v>
      </c>
      <c r="E171" s="9">
        <v>44470</v>
      </c>
      <c r="F171" s="8">
        <v>579</v>
      </c>
      <c r="G171" s="8">
        <v>548</v>
      </c>
    </row>
    <row r="172" spans="1:7" x14ac:dyDescent="0.25">
      <c r="A172" s="8" t="s">
        <v>4</v>
      </c>
      <c r="B172" s="8" t="s">
        <v>91</v>
      </c>
      <c r="C172" s="8">
        <v>10</v>
      </c>
      <c r="D172" s="8">
        <v>2021</v>
      </c>
      <c r="E172" s="9">
        <v>44470</v>
      </c>
      <c r="F172" s="8">
        <v>507</v>
      </c>
      <c r="G172" s="8">
        <v>520</v>
      </c>
    </row>
    <row r="173" spans="1:7" x14ac:dyDescent="0.25">
      <c r="A173" s="8" t="s">
        <v>4</v>
      </c>
      <c r="B173" s="8" t="s">
        <v>92</v>
      </c>
      <c r="C173" s="8">
        <v>10</v>
      </c>
      <c r="D173" s="8">
        <v>2021</v>
      </c>
      <c r="E173" s="9">
        <v>44470</v>
      </c>
      <c r="F173" s="8">
        <v>716</v>
      </c>
      <c r="G173" s="8">
        <v>687</v>
      </c>
    </row>
    <row r="174" spans="1:7" x14ac:dyDescent="0.25">
      <c r="A174" s="8" t="s">
        <v>4</v>
      </c>
      <c r="B174" s="8" t="s">
        <v>93</v>
      </c>
      <c r="C174" s="8">
        <v>10</v>
      </c>
      <c r="D174" s="8">
        <v>2021</v>
      </c>
      <c r="E174" s="9">
        <v>44470</v>
      </c>
      <c r="F174" s="8">
        <v>382</v>
      </c>
      <c r="G174" s="8">
        <v>392</v>
      </c>
    </row>
    <row r="175" spans="1:7" x14ac:dyDescent="0.25">
      <c r="A175" s="8" t="s">
        <v>4</v>
      </c>
      <c r="B175" s="8" t="s">
        <v>94</v>
      </c>
      <c r="C175" s="8">
        <v>10</v>
      </c>
      <c r="D175" s="8">
        <v>2021</v>
      </c>
      <c r="E175" s="9">
        <v>44470</v>
      </c>
      <c r="F175" s="8">
        <v>95</v>
      </c>
      <c r="G175" s="8">
        <v>97</v>
      </c>
    </row>
    <row r="176" spans="1:7" x14ac:dyDescent="0.25">
      <c r="A176" s="8" t="s">
        <v>5</v>
      </c>
      <c r="B176" s="8" t="s">
        <v>95</v>
      </c>
      <c r="C176" s="8">
        <v>10</v>
      </c>
      <c r="D176" s="8">
        <v>2021</v>
      </c>
      <c r="E176" s="9">
        <v>44470</v>
      </c>
      <c r="F176" s="8">
        <v>648</v>
      </c>
      <c r="G176" s="8">
        <v>682</v>
      </c>
    </row>
    <row r="177" spans="1:7" x14ac:dyDescent="0.25">
      <c r="A177" s="8" t="s">
        <v>5</v>
      </c>
      <c r="B177" s="8" t="s">
        <v>96</v>
      </c>
      <c r="C177" s="8">
        <v>10</v>
      </c>
      <c r="D177" s="8">
        <v>2021</v>
      </c>
      <c r="E177" s="9">
        <v>44470</v>
      </c>
      <c r="F177" s="8">
        <v>138</v>
      </c>
      <c r="G177" s="8">
        <v>138</v>
      </c>
    </row>
    <row r="178" spans="1:7" x14ac:dyDescent="0.25">
      <c r="A178" s="8" t="s">
        <v>5</v>
      </c>
      <c r="B178" s="8" t="s">
        <v>97</v>
      </c>
      <c r="C178" s="8">
        <v>10</v>
      </c>
      <c r="D178" s="8">
        <v>2021</v>
      </c>
      <c r="E178" s="9">
        <v>44470</v>
      </c>
      <c r="F178" s="8">
        <v>146</v>
      </c>
      <c r="G178" s="8">
        <v>152</v>
      </c>
    </row>
    <row r="179" spans="1:7" x14ac:dyDescent="0.25">
      <c r="A179" s="8" t="s">
        <v>5</v>
      </c>
      <c r="B179" s="8" t="s">
        <v>98</v>
      </c>
      <c r="C179" s="8">
        <v>10</v>
      </c>
      <c r="D179" s="8">
        <v>2021</v>
      </c>
      <c r="E179" s="9">
        <v>44470</v>
      </c>
      <c r="F179" s="8">
        <v>455</v>
      </c>
      <c r="G179" s="8">
        <v>517</v>
      </c>
    </row>
    <row r="180" spans="1:7" x14ac:dyDescent="0.25">
      <c r="A180" s="8" t="s">
        <v>5</v>
      </c>
      <c r="B180" s="8" t="s">
        <v>99</v>
      </c>
      <c r="C180" s="8">
        <v>10</v>
      </c>
      <c r="D180" s="8">
        <v>2021</v>
      </c>
      <c r="E180" s="9">
        <v>44470</v>
      </c>
      <c r="F180" s="8">
        <v>703</v>
      </c>
      <c r="G180" s="8">
        <v>696</v>
      </c>
    </row>
    <row r="181" spans="1:7" x14ac:dyDescent="0.25">
      <c r="A181" s="8" t="s">
        <v>5</v>
      </c>
      <c r="B181" s="8" t="s">
        <v>100</v>
      </c>
      <c r="C181" s="8">
        <v>10</v>
      </c>
      <c r="D181" s="8">
        <v>2021</v>
      </c>
      <c r="E181" s="9">
        <v>44470</v>
      </c>
      <c r="F181" s="8">
        <v>199</v>
      </c>
      <c r="G181" s="8">
        <v>206</v>
      </c>
    </row>
    <row r="182" spans="1:7" x14ac:dyDescent="0.25">
      <c r="A182" s="8" t="s">
        <v>5</v>
      </c>
      <c r="B182" s="8" t="s">
        <v>101</v>
      </c>
      <c r="C182" s="8">
        <v>10</v>
      </c>
      <c r="D182" s="8">
        <v>2021</v>
      </c>
      <c r="E182" s="9">
        <v>44470</v>
      </c>
      <c r="F182" s="8">
        <v>976</v>
      </c>
      <c r="G182" s="8">
        <v>1020</v>
      </c>
    </row>
    <row r="183" spans="1:7" x14ac:dyDescent="0.25">
      <c r="A183" s="8" t="s">
        <v>5</v>
      </c>
      <c r="B183" s="8" t="s">
        <v>102</v>
      </c>
      <c r="C183" s="8">
        <v>10</v>
      </c>
      <c r="D183" s="8">
        <v>2021</v>
      </c>
      <c r="E183" s="9">
        <v>44470</v>
      </c>
      <c r="F183" s="8">
        <v>756</v>
      </c>
      <c r="G183" s="8">
        <v>729</v>
      </c>
    </row>
    <row r="184" spans="1:7" x14ac:dyDescent="0.25">
      <c r="A184" s="8" t="s">
        <v>5</v>
      </c>
      <c r="B184" s="8" t="s">
        <v>103</v>
      </c>
      <c r="C184" s="8">
        <v>10</v>
      </c>
      <c r="D184" s="8">
        <v>2021</v>
      </c>
      <c r="E184" s="9">
        <v>44470</v>
      </c>
      <c r="F184" s="8">
        <v>1757</v>
      </c>
      <c r="G184" s="8">
        <v>1521</v>
      </c>
    </row>
    <row r="185" spans="1:7" x14ac:dyDescent="0.25">
      <c r="A185" s="8" t="s">
        <v>5</v>
      </c>
      <c r="B185" s="8" t="s">
        <v>104</v>
      </c>
      <c r="C185" s="8">
        <v>10</v>
      </c>
      <c r="D185" s="8">
        <v>2021</v>
      </c>
      <c r="E185" s="9">
        <v>44470</v>
      </c>
      <c r="F185" s="8">
        <v>1476</v>
      </c>
      <c r="G185" s="8">
        <v>1487</v>
      </c>
    </row>
    <row r="186" spans="1:7" x14ac:dyDescent="0.25">
      <c r="A186" s="8" t="s">
        <v>5</v>
      </c>
      <c r="B186" s="8" t="s">
        <v>105</v>
      </c>
      <c r="C186" s="8">
        <v>10</v>
      </c>
      <c r="D186" s="8">
        <v>2021</v>
      </c>
      <c r="E186" s="9">
        <v>44470</v>
      </c>
      <c r="F186" s="8">
        <v>524</v>
      </c>
      <c r="G186" s="8">
        <v>505</v>
      </c>
    </row>
    <row r="187" spans="1:7" x14ac:dyDescent="0.25">
      <c r="A187" s="8" t="s">
        <v>5</v>
      </c>
      <c r="B187" s="8" t="s">
        <v>106</v>
      </c>
      <c r="C187" s="8">
        <v>10</v>
      </c>
      <c r="D187" s="8">
        <v>2021</v>
      </c>
      <c r="E187" s="9">
        <v>44470</v>
      </c>
      <c r="F187" s="8">
        <v>503</v>
      </c>
      <c r="G187" s="8">
        <v>515</v>
      </c>
    </row>
    <row r="188" spans="1:7" x14ac:dyDescent="0.25">
      <c r="A188" s="8" t="s">
        <v>5</v>
      </c>
      <c r="B188" s="8" t="s">
        <v>107</v>
      </c>
      <c r="C188" s="8">
        <v>10</v>
      </c>
      <c r="D188" s="8">
        <v>2021</v>
      </c>
      <c r="E188" s="9">
        <v>44470</v>
      </c>
      <c r="F188" s="8">
        <v>621</v>
      </c>
      <c r="G188" s="8">
        <v>520</v>
      </c>
    </row>
    <row r="189" spans="1:7" x14ac:dyDescent="0.25">
      <c r="A189" s="8" t="s">
        <v>5</v>
      </c>
      <c r="B189" s="8" t="s">
        <v>108</v>
      </c>
      <c r="C189" s="8">
        <v>10</v>
      </c>
      <c r="D189" s="8">
        <v>2021</v>
      </c>
      <c r="E189" s="9">
        <v>44470</v>
      </c>
      <c r="F189" s="8">
        <v>1212</v>
      </c>
      <c r="G189" s="8">
        <v>1085</v>
      </c>
    </row>
    <row r="190" spans="1:7" x14ac:dyDescent="0.25">
      <c r="A190" s="8" t="s">
        <v>5</v>
      </c>
      <c r="B190" s="8" t="s">
        <v>109</v>
      </c>
      <c r="C190" s="8">
        <v>10</v>
      </c>
      <c r="D190" s="8">
        <v>2021</v>
      </c>
      <c r="E190" s="9">
        <v>44470</v>
      </c>
      <c r="F190" s="8">
        <v>1045</v>
      </c>
      <c r="G190" s="8">
        <v>1052</v>
      </c>
    </row>
    <row r="191" spans="1:7" x14ac:dyDescent="0.25">
      <c r="A191" s="8" t="s">
        <v>5</v>
      </c>
      <c r="B191" s="8" t="s">
        <v>110</v>
      </c>
      <c r="C191" s="8">
        <v>10</v>
      </c>
      <c r="D191" s="8">
        <v>2021</v>
      </c>
      <c r="E191" s="9">
        <v>44470</v>
      </c>
      <c r="F191" s="8">
        <v>699</v>
      </c>
      <c r="G191" s="8">
        <v>669</v>
      </c>
    </row>
    <row r="192" spans="1:7" x14ac:dyDescent="0.25">
      <c r="A192" s="8" t="s">
        <v>5</v>
      </c>
      <c r="B192" s="8" t="s">
        <v>111</v>
      </c>
      <c r="C192" s="8">
        <v>10</v>
      </c>
      <c r="D192" s="8">
        <v>2021</v>
      </c>
      <c r="E192" s="9">
        <v>44470</v>
      </c>
      <c r="F192" s="8">
        <v>572</v>
      </c>
      <c r="G192" s="8">
        <v>579</v>
      </c>
    </row>
    <row r="193" spans="1:7" x14ac:dyDescent="0.25">
      <c r="A193" s="8" t="s">
        <v>5</v>
      </c>
      <c r="B193" s="8" t="s">
        <v>112</v>
      </c>
      <c r="C193" s="8">
        <v>10</v>
      </c>
      <c r="D193" s="8">
        <v>2021</v>
      </c>
      <c r="E193" s="9">
        <v>44470</v>
      </c>
      <c r="F193" s="8">
        <v>350</v>
      </c>
      <c r="G193" s="8">
        <v>309</v>
      </c>
    </row>
    <row r="194" spans="1:7" x14ac:dyDescent="0.25">
      <c r="A194" s="8" t="s">
        <v>5</v>
      </c>
      <c r="B194" s="8" t="s">
        <v>113</v>
      </c>
      <c r="C194" s="8">
        <v>10</v>
      </c>
      <c r="D194" s="8">
        <v>2021</v>
      </c>
      <c r="E194" s="9">
        <v>44470</v>
      </c>
      <c r="F194" s="8">
        <v>830</v>
      </c>
      <c r="G194" s="8">
        <v>753</v>
      </c>
    </row>
    <row r="195" spans="1:7" x14ac:dyDescent="0.25">
      <c r="A195" s="8" t="s">
        <v>5</v>
      </c>
      <c r="B195" s="8" t="s">
        <v>114</v>
      </c>
      <c r="C195" s="8">
        <v>10</v>
      </c>
      <c r="D195" s="8">
        <v>2021</v>
      </c>
      <c r="E195" s="9">
        <v>44470</v>
      </c>
      <c r="F195" s="8">
        <v>528</v>
      </c>
      <c r="G195" s="8">
        <v>607</v>
      </c>
    </row>
    <row r="196" spans="1:7" x14ac:dyDescent="0.25">
      <c r="A196" s="8" t="s">
        <v>5</v>
      </c>
      <c r="B196" s="8" t="s">
        <v>115</v>
      </c>
      <c r="C196" s="8">
        <v>10</v>
      </c>
      <c r="D196" s="8">
        <v>2021</v>
      </c>
      <c r="E196" s="9">
        <v>44470</v>
      </c>
      <c r="F196" s="8">
        <v>483</v>
      </c>
      <c r="G196" s="8">
        <v>548</v>
      </c>
    </row>
    <row r="197" spans="1:7" x14ac:dyDescent="0.25">
      <c r="A197" s="8" t="s">
        <v>5</v>
      </c>
      <c r="B197" s="8" t="s">
        <v>116</v>
      </c>
      <c r="C197" s="8">
        <v>10</v>
      </c>
      <c r="D197" s="8">
        <v>2021</v>
      </c>
      <c r="E197" s="9">
        <v>44470</v>
      </c>
      <c r="F197" s="8">
        <v>944</v>
      </c>
      <c r="G197" s="8">
        <v>878</v>
      </c>
    </row>
    <row r="198" spans="1:7" x14ac:dyDescent="0.25">
      <c r="A198" s="8" t="s">
        <v>5</v>
      </c>
      <c r="B198" s="8" t="s">
        <v>117</v>
      </c>
      <c r="C198" s="8">
        <v>10</v>
      </c>
      <c r="D198" s="8">
        <v>2021</v>
      </c>
      <c r="E198" s="9">
        <v>44470</v>
      </c>
      <c r="F198" s="8">
        <v>1078</v>
      </c>
      <c r="G198" s="8">
        <v>1116</v>
      </c>
    </row>
    <row r="199" spans="1:7" x14ac:dyDescent="0.25">
      <c r="A199" s="8" t="s">
        <v>5</v>
      </c>
      <c r="B199" s="8" t="s">
        <v>118</v>
      </c>
      <c r="C199" s="8">
        <v>10</v>
      </c>
      <c r="D199" s="8">
        <v>2021</v>
      </c>
      <c r="E199" s="9">
        <v>44470</v>
      </c>
      <c r="F199" s="8">
        <v>711</v>
      </c>
      <c r="G199" s="8">
        <v>647</v>
      </c>
    </row>
    <row r="200" spans="1:7" x14ac:dyDescent="0.25">
      <c r="A200" s="8" t="s">
        <v>5</v>
      </c>
      <c r="B200" s="8" t="s">
        <v>119</v>
      </c>
      <c r="C200" s="8">
        <v>10</v>
      </c>
      <c r="D200" s="8">
        <v>2021</v>
      </c>
      <c r="E200" s="9">
        <v>44470</v>
      </c>
      <c r="F200" s="8">
        <v>850</v>
      </c>
      <c r="G200" s="8">
        <v>847</v>
      </c>
    </row>
    <row r="201" spans="1:7" x14ac:dyDescent="0.25">
      <c r="A201" s="8" t="s">
        <v>5</v>
      </c>
      <c r="B201" s="8" t="s">
        <v>120</v>
      </c>
      <c r="C201" s="8">
        <v>10</v>
      </c>
      <c r="D201" s="8">
        <v>2021</v>
      </c>
      <c r="E201" s="9">
        <v>44470</v>
      </c>
      <c r="F201" s="8">
        <v>739</v>
      </c>
      <c r="G201" s="8">
        <v>696</v>
      </c>
    </row>
    <row r="202" spans="1:7" x14ac:dyDescent="0.25">
      <c r="A202" s="8" t="s">
        <v>5</v>
      </c>
      <c r="B202" s="8" t="s">
        <v>121</v>
      </c>
      <c r="C202" s="8">
        <v>10</v>
      </c>
      <c r="D202" s="8">
        <v>2021</v>
      </c>
      <c r="E202" s="9">
        <v>44470</v>
      </c>
      <c r="F202" s="8">
        <v>986</v>
      </c>
      <c r="G202" s="8">
        <v>1033</v>
      </c>
    </row>
    <row r="203" spans="1:7" x14ac:dyDescent="0.25">
      <c r="A203" s="8" t="s">
        <v>5</v>
      </c>
      <c r="B203" s="8" t="s">
        <v>122</v>
      </c>
      <c r="C203" s="8">
        <v>10</v>
      </c>
      <c r="D203" s="8">
        <v>2021</v>
      </c>
      <c r="E203" s="9">
        <v>44470</v>
      </c>
      <c r="F203" s="8">
        <v>475</v>
      </c>
      <c r="G203" s="8">
        <v>538</v>
      </c>
    </row>
    <row r="204" spans="1:7" x14ac:dyDescent="0.25">
      <c r="A204" s="8" t="s">
        <v>5</v>
      </c>
      <c r="B204" s="8" t="s">
        <v>123</v>
      </c>
      <c r="C204" s="8">
        <v>10</v>
      </c>
      <c r="D204" s="8">
        <v>2021</v>
      </c>
      <c r="E204" s="9">
        <v>44470</v>
      </c>
      <c r="F204" s="8">
        <v>474</v>
      </c>
      <c r="G204" s="8">
        <v>507</v>
      </c>
    </row>
    <row r="205" spans="1:7" x14ac:dyDescent="0.25">
      <c r="A205" s="8" t="s">
        <v>5</v>
      </c>
      <c r="B205" s="8" t="s">
        <v>124</v>
      </c>
      <c r="C205" s="8">
        <v>10</v>
      </c>
      <c r="D205" s="8">
        <v>2021</v>
      </c>
      <c r="E205" s="9">
        <v>44470</v>
      </c>
      <c r="F205" s="8">
        <v>619</v>
      </c>
      <c r="G205" s="8">
        <v>617</v>
      </c>
    </row>
    <row r="206" spans="1:7" x14ac:dyDescent="0.25">
      <c r="A206" s="8" t="s">
        <v>5</v>
      </c>
      <c r="B206" s="8" t="s">
        <v>125</v>
      </c>
      <c r="C206" s="8">
        <v>10</v>
      </c>
      <c r="D206" s="8">
        <v>2021</v>
      </c>
      <c r="E206" s="9">
        <v>44470</v>
      </c>
      <c r="F206" s="8">
        <v>435</v>
      </c>
      <c r="G206" s="8">
        <v>411</v>
      </c>
    </row>
    <row r="207" spans="1:7" x14ac:dyDescent="0.25">
      <c r="A207" s="8" t="s">
        <v>7</v>
      </c>
      <c r="B207" s="8" t="s">
        <v>126</v>
      </c>
      <c r="C207" s="8">
        <v>10</v>
      </c>
      <c r="D207" s="8">
        <v>2021</v>
      </c>
      <c r="E207" s="9">
        <v>44470</v>
      </c>
      <c r="F207" s="8">
        <v>921</v>
      </c>
      <c r="G207" s="8">
        <v>996</v>
      </c>
    </row>
    <row r="208" spans="1:7" x14ac:dyDescent="0.25">
      <c r="A208" s="8" t="s">
        <v>7</v>
      </c>
      <c r="B208" s="8" t="s">
        <v>127</v>
      </c>
      <c r="C208" s="8">
        <v>10</v>
      </c>
      <c r="D208" s="8">
        <v>2021</v>
      </c>
      <c r="E208" s="9">
        <v>44470</v>
      </c>
      <c r="F208" s="8">
        <v>712</v>
      </c>
      <c r="G208" s="8">
        <v>647</v>
      </c>
    </row>
    <row r="209" spans="1:7" x14ac:dyDescent="0.25">
      <c r="A209" s="8" t="s">
        <v>7</v>
      </c>
      <c r="B209" s="8" t="s">
        <v>128</v>
      </c>
      <c r="C209" s="8">
        <v>10</v>
      </c>
      <c r="D209" s="8">
        <v>2021</v>
      </c>
      <c r="E209" s="9">
        <v>44470</v>
      </c>
      <c r="F209" s="8">
        <v>406</v>
      </c>
      <c r="G209" s="8">
        <v>442</v>
      </c>
    </row>
    <row r="210" spans="1:7" x14ac:dyDescent="0.25">
      <c r="A210" s="8" t="s">
        <v>7</v>
      </c>
      <c r="B210" s="8" t="s">
        <v>129</v>
      </c>
      <c r="C210" s="8">
        <v>10</v>
      </c>
      <c r="D210" s="8">
        <v>2021</v>
      </c>
      <c r="E210" s="9">
        <v>44470</v>
      </c>
      <c r="F210" s="8">
        <v>224</v>
      </c>
      <c r="G210" s="8">
        <v>248</v>
      </c>
    </row>
    <row r="211" spans="1:7" x14ac:dyDescent="0.25">
      <c r="A211" s="8" t="s">
        <v>7</v>
      </c>
      <c r="B211" s="8" t="s">
        <v>130</v>
      </c>
      <c r="C211" s="8">
        <v>10</v>
      </c>
      <c r="D211" s="8">
        <v>2021</v>
      </c>
      <c r="E211" s="9">
        <v>44470</v>
      </c>
      <c r="F211" s="8">
        <v>142</v>
      </c>
      <c r="G211" s="8">
        <v>161</v>
      </c>
    </row>
    <row r="212" spans="1:7" x14ac:dyDescent="0.25">
      <c r="A212" s="8" t="s">
        <v>7</v>
      </c>
      <c r="B212" s="8" t="s">
        <v>131</v>
      </c>
      <c r="C212" s="8">
        <v>10</v>
      </c>
      <c r="D212" s="8">
        <v>2021</v>
      </c>
      <c r="E212" s="9">
        <v>44470</v>
      </c>
      <c r="F212" s="8">
        <v>140</v>
      </c>
      <c r="G212" s="8">
        <v>159</v>
      </c>
    </row>
    <row r="213" spans="1:7" x14ac:dyDescent="0.25">
      <c r="A213" s="8" t="s">
        <v>7</v>
      </c>
      <c r="B213" s="8" t="s">
        <v>132</v>
      </c>
      <c r="C213" s="8">
        <v>10</v>
      </c>
      <c r="D213" s="8">
        <v>2021</v>
      </c>
      <c r="E213" s="9">
        <v>44470</v>
      </c>
      <c r="F213" s="8">
        <v>208</v>
      </c>
      <c r="G213" s="8">
        <v>181</v>
      </c>
    </row>
    <row r="214" spans="1:7" x14ac:dyDescent="0.25">
      <c r="A214" s="8" t="s">
        <v>7</v>
      </c>
      <c r="B214" s="8" t="s">
        <v>133</v>
      </c>
      <c r="C214" s="8">
        <v>10</v>
      </c>
      <c r="D214" s="8">
        <v>2021</v>
      </c>
      <c r="E214" s="9">
        <v>44470</v>
      </c>
      <c r="F214" s="8">
        <v>206</v>
      </c>
      <c r="G214" s="8">
        <v>191</v>
      </c>
    </row>
    <row r="215" spans="1:7" x14ac:dyDescent="0.25">
      <c r="A215" s="8" t="s">
        <v>7</v>
      </c>
      <c r="B215" s="8" t="s">
        <v>134</v>
      </c>
      <c r="C215" s="8">
        <v>10</v>
      </c>
      <c r="D215" s="8">
        <v>2021</v>
      </c>
      <c r="E215" s="9">
        <v>44470</v>
      </c>
      <c r="F215" s="8">
        <v>96</v>
      </c>
      <c r="G215" s="8">
        <v>108</v>
      </c>
    </row>
    <row r="216" spans="1:7" x14ac:dyDescent="0.25">
      <c r="A216" s="8" t="s">
        <v>7</v>
      </c>
      <c r="B216" s="8" t="s">
        <v>135</v>
      </c>
      <c r="C216" s="8">
        <v>10</v>
      </c>
      <c r="D216" s="8">
        <v>2021</v>
      </c>
      <c r="E216" s="9">
        <v>44470</v>
      </c>
      <c r="F216" s="8">
        <v>312</v>
      </c>
      <c r="G216" s="8">
        <v>290</v>
      </c>
    </row>
    <row r="217" spans="1:7" x14ac:dyDescent="0.25">
      <c r="A217" s="8" t="s">
        <v>7</v>
      </c>
      <c r="B217" s="8" t="s">
        <v>136</v>
      </c>
      <c r="C217" s="8">
        <v>10</v>
      </c>
      <c r="D217" s="8">
        <v>2021</v>
      </c>
      <c r="E217" s="9">
        <v>44470</v>
      </c>
      <c r="F217" s="8">
        <v>147</v>
      </c>
      <c r="G217" s="8">
        <v>131</v>
      </c>
    </row>
    <row r="218" spans="1:7" x14ac:dyDescent="0.25">
      <c r="A218" s="8" t="s">
        <v>7</v>
      </c>
      <c r="B218" s="8" t="s">
        <v>137</v>
      </c>
      <c r="C218" s="8">
        <v>10</v>
      </c>
      <c r="D218" s="8">
        <v>2021</v>
      </c>
      <c r="E218" s="9">
        <v>44470</v>
      </c>
      <c r="F218" s="8">
        <v>87</v>
      </c>
      <c r="G218" s="8">
        <v>82</v>
      </c>
    </row>
    <row r="219" spans="1:7" x14ac:dyDescent="0.25">
      <c r="A219" s="8" t="s">
        <v>7</v>
      </c>
      <c r="B219" s="8" t="s">
        <v>138</v>
      </c>
      <c r="C219" s="8">
        <v>10</v>
      </c>
      <c r="D219" s="8">
        <v>2021</v>
      </c>
      <c r="E219" s="9">
        <v>44470</v>
      </c>
      <c r="F219" s="8">
        <v>176</v>
      </c>
      <c r="G219" s="8">
        <v>155</v>
      </c>
    </row>
    <row r="220" spans="1:7" x14ac:dyDescent="0.25">
      <c r="A220" s="8" t="s">
        <v>7</v>
      </c>
      <c r="B220" s="8" t="s">
        <v>139</v>
      </c>
      <c r="C220" s="8">
        <v>10</v>
      </c>
      <c r="D220" s="8">
        <v>2021</v>
      </c>
      <c r="E220" s="9">
        <v>44470</v>
      </c>
      <c r="F220" s="8">
        <v>252</v>
      </c>
      <c r="G220" s="8">
        <v>245</v>
      </c>
    </row>
    <row r="221" spans="1:7" x14ac:dyDescent="0.25">
      <c r="A221" s="8" t="s">
        <v>7</v>
      </c>
      <c r="B221" s="8" t="s">
        <v>140</v>
      </c>
      <c r="C221" s="8">
        <v>10</v>
      </c>
      <c r="D221" s="8">
        <v>2021</v>
      </c>
      <c r="E221" s="9">
        <v>44470</v>
      </c>
      <c r="F221" s="8">
        <v>217</v>
      </c>
      <c r="G221" s="8">
        <v>180</v>
      </c>
    </row>
    <row r="222" spans="1:7" x14ac:dyDescent="0.25">
      <c r="A222" s="8" t="s">
        <v>7</v>
      </c>
      <c r="B222" s="8" t="s">
        <v>141</v>
      </c>
      <c r="C222" s="8">
        <v>10</v>
      </c>
      <c r="D222" s="8">
        <v>2021</v>
      </c>
      <c r="E222" s="9">
        <v>44470</v>
      </c>
      <c r="F222" s="8">
        <v>124</v>
      </c>
      <c r="G222" s="8">
        <v>135</v>
      </c>
    </row>
    <row r="223" spans="1:7" x14ac:dyDescent="0.25">
      <c r="A223" s="8" t="s">
        <v>7</v>
      </c>
      <c r="B223" s="8" t="s">
        <v>142</v>
      </c>
      <c r="C223" s="8">
        <v>10</v>
      </c>
      <c r="D223" s="8">
        <v>2021</v>
      </c>
      <c r="E223" s="9">
        <v>44470</v>
      </c>
      <c r="F223" s="8">
        <v>151</v>
      </c>
      <c r="G223" s="8">
        <v>154</v>
      </c>
    </row>
    <row r="224" spans="1:7" x14ac:dyDescent="0.25">
      <c r="A224" s="8" t="s">
        <v>7</v>
      </c>
      <c r="B224" s="8" t="s">
        <v>143</v>
      </c>
      <c r="C224" s="8">
        <v>10</v>
      </c>
      <c r="D224" s="8">
        <v>2021</v>
      </c>
      <c r="E224" s="9">
        <v>44470</v>
      </c>
      <c r="F224" s="8">
        <v>193</v>
      </c>
      <c r="G224" s="8">
        <v>179</v>
      </c>
    </row>
    <row r="225" spans="1:7" x14ac:dyDescent="0.25">
      <c r="A225" s="8" t="s">
        <v>7</v>
      </c>
      <c r="B225" s="8" t="s">
        <v>144</v>
      </c>
      <c r="C225" s="8">
        <v>10</v>
      </c>
      <c r="D225" s="8">
        <v>2021</v>
      </c>
      <c r="E225" s="9">
        <v>44470</v>
      </c>
      <c r="F225" s="8">
        <v>97</v>
      </c>
      <c r="G225" s="8">
        <v>106</v>
      </c>
    </row>
    <row r="226" spans="1:7" x14ac:dyDescent="0.25">
      <c r="A226" s="8" t="s">
        <v>7</v>
      </c>
      <c r="B226" s="8" t="s">
        <v>145</v>
      </c>
      <c r="C226" s="8">
        <v>10</v>
      </c>
      <c r="D226" s="8">
        <v>2021</v>
      </c>
      <c r="E226" s="9">
        <v>44470</v>
      </c>
      <c r="F226" s="8">
        <v>109</v>
      </c>
      <c r="G226" s="8">
        <v>119</v>
      </c>
    </row>
    <row r="227" spans="1:7" x14ac:dyDescent="0.25">
      <c r="A227" s="8" t="s">
        <v>7</v>
      </c>
      <c r="B227" s="8" t="s">
        <v>146</v>
      </c>
      <c r="C227" s="8">
        <v>10</v>
      </c>
      <c r="D227" s="8">
        <v>2021</v>
      </c>
      <c r="E227" s="9">
        <v>44470</v>
      </c>
      <c r="F227" s="8">
        <v>239</v>
      </c>
      <c r="G227" s="8">
        <v>205</v>
      </c>
    </row>
    <row r="228" spans="1:7" x14ac:dyDescent="0.25">
      <c r="A228" s="8" t="s">
        <v>7</v>
      </c>
      <c r="B228" s="8" t="s">
        <v>147</v>
      </c>
      <c r="C228" s="8">
        <v>10</v>
      </c>
      <c r="D228" s="8">
        <v>2021</v>
      </c>
      <c r="E228" s="9">
        <v>44470</v>
      </c>
      <c r="F228" s="8">
        <v>107</v>
      </c>
      <c r="G228" s="8">
        <v>108</v>
      </c>
    </row>
    <row r="229" spans="1:7" x14ac:dyDescent="0.25">
      <c r="A229" s="8" t="s">
        <v>7</v>
      </c>
      <c r="B229" s="8" t="s">
        <v>148</v>
      </c>
      <c r="C229" s="8">
        <v>10</v>
      </c>
      <c r="D229" s="8">
        <v>2021</v>
      </c>
      <c r="E229" s="9">
        <v>44470</v>
      </c>
      <c r="F229" s="8">
        <v>171</v>
      </c>
      <c r="G229" s="8">
        <v>178</v>
      </c>
    </row>
    <row r="230" spans="1:7" x14ac:dyDescent="0.25">
      <c r="A230" s="8" t="s">
        <v>7</v>
      </c>
      <c r="B230" s="8" t="s">
        <v>149</v>
      </c>
      <c r="C230" s="8">
        <v>10</v>
      </c>
      <c r="D230" s="8">
        <v>2021</v>
      </c>
      <c r="E230" s="9">
        <v>44470</v>
      </c>
      <c r="F230" s="8">
        <v>61</v>
      </c>
      <c r="G230" s="8">
        <v>57</v>
      </c>
    </row>
    <row r="231" spans="1:7" x14ac:dyDescent="0.25">
      <c r="A231" s="8" t="s">
        <v>8</v>
      </c>
      <c r="B231" s="8" t="s">
        <v>150</v>
      </c>
      <c r="C231" s="8">
        <v>10</v>
      </c>
      <c r="D231" s="8">
        <v>2021</v>
      </c>
      <c r="E231" s="9">
        <v>44470</v>
      </c>
      <c r="F231" s="8">
        <v>727</v>
      </c>
      <c r="G231" s="8">
        <v>702</v>
      </c>
    </row>
    <row r="232" spans="1:7" x14ac:dyDescent="0.25">
      <c r="A232" s="8" t="s">
        <v>8</v>
      </c>
      <c r="B232" s="8" t="s">
        <v>151</v>
      </c>
      <c r="C232" s="8">
        <v>10</v>
      </c>
      <c r="D232" s="8">
        <v>2021</v>
      </c>
      <c r="E232" s="9">
        <v>44470</v>
      </c>
      <c r="F232" s="8">
        <v>531</v>
      </c>
      <c r="G232" s="8">
        <v>584</v>
      </c>
    </row>
    <row r="233" spans="1:7" x14ac:dyDescent="0.25">
      <c r="A233" s="8" t="s">
        <v>8</v>
      </c>
      <c r="B233" s="8" t="s">
        <v>152</v>
      </c>
      <c r="C233" s="8">
        <v>10</v>
      </c>
      <c r="D233" s="8">
        <v>2021</v>
      </c>
      <c r="E233" s="9">
        <v>44470</v>
      </c>
      <c r="F233" s="8">
        <v>214</v>
      </c>
      <c r="G233" s="8">
        <v>177</v>
      </c>
    </row>
    <row r="234" spans="1:7" x14ac:dyDescent="0.25">
      <c r="A234" s="8" t="s">
        <v>8</v>
      </c>
      <c r="B234" s="8" t="s">
        <v>153</v>
      </c>
      <c r="C234" s="8">
        <v>10</v>
      </c>
      <c r="D234" s="8">
        <v>2021</v>
      </c>
      <c r="E234" s="9">
        <v>44470</v>
      </c>
      <c r="F234" s="8">
        <v>403</v>
      </c>
      <c r="G234" s="8">
        <v>413</v>
      </c>
    </row>
    <row r="235" spans="1:7" x14ac:dyDescent="0.25">
      <c r="A235" s="8" t="s">
        <v>8</v>
      </c>
      <c r="B235" s="8" t="s">
        <v>154</v>
      </c>
      <c r="C235" s="8">
        <v>10</v>
      </c>
      <c r="D235" s="8">
        <v>2021</v>
      </c>
      <c r="E235" s="9">
        <v>44470</v>
      </c>
      <c r="F235" s="8">
        <v>238</v>
      </c>
      <c r="G235" s="8">
        <v>257</v>
      </c>
    </row>
    <row r="236" spans="1:7" x14ac:dyDescent="0.25">
      <c r="A236" s="8" t="s">
        <v>8</v>
      </c>
      <c r="B236" s="8" t="s">
        <v>155</v>
      </c>
      <c r="C236" s="8">
        <v>10</v>
      </c>
      <c r="D236" s="8">
        <v>2021</v>
      </c>
      <c r="E236" s="9">
        <v>44470</v>
      </c>
      <c r="F236" s="8">
        <v>380</v>
      </c>
      <c r="G236" s="8">
        <v>358</v>
      </c>
    </row>
    <row r="237" spans="1:7" x14ac:dyDescent="0.25">
      <c r="A237" s="8" t="s">
        <v>8</v>
      </c>
      <c r="B237" s="8" t="s">
        <v>156</v>
      </c>
      <c r="C237" s="8">
        <v>10</v>
      </c>
      <c r="D237" s="8">
        <v>2021</v>
      </c>
      <c r="E237" s="9">
        <v>44470</v>
      </c>
      <c r="F237" s="8">
        <v>152</v>
      </c>
      <c r="G237" s="8">
        <v>135</v>
      </c>
    </row>
    <row r="238" spans="1:7" x14ac:dyDescent="0.25">
      <c r="A238" s="8" t="s">
        <v>8</v>
      </c>
      <c r="B238" s="8" t="s">
        <v>157</v>
      </c>
      <c r="C238" s="8">
        <v>10</v>
      </c>
      <c r="D238" s="8">
        <v>2021</v>
      </c>
      <c r="E238" s="9">
        <v>44470</v>
      </c>
      <c r="F238" s="8">
        <v>266</v>
      </c>
      <c r="G238" s="8">
        <v>256</v>
      </c>
    </row>
    <row r="239" spans="1:7" x14ac:dyDescent="0.25">
      <c r="A239" s="8" t="s">
        <v>8</v>
      </c>
      <c r="B239" s="8" t="s">
        <v>158</v>
      </c>
      <c r="C239" s="8">
        <v>10</v>
      </c>
      <c r="D239" s="8">
        <v>2021</v>
      </c>
      <c r="E239" s="9">
        <v>44470</v>
      </c>
      <c r="F239" s="8">
        <v>202</v>
      </c>
      <c r="G239" s="8">
        <v>183</v>
      </c>
    </row>
    <row r="240" spans="1:7" x14ac:dyDescent="0.25">
      <c r="A240" s="8" t="s">
        <v>8</v>
      </c>
      <c r="B240" s="8" t="s">
        <v>159</v>
      </c>
      <c r="C240" s="8">
        <v>10</v>
      </c>
      <c r="D240" s="8">
        <v>2021</v>
      </c>
      <c r="E240" s="9">
        <v>44470</v>
      </c>
      <c r="F240" s="8">
        <v>165</v>
      </c>
      <c r="G240" s="8">
        <v>180</v>
      </c>
    </row>
    <row r="241" spans="1:7" x14ac:dyDescent="0.25">
      <c r="A241" s="8" t="s">
        <v>8</v>
      </c>
      <c r="B241" s="8" t="s">
        <v>160</v>
      </c>
      <c r="C241" s="8">
        <v>10</v>
      </c>
      <c r="D241" s="8">
        <v>2021</v>
      </c>
      <c r="E241" s="9">
        <v>44470</v>
      </c>
      <c r="F241" s="8">
        <v>108</v>
      </c>
      <c r="G241" s="8">
        <v>110</v>
      </c>
    </row>
    <row r="242" spans="1:7" x14ac:dyDescent="0.25">
      <c r="A242" s="8" t="s">
        <v>8</v>
      </c>
      <c r="B242" s="8" t="s">
        <v>161</v>
      </c>
      <c r="C242" s="8">
        <v>10</v>
      </c>
      <c r="D242" s="8">
        <v>2021</v>
      </c>
      <c r="E242" s="9">
        <v>44470</v>
      </c>
      <c r="F242" s="8">
        <v>194</v>
      </c>
      <c r="G242" s="8">
        <v>176</v>
      </c>
    </row>
    <row r="243" spans="1:7" x14ac:dyDescent="0.25">
      <c r="A243" s="8" t="s">
        <v>8</v>
      </c>
      <c r="B243" s="8" t="s">
        <v>162</v>
      </c>
      <c r="C243" s="8">
        <v>10</v>
      </c>
      <c r="D243" s="8">
        <v>2021</v>
      </c>
      <c r="E243" s="9">
        <v>44470</v>
      </c>
      <c r="F243" s="8">
        <v>110</v>
      </c>
      <c r="G243" s="8">
        <v>118</v>
      </c>
    </row>
    <row r="244" spans="1:7" x14ac:dyDescent="0.25">
      <c r="A244" s="8" t="s">
        <v>8</v>
      </c>
      <c r="B244" s="8" t="s">
        <v>163</v>
      </c>
      <c r="C244" s="8">
        <v>10</v>
      </c>
      <c r="D244" s="8">
        <v>2021</v>
      </c>
      <c r="E244" s="9">
        <v>44470</v>
      </c>
      <c r="F244" s="8">
        <v>268</v>
      </c>
      <c r="G244" s="8">
        <v>260</v>
      </c>
    </row>
    <row r="245" spans="1:7" x14ac:dyDescent="0.25">
      <c r="A245" s="8" t="s">
        <v>8</v>
      </c>
      <c r="B245" s="8" t="s">
        <v>164</v>
      </c>
      <c r="C245" s="8">
        <v>10</v>
      </c>
      <c r="D245" s="8">
        <v>2021</v>
      </c>
      <c r="E245" s="9">
        <v>44470</v>
      </c>
      <c r="F245" s="8">
        <v>281</v>
      </c>
      <c r="G245" s="8">
        <v>305</v>
      </c>
    </row>
    <row r="246" spans="1:7" x14ac:dyDescent="0.25">
      <c r="A246" s="8" t="s">
        <v>6</v>
      </c>
      <c r="B246" s="8" t="s">
        <v>43</v>
      </c>
      <c r="C246" s="8">
        <v>11</v>
      </c>
      <c r="D246" s="8">
        <v>2021</v>
      </c>
      <c r="E246" s="9">
        <v>44501</v>
      </c>
      <c r="F246" s="8">
        <v>1249</v>
      </c>
      <c r="G246" s="8">
        <v>1331</v>
      </c>
    </row>
    <row r="247" spans="1:7" x14ac:dyDescent="0.25">
      <c r="A247" s="8" t="s">
        <v>6</v>
      </c>
      <c r="B247" s="8" t="s">
        <v>44</v>
      </c>
      <c r="C247" s="8">
        <v>11</v>
      </c>
      <c r="D247" s="8">
        <v>2021</v>
      </c>
      <c r="E247" s="9">
        <v>44501</v>
      </c>
      <c r="F247" s="8">
        <v>783</v>
      </c>
      <c r="G247" s="8">
        <v>721</v>
      </c>
    </row>
    <row r="248" spans="1:7" x14ac:dyDescent="0.25">
      <c r="A248" s="8" t="s">
        <v>6</v>
      </c>
      <c r="B248" s="8" t="s">
        <v>45</v>
      </c>
      <c r="C248" s="8">
        <v>11</v>
      </c>
      <c r="D248" s="8">
        <v>2021</v>
      </c>
      <c r="E248" s="9">
        <v>44501</v>
      </c>
      <c r="F248" s="8">
        <v>926</v>
      </c>
      <c r="G248" s="8">
        <v>829</v>
      </c>
    </row>
    <row r="249" spans="1:7" x14ac:dyDescent="0.25">
      <c r="A249" s="8" t="s">
        <v>6</v>
      </c>
      <c r="B249" s="8" t="s">
        <v>46</v>
      </c>
      <c r="C249" s="8">
        <v>11</v>
      </c>
      <c r="D249" s="8">
        <v>2021</v>
      </c>
      <c r="E249" s="9">
        <v>44501</v>
      </c>
      <c r="F249" s="8">
        <v>123</v>
      </c>
      <c r="G249" s="8">
        <v>111</v>
      </c>
    </row>
    <row r="250" spans="1:7" x14ac:dyDescent="0.25">
      <c r="A250" s="8" t="s">
        <v>6</v>
      </c>
      <c r="B250" s="8" t="s">
        <v>47</v>
      </c>
      <c r="C250" s="8">
        <v>11</v>
      </c>
      <c r="D250" s="8">
        <v>2021</v>
      </c>
      <c r="E250" s="9">
        <v>44501</v>
      </c>
      <c r="F250" s="8">
        <v>1163</v>
      </c>
      <c r="G250" s="8">
        <v>1330</v>
      </c>
    </row>
    <row r="251" spans="1:7" x14ac:dyDescent="0.25">
      <c r="A251" s="8" t="s">
        <v>6</v>
      </c>
      <c r="B251" s="8" t="s">
        <v>48</v>
      </c>
      <c r="C251" s="8">
        <v>11</v>
      </c>
      <c r="D251" s="8">
        <v>2021</v>
      </c>
      <c r="E251" s="9">
        <v>44501</v>
      </c>
      <c r="F251" s="8">
        <v>563</v>
      </c>
      <c r="G251" s="8">
        <v>609</v>
      </c>
    </row>
    <row r="252" spans="1:7" x14ac:dyDescent="0.25">
      <c r="A252" s="8" t="s">
        <v>6</v>
      </c>
      <c r="B252" s="8" t="s">
        <v>49</v>
      </c>
      <c r="C252" s="8">
        <v>11</v>
      </c>
      <c r="D252" s="8">
        <v>2021</v>
      </c>
      <c r="E252" s="9">
        <v>44501</v>
      </c>
      <c r="F252" s="8">
        <v>1188</v>
      </c>
      <c r="G252" s="8">
        <v>1141</v>
      </c>
    </row>
    <row r="253" spans="1:7" x14ac:dyDescent="0.25">
      <c r="A253" s="8" t="s">
        <v>6</v>
      </c>
      <c r="B253" s="8" t="s">
        <v>50</v>
      </c>
      <c r="C253" s="8">
        <v>11</v>
      </c>
      <c r="D253" s="8">
        <v>2021</v>
      </c>
      <c r="E253" s="9">
        <v>44501</v>
      </c>
      <c r="F253" s="8">
        <v>846</v>
      </c>
      <c r="G253" s="8">
        <v>959</v>
      </c>
    </row>
    <row r="254" spans="1:7" x14ac:dyDescent="0.25">
      <c r="A254" s="8" t="s">
        <v>6</v>
      </c>
      <c r="B254" s="8" t="s">
        <v>51</v>
      </c>
      <c r="C254" s="8">
        <v>11</v>
      </c>
      <c r="D254" s="8">
        <v>2021</v>
      </c>
      <c r="E254" s="9">
        <v>44501</v>
      </c>
      <c r="F254" s="8">
        <v>158</v>
      </c>
      <c r="G254" s="8">
        <v>180</v>
      </c>
    </row>
    <row r="255" spans="1:7" x14ac:dyDescent="0.25">
      <c r="A255" s="8" t="s">
        <v>6</v>
      </c>
      <c r="B255" s="8" t="s">
        <v>52</v>
      </c>
      <c r="C255" s="8">
        <v>11</v>
      </c>
      <c r="D255" s="8">
        <v>2021</v>
      </c>
      <c r="E255" s="9">
        <v>44501</v>
      </c>
      <c r="F255" s="8">
        <v>593</v>
      </c>
      <c r="G255" s="8">
        <v>604</v>
      </c>
    </row>
    <row r="256" spans="1:7" x14ac:dyDescent="0.25">
      <c r="A256" s="8" t="s">
        <v>6</v>
      </c>
      <c r="B256" s="8" t="s">
        <v>53</v>
      </c>
      <c r="C256" s="8">
        <v>11</v>
      </c>
      <c r="D256" s="8">
        <v>2021</v>
      </c>
      <c r="E256" s="9">
        <v>44501</v>
      </c>
      <c r="F256" s="8">
        <v>557</v>
      </c>
      <c r="G256" s="8">
        <v>506</v>
      </c>
    </row>
    <row r="257" spans="1:7" x14ac:dyDescent="0.25">
      <c r="A257" s="8" t="s">
        <v>6</v>
      </c>
      <c r="B257" s="8" t="s">
        <v>54</v>
      </c>
      <c r="C257" s="8">
        <v>11</v>
      </c>
      <c r="D257" s="8">
        <v>2021</v>
      </c>
      <c r="E257" s="9">
        <v>44501</v>
      </c>
      <c r="F257" s="8">
        <v>503</v>
      </c>
      <c r="G257" s="8">
        <v>550</v>
      </c>
    </row>
    <row r="258" spans="1:7" x14ac:dyDescent="0.25">
      <c r="A258" s="8" t="s">
        <v>6</v>
      </c>
      <c r="B258" s="8" t="s">
        <v>55</v>
      </c>
      <c r="C258" s="8">
        <v>11</v>
      </c>
      <c r="D258" s="8">
        <v>2021</v>
      </c>
      <c r="E258" s="9">
        <v>44501</v>
      </c>
      <c r="F258" s="8">
        <v>324</v>
      </c>
      <c r="G258" s="8">
        <v>318</v>
      </c>
    </row>
    <row r="259" spans="1:7" x14ac:dyDescent="0.25">
      <c r="A259" s="8" t="s">
        <v>6</v>
      </c>
      <c r="B259" s="8" t="s">
        <v>56</v>
      </c>
      <c r="C259" s="8">
        <v>11</v>
      </c>
      <c r="D259" s="8">
        <v>2021</v>
      </c>
      <c r="E259" s="9">
        <v>44501</v>
      </c>
      <c r="F259" s="8">
        <v>157</v>
      </c>
      <c r="G259" s="8">
        <v>153</v>
      </c>
    </row>
    <row r="260" spans="1:7" x14ac:dyDescent="0.25">
      <c r="A260" s="8" t="s">
        <v>6</v>
      </c>
      <c r="B260" s="8" t="s">
        <v>57</v>
      </c>
      <c r="C260" s="8">
        <v>11</v>
      </c>
      <c r="D260" s="8">
        <v>2021</v>
      </c>
      <c r="E260" s="9">
        <v>44501</v>
      </c>
      <c r="F260" s="8">
        <v>649</v>
      </c>
      <c r="G260" s="8">
        <v>517</v>
      </c>
    </row>
    <row r="261" spans="1:7" x14ac:dyDescent="0.25">
      <c r="A261" s="8" t="s">
        <v>6</v>
      </c>
      <c r="B261" s="8" t="s">
        <v>58</v>
      </c>
      <c r="C261" s="8">
        <v>11</v>
      </c>
      <c r="D261" s="8">
        <v>2021</v>
      </c>
      <c r="E261" s="9">
        <v>44501</v>
      </c>
      <c r="F261" s="8">
        <v>518</v>
      </c>
      <c r="G261" s="8">
        <v>549</v>
      </c>
    </row>
    <row r="262" spans="1:7" x14ac:dyDescent="0.25">
      <c r="A262" s="8" t="s">
        <v>6</v>
      </c>
      <c r="B262" s="8" t="s">
        <v>59</v>
      </c>
      <c r="C262" s="8">
        <v>11</v>
      </c>
      <c r="D262" s="8">
        <v>2021</v>
      </c>
      <c r="E262" s="9">
        <v>44501</v>
      </c>
      <c r="F262" s="8">
        <v>189</v>
      </c>
      <c r="G262" s="8">
        <v>156</v>
      </c>
    </row>
    <row r="263" spans="1:7" x14ac:dyDescent="0.25">
      <c r="A263" s="8" t="s">
        <v>6</v>
      </c>
      <c r="B263" s="8" t="s">
        <v>60</v>
      </c>
      <c r="C263" s="8">
        <v>11</v>
      </c>
      <c r="D263" s="8">
        <v>2021</v>
      </c>
      <c r="E263" s="9">
        <v>44501</v>
      </c>
      <c r="F263" s="8">
        <v>78</v>
      </c>
      <c r="G263" s="8">
        <v>78</v>
      </c>
    </row>
    <row r="264" spans="1:7" x14ac:dyDescent="0.25">
      <c r="A264" s="8" t="s">
        <v>6</v>
      </c>
      <c r="B264" s="8" t="s">
        <v>61</v>
      </c>
      <c r="C264" s="8">
        <v>11</v>
      </c>
      <c r="D264" s="8">
        <v>2021</v>
      </c>
      <c r="E264" s="9">
        <v>44501</v>
      </c>
      <c r="F264" s="8">
        <v>617</v>
      </c>
      <c r="G264" s="8">
        <v>583</v>
      </c>
    </row>
    <row r="265" spans="1:7" x14ac:dyDescent="0.25">
      <c r="A265" s="8" t="s">
        <v>3</v>
      </c>
      <c r="B265" s="8" t="s">
        <v>62</v>
      </c>
      <c r="C265" s="8">
        <v>11</v>
      </c>
      <c r="D265" s="8">
        <v>2021</v>
      </c>
      <c r="E265" s="9">
        <v>44501</v>
      </c>
      <c r="F265" s="8">
        <v>763</v>
      </c>
      <c r="G265" s="8">
        <v>676</v>
      </c>
    </row>
    <row r="266" spans="1:7" x14ac:dyDescent="0.25">
      <c r="A266" s="8" t="s">
        <v>3</v>
      </c>
      <c r="B266" s="8" t="s">
        <v>63</v>
      </c>
      <c r="C266" s="8">
        <v>11</v>
      </c>
      <c r="D266" s="8">
        <v>2021</v>
      </c>
      <c r="E266" s="9">
        <v>44501</v>
      </c>
      <c r="F266" s="8">
        <v>1029</v>
      </c>
      <c r="G266" s="8">
        <v>1076</v>
      </c>
    </row>
    <row r="267" spans="1:7" x14ac:dyDescent="0.25">
      <c r="A267" s="8" t="s">
        <v>3</v>
      </c>
      <c r="B267" s="8" t="s">
        <v>64</v>
      </c>
      <c r="C267" s="8">
        <v>11</v>
      </c>
      <c r="D267" s="8">
        <v>2021</v>
      </c>
      <c r="E267" s="9">
        <v>44501</v>
      </c>
      <c r="F267" s="8">
        <v>747</v>
      </c>
      <c r="G267" s="8">
        <v>738</v>
      </c>
    </row>
    <row r="268" spans="1:7" x14ac:dyDescent="0.25">
      <c r="A268" s="8" t="s">
        <v>3</v>
      </c>
      <c r="B268" s="8" t="s">
        <v>65</v>
      </c>
      <c r="C268" s="8">
        <v>11</v>
      </c>
      <c r="D268" s="8">
        <v>2021</v>
      </c>
      <c r="E268" s="9">
        <v>44501</v>
      </c>
      <c r="F268" s="8">
        <v>1259</v>
      </c>
      <c r="G268" s="8">
        <v>1261</v>
      </c>
    </row>
    <row r="269" spans="1:7" x14ac:dyDescent="0.25">
      <c r="A269" s="8" t="s">
        <v>3</v>
      </c>
      <c r="B269" s="8" t="s">
        <v>66</v>
      </c>
      <c r="C269" s="8">
        <v>11</v>
      </c>
      <c r="D269" s="8">
        <v>2021</v>
      </c>
      <c r="E269" s="9">
        <v>44501</v>
      </c>
      <c r="F269" s="8">
        <v>1144</v>
      </c>
      <c r="G269" s="8">
        <v>1004</v>
      </c>
    </row>
    <row r="270" spans="1:7" x14ac:dyDescent="0.25">
      <c r="A270" s="8" t="s">
        <v>3</v>
      </c>
      <c r="B270" s="8" t="s">
        <v>67</v>
      </c>
      <c r="C270" s="8">
        <v>11</v>
      </c>
      <c r="D270" s="8">
        <v>2021</v>
      </c>
      <c r="E270" s="9">
        <v>44501</v>
      </c>
      <c r="F270" s="8">
        <v>22</v>
      </c>
      <c r="G270" s="8">
        <v>22</v>
      </c>
    </row>
    <row r="271" spans="1:7" x14ac:dyDescent="0.25">
      <c r="A271" s="8" t="s">
        <v>2</v>
      </c>
      <c r="B271" s="8" t="s">
        <v>68</v>
      </c>
      <c r="C271" s="8">
        <v>11</v>
      </c>
      <c r="D271" s="8">
        <v>2021</v>
      </c>
      <c r="E271" s="9">
        <v>44501</v>
      </c>
      <c r="F271" s="8">
        <v>810</v>
      </c>
      <c r="G271" s="8">
        <v>1309</v>
      </c>
    </row>
    <row r="272" spans="1:7" x14ac:dyDescent="0.25">
      <c r="A272" s="8" t="s">
        <v>2</v>
      </c>
      <c r="B272" s="8" t="s">
        <v>69</v>
      </c>
      <c r="C272" s="8">
        <v>11</v>
      </c>
      <c r="D272" s="8">
        <v>2021</v>
      </c>
      <c r="E272" s="9">
        <v>44501</v>
      </c>
      <c r="F272" s="8">
        <v>623</v>
      </c>
      <c r="G272" s="8">
        <v>617</v>
      </c>
    </row>
    <row r="273" spans="1:7" x14ac:dyDescent="0.25">
      <c r="A273" s="8" t="s">
        <v>4</v>
      </c>
      <c r="B273" s="8" t="s">
        <v>70</v>
      </c>
      <c r="C273" s="8">
        <v>11</v>
      </c>
      <c r="D273" s="8">
        <v>2021</v>
      </c>
      <c r="E273" s="9">
        <v>44501</v>
      </c>
      <c r="F273" s="8">
        <v>891</v>
      </c>
      <c r="G273" s="8">
        <v>1014</v>
      </c>
    </row>
    <row r="274" spans="1:7" x14ac:dyDescent="0.25">
      <c r="A274" s="8" t="s">
        <v>4</v>
      </c>
      <c r="B274" s="8" t="s">
        <v>71</v>
      </c>
      <c r="C274" s="8">
        <v>11</v>
      </c>
      <c r="D274" s="8">
        <v>2021</v>
      </c>
      <c r="E274" s="9">
        <v>44501</v>
      </c>
      <c r="F274" s="8">
        <v>1593</v>
      </c>
      <c r="G274" s="8">
        <v>1641</v>
      </c>
    </row>
    <row r="275" spans="1:7" x14ac:dyDescent="0.25">
      <c r="A275" s="8" t="s">
        <v>4</v>
      </c>
      <c r="B275" s="8" t="s">
        <v>72</v>
      </c>
      <c r="C275" s="8">
        <v>11</v>
      </c>
      <c r="D275" s="8">
        <v>2021</v>
      </c>
      <c r="E275" s="9">
        <v>44501</v>
      </c>
      <c r="F275" s="8">
        <v>1208</v>
      </c>
      <c r="G275" s="8">
        <v>1349</v>
      </c>
    </row>
    <row r="276" spans="1:7" x14ac:dyDescent="0.25">
      <c r="A276" s="8" t="s">
        <v>4</v>
      </c>
      <c r="B276" s="8" t="s">
        <v>73</v>
      </c>
      <c r="C276" s="8">
        <v>11</v>
      </c>
      <c r="D276" s="8">
        <v>2021</v>
      </c>
      <c r="E276" s="9">
        <v>44501</v>
      </c>
      <c r="F276" s="8">
        <v>1562</v>
      </c>
      <c r="G276" s="8">
        <v>1565</v>
      </c>
    </row>
    <row r="277" spans="1:7" x14ac:dyDescent="0.25">
      <c r="A277" s="8" t="s">
        <v>4</v>
      </c>
      <c r="B277" s="8" t="s">
        <v>74</v>
      </c>
      <c r="C277" s="8">
        <v>11</v>
      </c>
      <c r="D277" s="8">
        <v>2021</v>
      </c>
      <c r="E277" s="9">
        <v>44501</v>
      </c>
      <c r="F277" s="8">
        <v>1598</v>
      </c>
      <c r="G277" s="8">
        <v>1553</v>
      </c>
    </row>
    <row r="278" spans="1:7" x14ac:dyDescent="0.25">
      <c r="A278" s="8" t="s">
        <v>4</v>
      </c>
      <c r="B278" s="8" t="s">
        <v>75</v>
      </c>
      <c r="C278" s="8">
        <v>11</v>
      </c>
      <c r="D278" s="8">
        <v>2021</v>
      </c>
      <c r="E278" s="9">
        <v>44501</v>
      </c>
      <c r="F278" s="8">
        <v>490</v>
      </c>
      <c r="G278" s="8">
        <v>498</v>
      </c>
    </row>
    <row r="279" spans="1:7" x14ac:dyDescent="0.25">
      <c r="A279" s="8" t="s">
        <v>4</v>
      </c>
      <c r="B279" s="8" t="s">
        <v>76</v>
      </c>
      <c r="C279" s="8">
        <v>11</v>
      </c>
      <c r="D279" s="8">
        <v>2021</v>
      </c>
      <c r="E279" s="9">
        <v>44501</v>
      </c>
      <c r="F279" s="8">
        <v>511</v>
      </c>
      <c r="G279" s="8">
        <v>539</v>
      </c>
    </row>
    <row r="280" spans="1:7" x14ac:dyDescent="0.25">
      <c r="A280" s="8" t="s">
        <v>4</v>
      </c>
      <c r="B280" s="8" t="s">
        <v>77</v>
      </c>
      <c r="C280" s="8">
        <v>11</v>
      </c>
      <c r="D280" s="8">
        <v>2021</v>
      </c>
      <c r="E280" s="9">
        <v>44501</v>
      </c>
      <c r="F280" s="8">
        <v>653</v>
      </c>
      <c r="G280" s="8">
        <v>689</v>
      </c>
    </row>
    <row r="281" spans="1:7" x14ac:dyDescent="0.25">
      <c r="A281" s="8" t="s">
        <v>4</v>
      </c>
      <c r="B281" s="8" t="s">
        <v>78</v>
      </c>
      <c r="C281" s="8">
        <v>11</v>
      </c>
      <c r="D281" s="8">
        <v>2021</v>
      </c>
      <c r="E281" s="9">
        <v>44501</v>
      </c>
      <c r="F281" s="8">
        <v>989</v>
      </c>
      <c r="G281" s="8">
        <v>914</v>
      </c>
    </row>
    <row r="282" spans="1:7" x14ac:dyDescent="0.25">
      <c r="A282" s="8" t="s">
        <v>2</v>
      </c>
      <c r="B282" s="8" t="s">
        <v>79</v>
      </c>
      <c r="C282" s="8">
        <v>11</v>
      </c>
      <c r="D282" s="8">
        <v>2021</v>
      </c>
      <c r="E282" s="9">
        <v>44501</v>
      </c>
      <c r="F282" s="8">
        <v>435</v>
      </c>
      <c r="G282" s="8">
        <v>393</v>
      </c>
    </row>
    <row r="283" spans="1:7" x14ac:dyDescent="0.25">
      <c r="A283" s="8" t="s">
        <v>2</v>
      </c>
      <c r="B283" s="8" t="s">
        <v>80</v>
      </c>
      <c r="C283" s="8">
        <v>11</v>
      </c>
      <c r="D283" s="8">
        <v>2021</v>
      </c>
      <c r="E283" s="9">
        <v>44501</v>
      </c>
      <c r="F283" s="8">
        <v>584</v>
      </c>
      <c r="G283" s="8">
        <v>639</v>
      </c>
    </row>
    <row r="284" spans="1:7" x14ac:dyDescent="0.25">
      <c r="A284" s="8" t="s">
        <v>2</v>
      </c>
      <c r="B284" s="8" t="s">
        <v>81</v>
      </c>
      <c r="C284" s="8">
        <v>11</v>
      </c>
      <c r="D284" s="8">
        <v>2021</v>
      </c>
      <c r="E284" s="9">
        <v>44501</v>
      </c>
      <c r="F284" s="8">
        <v>1066</v>
      </c>
      <c r="G284" s="8">
        <v>1134</v>
      </c>
    </row>
    <row r="285" spans="1:7" x14ac:dyDescent="0.25">
      <c r="A285" s="8" t="s">
        <v>2</v>
      </c>
      <c r="B285" s="8" t="s">
        <v>82</v>
      </c>
      <c r="C285" s="8">
        <v>11</v>
      </c>
      <c r="D285" s="8">
        <v>2021</v>
      </c>
      <c r="E285" s="9">
        <v>44501</v>
      </c>
      <c r="F285" s="8">
        <v>272</v>
      </c>
      <c r="G285" s="8">
        <v>273</v>
      </c>
    </row>
    <row r="286" spans="1:7" x14ac:dyDescent="0.25">
      <c r="A286" s="8" t="s">
        <v>4</v>
      </c>
      <c r="B286" s="8" t="s">
        <v>83</v>
      </c>
      <c r="C286" s="8">
        <v>11</v>
      </c>
      <c r="D286" s="8">
        <v>2021</v>
      </c>
      <c r="E286" s="9">
        <v>44501</v>
      </c>
      <c r="F286" s="8">
        <v>148</v>
      </c>
      <c r="G286" s="8">
        <v>139</v>
      </c>
    </row>
    <row r="287" spans="1:7" x14ac:dyDescent="0.25">
      <c r="A287" s="8" t="s">
        <v>4</v>
      </c>
      <c r="B287" s="8" t="s">
        <v>84</v>
      </c>
      <c r="C287" s="8">
        <v>11</v>
      </c>
      <c r="D287" s="8">
        <v>2021</v>
      </c>
      <c r="E287" s="9">
        <v>44501</v>
      </c>
      <c r="F287" s="8">
        <v>2161</v>
      </c>
      <c r="G287" s="8">
        <v>1828</v>
      </c>
    </row>
    <row r="288" spans="1:7" x14ac:dyDescent="0.25">
      <c r="A288" s="8" t="s">
        <v>4</v>
      </c>
      <c r="B288" s="8" t="s">
        <v>85</v>
      </c>
      <c r="C288" s="8">
        <v>11</v>
      </c>
      <c r="D288" s="8">
        <v>2021</v>
      </c>
      <c r="E288" s="9">
        <v>44501</v>
      </c>
      <c r="F288" s="8">
        <v>951</v>
      </c>
      <c r="G288" s="8">
        <v>964</v>
      </c>
    </row>
    <row r="289" spans="1:7" x14ac:dyDescent="0.25">
      <c r="A289" s="8" t="s">
        <v>4</v>
      </c>
      <c r="B289" s="8" t="s">
        <v>86</v>
      </c>
      <c r="C289" s="8">
        <v>11</v>
      </c>
      <c r="D289" s="8">
        <v>2021</v>
      </c>
      <c r="E289" s="9">
        <v>44501</v>
      </c>
      <c r="F289" s="8">
        <v>234</v>
      </c>
      <c r="G289" s="8">
        <v>218</v>
      </c>
    </row>
    <row r="290" spans="1:7" x14ac:dyDescent="0.25">
      <c r="A290" s="8" t="s">
        <v>4</v>
      </c>
      <c r="B290" s="8" t="s">
        <v>87</v>
      </c>
      <c r="C290" s="8">
        <v>11</v>
      </c>
      <c r="D290" s="8">
        <v>2021</v>
      </c>
      <c r="E290" s="9">
        <v>44501</v>
      </c>
      <c r="F290" s="8">
        <v>1270</v>
      </c>
      <c r="G290" s="8">
        <v>1453</v>
      </c>
    </row>
    <row r="291" spans="1:7" x14ac:dyDescent="0.25">
      <c r="A291" s="8" t="s">
        <v>4</v>
      </c>
      <c r="B291" s="8" t="s">
        <v>88</v>
      </c>
      <c r="C291" s="8">
        <v>11</v>
      </c>
      <c r="D291" s="8">
        <v>2021</v>
      </c>
      <c r="E291" s="9">
        <v>44501</v>
      </c>
      <c r="F291" s="8">
        <v>932</v>
      </c>
      <c r="G291" s="8">
        <v>912</v>
      </c>
    </row>
    <row r="292" spans="1:7" x14ac:dyDescent="0.25">
      <c r="A292" s="8" t="s">
        <v>4</v>
      </c>
      <c r="B292" s="8" t="s">
        <v>89</v>
      </c>
      <c r="C292" s="8">
        <v>11</v>
      </c>
      <c r="D292" s="8">
        <v>2021</v>
      </c>
      <c r="E292" s="9">
        <v>44501</v>
      </c>
      <c r="F292" s="8">
        <v>542</v>
      </c>
      <c r="G292" s="8">
        <v>605</v>
      </c>
    </row>
    <row r="293" spans="1:7" x14ac:dyDescent="0.25">
      <c r="A293" s="8" t="s">
        <v>4</v>
      </c>
      <c r="B293" s="8" t="s">
        <v>90</v>
      </c>
      <c r="C293" s="8">
        <v>11</v>
      </c>
      <c r="D293" s="8">
        <v>2021</v>
      </c>
      <c r="E293" s="9">
        <v>44501</v>
      </c>
      <c r="F293" s="8">
        <v>609</v>
      </c>
      <c r="G293" s="8">
        <v>553</v>
      </c>
    </row>
    <row r="294" spans="1:7" x14ac:dyDescent="0.25">
      <c r="A294" s="8" t="s">
        <v>4</v>
      </c>
      <c r="B294" s="8" t="s">
        <v>91</v>
      </c>
      <c r="C294" s="8">
        <v>11</v>
      </c>
      <c r="D294" s="8">
        <v>2021</v>
      </c>
      <c r="E294" s="9">
        <v>44501</v>
      </c>
      <c r="F294" s="8">
        <v>506</v>
      </c>
      <c r="G294" s="8">
        <v>536</v>
      </c>
    </row>
    <row r="295" spans="1:7" x14ac:dyDescent="0.25">
      <c r="A295" s="8" t="s">
        <v>4</v>
      </c>
      <c r="B295" s="8" t="s">
        <v>92</v>
      </c>
      <c r="C295" s="8">
        <v>11</v>
      </c>
      <c r="D295" s="8">
        <v>2021</v>
      </c>
      <c r="E295" s="9">
        <v>44501</v>
      </c>
      <c r="F295" s="8">
        <v>614</v>
      </c>
      <c r="G295" s="8">
        <v>693</v>
      </c>
    </row>
    <row r="296" spans="1:7" x14ac:dyDescent="0.25">
      <c r="A296" s="8" t="s">
        <v>4</v>
      </c>
      <c r="B296" s="8" t="s">
        <v>93</v>
      </c>
      <c r="C296" s="8">
        <v>11</v>
      </c>
      <c r="D296" s="8">
        <v>2021</v>
      </c>
      <c r="E296" s="9">
        <v>44501</v>
      </c>
      <c r="F296" s="8">
        <v>392</v>
      </c>
      <c r="G296" s="8">
        <v>400</v>
      </c>
    </row>
    <row r="297" spans="1:7" x14ac:dyDescent="0.25">
      <c r="A297" s="8" t="s">
        <v>4</v>
      </c>
      <c r="B297" s="8" t="s">
        <v>94</v>
      </c>
      <c r="C297" s="8">
        <v>11</v>
      </c>
      <c r="D297" s="8">
        <v>2021</v>
      </c>
      <c r="E297" s="9">
        <v>44501</v>
      </c>
      <c r="F297" s="8">
        <v>94</v>
      </c>
      <c r="G297" s="8">
        <v>100</v>
      </c>
    </row>
    <row r="298" spans="1:7" x14ac:dyDescent="0.25">
      <c r="A298" s="8" t="s">
        <v>5</v>
      </c>
      <c r="B298" s="8" t="s">
        <v>95</v>
      </c>
      <c r="C298" s="8">
        <v>11</v>
      </c>
      <c r="D298" s="8">
        <v>2021</v>
      </c>
      <c r="E298" s="9">
        <v>44501</v>
      </c>
      <c r="F298" s="8">
        <v>690</v>
      </c>
      <c r="G298" s="8">
        <v>702</v>
      </c>
    </row>
    <row r="299" spans="1:7" x14ac:dyDescent="0.25">
      <c r="A299" s="8" t="s">
        <v>5</v>
      </c>
      <c r="B299" s="8" t="s">
        <v>96</v>
      </c>
      <c r="C299" s="8">
        <v>11</v>
      </c>
      <c r="D299" s="8">
        <v>2021</v>
      </c>
      <c r="E299" s="9">
        <v>44501</v>
      </c>
      <c r="F299" s="8">
        <v>165</v>
      </c>
      <c r="G299" s="8">
        <v>139</v>
      </c>
    </row>
    <row r="300" spans="1:7" x14ac:dyDescent="0.25">
      <c r="A300" s="8" t="s">
        <v>5</v>
      </c>
      <c r="B300" s="8" t="s">
        <v>97</v>
      </c>
      <c r="C300" s="8">
        <v>11</v>
      </c>
      <c r="D300" s="8">
        <v>2021</v>
      </c>
      <c r="E300" s="9">
        <v>44501</v>
      </c>
      <c r="F300" s="8">
        <v>160</v>
      </c>
      <c r="G300" s="8">
        <v>152</v>
      </c>
    </row>
    <row r="301" spans="1:7" x14ac:dyDescent="0.25">
      <c r="A301" s="8" t="s">
        <v>5</v>
      </c>
      <c r="B301" s="8" t="s">
        <v>98</v>
      </c>
      <c r="C301" s="8">
        <v>11</v>
      </c>
      <c r="D301" s="8">
        <v>2021</v>
      </c>
      <c r="E301" s="9">
        <v>44501</v>
      </c>
      <c r="F301" s="8">
        <v>513</v>
      </c>
      <c r="G301" s="8">
        <v>517</v>
      </c>
    </row>
    <row r="302" spans="1:7" x14ac:dyDescent="0.25">
      <c r="A302" s="8" t="s">
        <v>5</v>
      </c>
      <c r="B302" s="8" t="s">
        <v>99</v>
      </c>
      <c r="C302" s="8">
        <v>11</v>
      </c>
      <c r="D302" s="8">
        <v>2021</v>
      </c>
      <c r="E302" s="9">
        <v>44501</v>
      </c>
      <c r="F302" s="8">
        <v>759</v>
      </c>
      <c r="G302" s="8">
        <v>703</v>
      </c>
    </row>
    <row r="303" spans="1:7" x14ac:dyDescent="0.25">
      <c r="A303" s="8" t="s">
        <v>5</v>
      </c>
      <c r="B303" s="8" t="s">
        <v>100</v>
      </c>
      <c r="C303" s="8">
        <v>11</v>
      </c>
      <c r="D303" s="8">
        <v>2021</v>
      </c>
      <c r="E303" s="9">
        <v>44501</v>
      </c>
      <c r="F303" s="8">
        <v>218</v>
      </c>
      <c r="G303" s="8">
        <v>210</v>
      </c>
    </row>
    <row r="304" spans="1:7" x14ac:dyDescent="0.25">
      <c r="A304" s="8" t="s">
        <v>5</v>
      </c>
      <c r="B304" s="8" t="s">
        <v>101</v>
      </c>
      <c r="C304" s="8">
        <v>11</v>
      </c>
      <c r="D304" s="8">
        <v>2021</v>
      </c>
      <c r="E304" s="9">
        <v>44501</v>
      </c>
      <c r="F304" s="8">
        <v>1022</v>
      </c>
      <c r="G304" s="8">
        <v>1050</v>
      </c>
    </row>
    <row r="305" spans="1:7" x14ac:dyDescent="0.25">
      <c r="A305" s="8" t="s">
        <v>5</v>
      </c>
      <c r="B305" s="8" t="s">
        <v>102</v>
      </c>
      <c r="C305" s="8">
        <v>11</v>
      </c>
      <c r="D305" s="8">
        <v>2021</v>
      </c>
      <c r="E305" s="9">
        <v>44501</v>
      </c>
      <c r="F305" s="8">
        <v>816</v>
      </c>
      <c r="G305" s="8">
        <v>751</v>
      </c>
    </row>
    <row r="306" spans="1:7" x14ac:dyDescent="0.25">
      <c r="A306" s="8" t="s">
        <v>5</v>
      </c>
      <c r="B306" s="8" t="s">
        <v>103</v>
      </c>
      <c r="C306" s="8">
        <v>11</v>
      </c>
      <c r="D306" s="8">
        <v>2021</v>
      </c>
      <c r="E306" s="9">
        <v>44501</v>
      </c>
      <c r="F306" s="8">
        <v>1593</v>
      </c>
      <c r="G306" s="8">
        <v>1521</v>
      </c>
    </row>
    <row r="307" spans="1:7" x14ac:dyDescent="0.25">
      <c r="A307" s="8" t="s">
        <v>5</v>
      </c>
      <c r="B307" s="8" t="s">
        <v>104</v>
      </c>
      <c r="C307" s="8">
        <v>11</v>
      </c>
      <c r="D307" s="8">
        <v>2021</v>
      </c>
      <c r="E307" s="9">
        <v>44501</v>
      </c>
      <c r="F307" s="8">
        <v>1392</v>
      </c>
      <c r="G307" s="8">
        <v>1517</v>
      </c>
    </row>
    <row r="308" spans="1:7" x14ac:dyDescent="0.25">
      <c r="A308" s="8" t="s">
        <v>5</v>
      </c>
      <c r="B308" s="8" t="s">
        <v>105</v>
      </c>
      <c r="C308" s="8">
        <v>11</v>
      </c>
      <c r="D308" s="8">
        <v>2021</v>
      </c>
      <c r="E308" s="9">
        <v>44501</v>
      </c>
      <c r="F308" s="8">
        <v>554</v>
      </c>
      <c r="G308" s="8">
        <v>505</v>
      </c>
    </row>
    <row r="309" spans="1:7" x14ac:dyDescent="0.25">
      <c r="A309" s="8" t="s">
        <v>5</v>
      </c>
      <c r="B309" s="8" t="s">
        <v>106</v>
      </c>
      <c r="C309" s="8">
        <v>11</v>
      </c>
      <c r="D309" s="8">
        <v>2021</v>
      </c>
      <c r="E309" s="9">
        <v>44501</v>
      </c>
      <c r="F309" s="8">
        <v>459</v>
      </c>
      <c r="G309" s="8">
        <v>531</v>
      </c>
    </row>
    <row r="310" spans="1:7" x14ac:dyDescent="0.25">
      <c r="A310" s="8" t="s">
        <v>5</v>
      </c>
      <c r="B310" s="8" t="s">
        <v>107</v>
      </c>
      <c r="C310" s="8">
        <v>11</v>
      </c>
      <c r="D310" s="8">
        <v>2021</v>
      </c>
      <c r="E310" s="9">
        <v>44501</v>
      </c>
      <c r="F310" s="8">
        <v>598</v>
      </c>
      <c r="G310" s="8">
        <v>531</v>
      </c>
    </row>
    <row r="311" spans="1:7" x14ac:dyDescent="0.25">
      <c r="A311" s="8" t="s">
        <v>5</v>
      </c>
      <c r="B311" s="8" t="s">
        <v>108</v>
      </c>
      <c r="C311" s="8">
        <v>11</v>
      </c>
      <c r="D311" s="8">
        <v>2021</v>
      </c>
      <c r="E311" s="9">
        <v>44501</v>
      </c>
      <c r="F311" s="8">
        <v>1194</v>
      </c>
      <c r="G311" s="8">
        <v>1085</v>
      </c>
    </row>
    <row r="312" spans="1:7" x14ac:dyDescent="0.25">
      <c r="A312" s="8" t="s">
        <v>5</v>
      </c>
      <c r="B312" s="8" t="s">
        <v>109</v>
      </c>
      <c r="C312" s="8">
        <v>11</v>
      </c>
      <c r="D312" s="8">
        <v>2021</v>
      </c>
      <c r="E312" s="9">
        <v>44501</v>
      </c>
      <c r="F312" s="8">
        <v>1135</v>
      </c>
      <c r="G312" s="8">
        <v>1084</v>
      </c>
    </row>
    <row r="313" spans="1:7" x14ac:dyDescent="0.25">
      <c r="A313" s="8" t="s">
        <v>5</v>
      </c>
      <c r="B313" s="8" t="s">
        <v>110</v>
      </c>
      <c r="C313" s="8">
        <v>11</v>
      </c>
      <c r="D313" s="8">
        <v>2021</v>
      </c>
      <c r="E313" s="9">
        <v>44501</v>
      </c>
      <c r="F313" s="8">
        <v>711</v>
      </c>
      <c r="G313" s="8">
        <v>689</v>
      </c>
    </row>
    <row r="314" spans="1:7" x14ac:dyDescent="0.25">
      <c r="A314" s="8" t="s">
        <v>5</v>
      </c>
      <c r="B314" s="8" t="s">
        <v>111</v>
      </c>
      <c r="C314" s="8">
        <v>11</v>
      </c>
      <c r="D314" s="8">
        <v>2021</v>
      </c>
      <c r="E314" s="9">
        <v>44501</v>
      </c>
      <c r="F314" s="8">
        <v>565</v>
      </c>
      <c r="G314" s="8">
        <v>579</v>
      </c>
    </row>
    <row r="315" spans="1:7" x14ac:dyDescent="0.25">
      <c r="A315" s="8" t="s">
        <v>5</v>
      </c>
      <c r="B315" s="8" t="s">
        <v>112</v>
      </c>
      <c r="C315" s="8">
        <v>11</v>
      </c>
      <c r="D315" s="8">
        <v>2021</v>
      </c>
      <c r="E315" s="9">
        <v>44501</v>
      </c>
      <c r="F315" s="8">
        <v>314</v>
      </c>
      <c r="G315" s="8">
        <v>312</v>
      </c>
    </row>
    <row r="316" spans="1:7" x14ac:dyDescent="0.25">
      <c r="A316" s="8" t="s">
        <v>5</v>
      </c>
      <c r="B316" s="8" t="s">
        <v>113</v>
      </c>
      <c r="C316" s="8">
        <v>11</v>
      </c>
      <c r="D316" s="8">
        <v>2021</v>
      </c>
      <c r="E316" s="9">
        <v>44501</v>
      </c>
      <c r="F316" s="8">
        <v>881</v>
      </c>
      <c r="G316" s="8">
        <v>753</v>
      </c>
    </row>
    <row r="317" spans="1:7" x14ac:dyDescent="0.25">
      <c r="A317" s="8" t="s">
        <v>5</v>
      </c>
      <c r="B317" s="8" t="s">
        <v>114</v>
      </c>
      <c r="C317" s="8">
        <v>11</v>
      </c>
      <c r="D317" s="8">
        <v>2021</v>
      </c>
      <c r="E317" s="9">
        <v>44501</v>
      </c>
      <c r="F317" s="8">
        <v>608</v>
      </c>
      <c r="G317" s="8">
        <v>625</v>
      </c>
    </row>
    <row r="318" spans="1:7" x14ac:dyDescent="0.25">
      <c r="A318" s="8" t="s">
        <v>5</v>
      </c>
      <c r="B318" s="8" t="s">
        <v>115</v>
      </c>
      <c r="C318" s="8">
        <v>11</v>
      </c>
      <c r="D318" s="8">
        <v>2021</v>
      </c>
      <c r="E318" s="9">
        <v>44501</v>
      </c>
      <c r="F318" s="8">
        <v>500</v>
      </c>
      <c r="G318" s="8">
        <v>554</v>
      </c>
    </row>
    <row r="319" spans="1:7" x14ac:dyDescent="0.25">
      <c r="A319" s="8" t="s">
        <v>5</v>
      </c>
      <c r="B319" s="8" t="s">
        <v>116</v>
      </c>
      <c r="C319" s="8">
        <v>11</v>
      </c>
      <c r="D319" s="8">
        <v>2021</v>
      </c>
      <c r="E319" s="9">
        <v>44501</v>
      </c>
      <c r="F319" s="8">
        <v>981</v>
      </c>
      <c r="G319" s="8">
        <v>904</v>
      </c>
    </row>
    <row r="320" spans="1:7" x14ac:dyDescent="0.25">
      <c r="A320" s="8" t="s">
        <v>5</v>
      </c>
      <c r="B320" s="8" t="s">
        <v>117</v>
      </c>
      <c r="C320" s="8">
        <v>11</v>
      </c>
      <c r="D320" s="8">
        <v>2021</v>
      </c>
      <c r="E320" s="9">
        <v>44501</v>
      </c>
      <c r="F320" s="8">
        <v>1110</v>
      </c>
      <c r="G320" s="8">
        <v>1127</v>
      </c>
    </row>
    <row r="321" spans="1:7" x14ac:dyDescent="0.25">
      <c r="A321" s="8" t="s">
        <v>5</v>
      </c>
      <c r="B321" s="8" t="s">
        <v>118</v>
      </c>
      <c r="C321" s="8">
        <v>11</v>
      </c>
      <c r="D321" s="8">
        <v>2021</v>
      </c>
      <c r="E321" s="9">
        <v>44501</v>
      </c>
      <c r="F321" s="8">
        <v>729</v>
      </c>
      <c r="G321" s="8">
        <v>660</v>
      </c>
    </row>
    <row r="322" spans="1:7" x14ac:dyDescent="0.25">
      <c r="A322" s="8" t="s">
        <v>5</v>
      </c>
      <c r="B322" s="8" t="s">
        <v>119</v>
      </c>
      <c r="C322" s="8">
        <v>11</v>
      </c>
      <c r="D322" s="8">
        <v>2021</v>
      </c>
      <c r="E322" s="9">
        <v>44501</v>
      </c>
      <c r="F322" s="8">
        <v>791</v>
      </c>
      <c r="G322" s="8">
        <v>873</v>
      </c>
    </row>
    <row r="323" spans="1:7" x14ac:dyDescent="0.25">
      <c r="A323" s="8" t="s">
        <v>5</v>
      </c>
      <c r="B323" s="8" t="s">
        <v>120</v>
      </c>
      <c r="C323" s="8">
        <v>11</v>
      </c>
      <c r="D323" s="8">
        <v>2021</v>
      </c>
      <c r="E323" s="9">
        <v>44501</v>
      </c>
      <c r="F323" s="8">
        <v>698</v>
      </c>
      <c r="G323" s="8">
        <v>710</v>
      </c>
    </row>
    <row r="324" spans="1:7" x14ac:dyDescent="0.25">
      <c r="A324" s="8" t="s">
        <v>5</v>
      </c>
      <c r="B324" s="8" t="s">
        <v>121</v>
      </c>
      <c r="C324" s="8">
        <v>11</v>
      </c>
      <c r="D324" s="8">
        <v>2021</v>
      </c>
      <c r="E324" s="9">
        <v>44501</v>
      </c>
      <c r="F324" s="8">
        <v>875</v>
      </c>
      <c r="G324" s="8">
        <v>1044</v>
      </c>
    </row>
    <row r="325" spans="1:7" x14ac:dyDescent="0.25">
      <c r="A325" s="8" t="s">
        <v>5</v>
      </c>
      <c r="B325" s="8" t="s">
        <v>122</v>
      </c>
      <c r="C325" s="8">
        <v>11</v>
      </c>
      <c r="D325" s="8">
        <v>2021</v>
      </c>
      <c r="E325" s="9">
        <v>44501</v>
      </c>
      <c r="F325" s="8">
        <v>492</v>
      </c>
      <c r="G325" s="8">
        <v>549</v>
      </c>
    </row>
    <row r="326" spans="1:7" x14ac:dyDescent="0.25">
      <c r="A326" s="8" t="s">
        <v>5</v>
      </c>
      <c r="B326" s="8" t="s">
        <v>123</v>
      </c>
      <c r="C326" s="8">
        <v>11</v>
      </c>
      <c r="D326" s="8">
        <v>2021</v>
      </c>
      <c r="E326" s="9">
        <v>44501</v>
      </c>
      <c r="F326" s="8">
        <v>483</v>
      </c>
      <c r="G326" s="8">
        <v>507</v>
      </c>
    </row>
    <row r="327" spans="1:7" x14ac:dyDescent="0.25">
      <c r="A327" s="8" t="s">
        <v>5</v>
      </c>
      <c r="B327" s="8" t="s">
        <v>124</v>
      </c>
      <c r="C327" s="8">
        <v>11</v>
      </c>
      <c r="D327" s="8">
        <v>2021</v>
      </c>
      <c r="E327" s="9">
        <v>44501</v>
      </c>
      <c r="F327" s="8">
        <v>652</v>
      </c>
      <c r="G327" s="8">
        <v>635</v>
      </c>
    </row>
    <row r="328" spans="1:7" x14ac:dyDescent="0.25">
      <c r="A328" s="8" t="s">
        <v>5</v>
      </c>
      <c r="B328" s="8" t="s">
        <v>125</v>
      </c>
      <c r="C328" s="8">
        <v>11</v>
      </c>
      <c r="D328" s="8">
        <v>2021</v>
      </c>
      <c r="E328" s="9">
        <v>44501</v>
      </c>
      <c r="F328" s="8">
        <v>435</v>
      </c>
      <c r="G328" s="8">
        <v>411</v>
      </c>
    </row>
    <row r="329" spans="1:7" x14ac:dyDescent="0.25">
      <c r="A329" s="8" t="s">
        <v>7</v>
      </c>
      <c r="B329" s="8" t="s">
        <v>126</v>
      </c>
      <c r="C329" s="8">
        <v>11</v>
      </c>
      <c r="D329" s="8">
        <v>2021</v>
      </c>
      <c r="E329" s="9">
        <v>44501</v>
      </c>
      <c r="F329" s="8">
        <v>883</v>
      </c>
      <c r="G329" s="8">
        <v>1006</v>
      </c>
    </row>
    <row r="330" spans="1:7" x14ac:dyDescent="0.25">
      <c r="A330" s="8" t="s">
        <v>7</v>
      </c>
      <c r="B330" s="8" t="s">
        <v>127</v>
      </c>
      <c r="C330" s="8">
        <v>11</v>
      </c>
      <c r="D330" s="8">
        <v>2021</v>
      </c>
      <c r="E330" s="9">
        <v>44501</v>
      </c>
      <c r="F330" s="8">
        <v>739</v>
      </c>
      <c r="G330" s="8">
        <v>654</v>
      </c>
    </row>
    <row r="331" spans="1:7" x14ac:dyDescent="0.25">
      <c r="A331" s="8" t="s">
        <v>7</v>
      </c>
      <c r="B331" s="8" t="s">
        <v>128</v>
      </c>
      <c r="C331" s="8">
        <v>11</v>
      </c>
      <c r="D331" s="8">
        <v>2021</v>
      </c>
      <c r="E331" s="9">
        <v>44501</v>
      </c>
      <c r="F331" s="8">
        <v>468</v>
      </c>
      <c r="G331" s="8">
        <v>455</v>
      </c>
    </row>
    <row r="332" spans="1:7" x14ac:dyDescent="0.25">
      <c r="A332" s="8" t="s">
        <v>7</v>
      </c>
      <c r="B332" s="8" t="s">
        <v>129</v>
      </c>
      <c r="C332" s="8">
        <v>11</v>
      </c>
      <c r="D332" s="8">
        <v>2021</v>
      </c>
      <c r="E332" s="9">
        <v>44501</v>
      </c>
      <c r="F332" s="8">
        <v>220</v>
      </c>
      <c r="G332" s="8">
        <v>251</v>
      </c>
    </row>
    <row r="333" spans="1:7" x14ac:dyDescent="0.25">
      <c r="A333" s="8" t="s">
        <v>7</v>
      </c>
      <c r="B333" s="8" t="s">
        <v>130</v>
      </c>
      <c r="C333" s="8">
        <v>11</v>
      </c>
      <c r="D333" s="8">
        <v>2021</v>
      </c>
      <c r="E333" s="9">
        <v>44501</v>
      </c>
      <c r="F333" s="8">
        <v>140</v>
      </c>
      <c r="G333" s="8">
        <v>166</v>
      </c>
    </row>
    <row r="334" spans="1:7" x14ac:dyDescent="0.25">
      <c r="A334" s="8" t="s">
        <v>7</v>
      </c>
      <c r="B334" s="8" t="s">
        <v>131</v>
      </c>
      <c r="C334" s="8">
        <v>11</v>
      </c>
      <c r="D334" s="8">
        <v>2021</v>
      </c>
      <c r="E334" s="9">
        <v>44501</v>
      </c>
      <c r="F334" s="8">
        <v>154</v>
      </c>
      <c r="G334" s="8">
        <v>163</v>
      </c>
    </row>
    <row r="335" spans="1:7" x14ac:dyDescent="0.25">
      <c r="A335" s="8" t="s">
        <v>7</v>
      </c>
      <c r="B335" s="8" t="s">
        <v>132</v>
      </c>
      <c r="C335" s="8">
        <v>11</v>
      </c>
      <c r="D335" s="8">
        <v>2021</v>
      </c>
      <c r="E335" s="9">
        <v>44501</v>
      </c>
      <c r="F335" s="8">
        <v>213</v>
      </c>
      <c r="G335" s="8">
        <v>183</v>
      </c>
    </row>
    <row r="336" spans="1:7" x14ac:dyDescent="0.25">
      <c r="A336" s="8" t="s">
        <v>7</v>
      </c>
      <c r="B336" s="8" t="s">
        <v>133</v>
      </c>
      <c r="C336" s="8">
        <v>11</v>
      </c>
      <c r="D336" s="8">
        <v>2021</v>
      </c>
      <c r="E336" s="9">
        <v>44501</v>
      </c>
      <c r="F336" s="8">
        <v>218</v>
      </c>
      <c r="G336" s="8">
        <v>193</v>
      </c>
    </row>
    <row r="337" spans="1:7" x14ac:dyDescent="0.25">
      <c r="A337" s="8" t="s">
        <v>7</v>
      </c>
      <c r="B337" s="8" t="s">
        <v>134</v>
      </c>
      <c r="C337" s="8">
        <v>11</v>
      </c>
      <c r="D337" s="8">
        <v>2021</v>
      </c>
      <c r="E337" s="9">
        <v>44501</v>
      </c>
      <c r="F337" s="8">
        <v>106</v>
      </c>
      <c r="G337" s="8">
        <v>109</v>
      </c>
    </row>
    <row r="338" spans="1:7" x14ac:dyDescent="0.25">
      <c r="A338" s="8" t="s">
        <v>7</v>
      </c>
      <c r="B338" s="8" t="s">
        <v>135</v>
      </c>
      <c r="C338" s="8">
        <v>11</v>
      </c>
      <c r="D338" s="8">
        <v>2021</v>
      </c>
      <c r="E338" s="9">
        <v>44501</v>
      </c>
      <c r="F338" s="8">
        <v>300</v>
      </c>
      <c r="G338" s="8">
        <v>293</v>
      </c>
    </row>
    <row r="339" spans="1:7" x14ac:dyDescent="0.25">
      <c r="A339" s="8" t="s">
        <v>7</v>
      </c>
      <c r="B339" s="8" t="s">
        <v>136</v>
      </c>
      <c r="C339" s="8">
        <v>11</v>
      </c>
      <c r="D339" s="8">
        <v>2021</v>
      </c>
      <c r="E339" s="9">
        <v>44501</v>
      </c>
      <c r="F339" s="8">
        <v>137</v>
      </c>
      <c r="G339" s="8">
        <v>134</v>
      </c>
    </row>
    <row r="340" spans="1:7" x14ac:dyDescent="0.25">
      <c r="A340" s="8" t="s">
        <v>7</v>
      </c>
      <c r="B340" s="8" t="s">
        <v>137</v>
      </c>
      <c r="C340" s="8">
        <v>11</v>
      </c>
      <c r="D340" s="8">
        <v>2021</v>
      </c>
      <c r="E340" s="9">
        <v>44501</v>
      </c>
      <c r="F340" s="8">
        <v>95</v>
      </c>
      <c r="G340" s="8">
        <v>84</v>
      </c>
    </row>
    <row r="341" spans="1:7" x14ac:dyDescent="0.25">
      <c r="A341" s="8" t="s">
        <v>7</v>
      </c>
      <c r="B341" s="8" t="s">
        <v>138</v>
      </c>
      <c r="C341" s="8">
        <v>11</v>
      </c>
      <c r="D341" s="8">
        <v>2021</v>
      </c>
      <c r="E341" s="9">
        <v>44501</v>
      </c>
      <c r="F341" s="8">
        <v>193</v>
      </c>
      <c r="G341" s="8">
        <v>157</v>
      </c>
    </row>
    <row r="342" spans="1:7" x14ac:dyDescent="0.25">
      <c r="A342" s="8" t="s">
        <v>7</v>
      </c>
      <c r="B342" s="8" t="s">
        <v>139</v>
      </c>
      <c r="C342" s="8">
        <v>11</v>
      </c>
      <c r="D342" s="8">
        <v>2021</v>
      </c>
      <c r="E342" s="9">
        <v>44501</v>
      </c>
      <c r="F342" s="8">
        <v>220</v>
      </c>
      <c r="G342" s="8">
        <v>247</v>
      </c>
    </row>
    <row r="343" spans="1:7" x14ac:dyDescent="0.25">
      <c r="A343" s="8" t="s">
        <v>7</v>
      </c>
      <c r="B343" s="8" t="s">
        <v>140</v>
      </c>
      <c r="C343" s="8">
        <v>11</v>
      </c>
      <c r="D343" s="8">
        <v>2021</v>
      </c>
      <c r="E343" s="9">
        <v>44501</v>
      </c>
      <c r="F343" s="8">
        <v>190</v>
      </c>
      <c r="G343" s="8">
        <v>182</v>
      </c>
    </row>
    <row r="344" spans="1:7" x14ac:dyDescent="0.25">
      <c r="A344" s="8" t="s">
        <v>7</v>
      </c>
      <c r="B344" s="8" t="s">
        <v>141</v>
      </c>
      <c r="C344" s="8">
        <v>11</v>
      </c>
      <c r="D344" s="8">
        <v>2021</v>
      </c>
      <c r="E344" s="9">
        <v>44501</v>
      </c>
      <c r="F344" s="8">
        <v>125</v>
      </c>
      <c r="G344" s="8">
        <v>135</v>
      </c>
    </row>
    <row r="345" spans="1:7" x14ac:dyDescent="0.25">
      <c r="A345" s="8" t="s">
        <v>7</v>
      </c>
      <c r="B345" s="8" t="s">
        <v>142</v>
      </c>
      <c r="C345" s="8">
        <v>11</v>
      </c>
      <c r="D345" s="8">
        <v>2021</v>
      </c>
      <c r="E345" s="9">
        <v>44501</v>
      </c>
      <c r="F345" s="8">
        <v>147</v>
      </c>
      <c r="G345" s="8">
        <v>159</v>
      </c>
    </row>
    <row r="346" spans="1:7" x14ac:dyDescent="0.25">
      <c r="A346" s="8" t="s">
        <v>7</v>
      </c>
      <c r="B346" s="8" t="s">
        <v>143</v>
      </c>
      <c r="C346" s="8">
        <v>11</v>
      </c>
      <c r="D346" s="8">
        <v>2021</v>
      </c>
      <c r="E346" s="9">
        <v>44501</v>
      </c>
      <c r="F346" s="8">
        <v>202</v>
      </c>
      <c r="G346" s="8">
        <v>181</v>
      </c>
    </row>
    <row r="347" spans="1:7" x14ac:dyDescent="0.25">
      <c r="A347" s="8" t="s">
        <v>7</v>
      </c>
      <c r="B347" s="8" t="s">
        <v>144</v>
      </c>
      <c r="C347" s="8">
        <v>11</v>
      </c>
      <c r="D347" s="8">
        <v>2021</v>
      </c>
      <c r="E347" s="9">
        <v>44501</v>
      </c>
      <c r="F347" s="8">
        <v>108</v>
      </c>
      <c r="G347" s="8">
        <v>106</v>
      </c>
    </row>
    <row r="348" spans="1:7" x14ac:dyDescent="0.25">
      <c r="A348" s="8" t="s">
        <v>7</v>
      </c>
      <c r="B348" s="8" t="s">
        <v>145</v>
      </c>
      <c r="C348" s="8">
        <v>11</v>
      </c>
      <c r="D348" s="8">
        <v>2021</v>
      </c>
      <c r="E348" s="9">
        <v>44501</v>
      </c>
      <c r="F348" s="8">
        <v>117</v>
      </c>
      <c r="G348" s="8">
        <v>120</v>
      </c>
    </row>
    <row r="349" spans="1:7" x14ac:dyDescent="0.25">
      <c r="A349" s="8" t="s">
        <v>7</v>
      </c>
      <c r="B349" s="8" t="s">
        <v>146</v>
      </c>
      <c r="C349" s="8">
        <v>11</v>
      </c>
      <c r="D349" s="8">
        <v>2021</v>
      </c>
      <c r="E349" s="9">
        <v>44501</v>
      </c>
      <c r="F349" s="8">
        <v>237</v>
      </c>
      <c r="G349" s="8">
        <v>209</v>
      </c>
    </row>
    <row r="350" spans="1:7" x14ac:dyDescent="0.25">
      <c r="A350" s="8" t="s">
        <v>7</v>
      </c>
      <c r="B350" s="8" t="s">
        <v>147</v>
      </c>
      <c r="C350" s="8">
        <v>11</v>
      </c>
      <c r="D350" s="8">
        <v>2021</v>
      </c>
      <c r="E350" s="9">
        <v>44501</v>
      </c>
      <c r="F350" s="8">
        <v>120</v>
      </c>
      <c r="G350" s="8">
        <v>111</v>
      </c>
    </row>
    <row r="351" spans="1:7" x14ac:dyDescent="0.25">
      <c r="A351" s="8" t="s">
        <v>7</v>
      </c>
      <c r="B351" s="8" t="s">
        <v>148</v>
      </c>
      <c r="C351" s="8">
        <v>11</v>
      </c>
      <c r="D351" s="8">
        <v>2021</v>
      </c>
      <c r="E351" s="9">
        <v>44501</v>
      </c>
      <c r="F351" s="8">
        <v>155</v>
      </c>
      <c r="G351" s="8">
        <v>178</v>
      </c>
    </row>
    <row r="352" spans="1:7" x14ac:dyDescent="0.25">
      <c r="A352" s="8" t="s">
        <v>7</v>
      </c>
      <c r="B352" s="8" t="s">
        <v>149</v>
      </c>
      <c r="C352" s="8">
        <v>11</v>
      </c>
      <c r="D352" s="8">
        <v>2021</v>
      </c>
      <c r="E352" s="9">
        <v>44501</v>
      </c>
      <c r="F352" s="8">
        <v>53</v>
      </c>
      <c r="G352" s="8">
        <v>57</v>
      </c>
    </row>
    <row r="353" spans="1:7" x14ac:dyDescent="0.25">
      <c r="A353" s="8" t="s">
        <v>8</v>
      </c>
      <c r="B353" s="8" t="s">
        <v>150</v>
      </c>
      <c r="C353" s="8">
        <v>11</v>
      </c>
      <c r="D353" s="8">
        <v>2021</v>
      </c>
      <c r="E353" s="9">
        <v>44501</v>
      </c>
      <c r="F353" s="8">
        <v>648</v>
      </c>
      <c r="G353" s="8">
        <v>702</v>
      </c>
    </row>
    <row r="354" spans="1:7" x14ac:dyDescent="0.25">
      <c r="A354" s="8" t="s">
        <v>8</v>
      </c>
      <c r="B354" s="8" t="s">
        <v>151</v>
      </c>
      <c r="C354" s="8">
        <v>11</v>
      </c>
      <c r="D354" s="8">
        <v>2021</v>
      </c>
      <c r="E354" s="9">
        <v>44501</v>
      </c>
      <c r="F354" s="8">
        <v>595</v>
      </c>
      <c r="G354" s="8">
        <v>584</v>
      </c>
    </row>
    <row r="355" spans="1:7" x14ac:dyDescent="0.25">
      <c r="A355" s="8" t="s">
        <v>8</v>
      </c>
      <c r="B355" s="8" t="s">
        <v>152</v>
      </c>
      <c r="C355" s="8">
        <v>11</v>
      </c>
      <c r="D355" s="8">
        <v>2021</v>
      </c>
      <c r="E355" s="9">
        <v>44501</v>
      </c>
      <c r="F355" s="8">
        <v>189</v>
      </c>
      <c r="G355" s="8">
        <v>179</v>
      </c>
    </row>
    <row r="356" spans="1:7" x14ac:dyDescent="0.25">
      <c r="A356" s="8" t="s">
        <v>8</v>
      </c>
      <c r="B356" s="8" t="s">
        <v>153</v>
      </c>
      <c r="C356" s="8">
        <v>11</v>
      </c>
      <c r="D356" s="8">
        <v>2021</v>
      </c>
      <c r="E356" s="9">
        <v>44501</v>
      </c>
      <c r="F356" s="8">
        <v>442</v>
      </c>
      <c r="G356" s="8">
        <v>421</v>
      </c>
    </row>
    <row r="357" spans="1:7" x14ac:dyDescent="0.25">
      <c r="A357" s="8" t="s">
        <v>8</v>
      </c>
      <c r="B357" s="8" t="s">
        <v>154</v>
      </c>
      <c r="C357" s="8">
        <v>11</v>
      </c>
      <c r="D357" s="8">
        <v>2021</v>
      </c>
      <c r="E357" s="9">
        <v>44501</v>
      </c>
      <c r="F357" s="8">
        <v>264</v>
      </c>
      <c r="G357" s="8">
        <v>259</v>
      </c>
    </row>
    <row r="358" spans="1:7" x14ac:dyDescent="0.25">
      <c r="A358" s="8" t="s">
        <v>8</v>
      </c>
      <c r="B358" s="8" t="s">
        <v>155</v>
      </c>
      <c r="C358" s="8">
        <v>11</v>
      </c>
      <c r="D358" s="8">
        <v>2021</v>
      </c>
      <c r="E358" s="9">
        <v>44501</v>
      </c>
      <c r="F358" s="8">
        <v>346</v>
      </c>
      <c r="G358" s="8">
        <v>366</v>
      </c>
    </row>
    <row r="359" spans="1:7" x14ac:dyDescent="0.25">
      <c r="A359" s="8" t="s">
        <v>8</v>
      </c>
      <c r="B359" s="8" t="s">
        <v>156</v>
      </c>
      <c r="C359" s="8">
        <v>11</v>
      </c>
      <c r="D359" s="8">
        <v>2021</v>
      </c>
      <c r="E359" s="9">
        <v>44501</v>
      </c>
      <c r="F359" s="8">
        <v>149</v>
      </c>
      <c r="G359" s="8">
        <v>135</v>
      </c>
    </row>
    <row r="360" spans="1:7" x14ac:dyDescent="0.25">
      <c r="A360" s="8" t="s">
        <v>8</v>
      </c>
      <c r="B360" s="8" t="s">
        <v>157</v>
      </c>
      <c r="C360" s="8">
        <v>11</v>
      </c>
      <c r="D360" s="8">
        <v>2021</v>
      </c>
      <c r="E360" s="9">
        <v>44501</v>
      </c>
      <c r="F360" s="8">
        <v>245</v>
      </c>
      <c r="G360" s="8">
        <v>263</v>
      </c>
    </row>
    <row r="361" spans="1:7" x14ac:dyDescent="0.25">
      <c r="A361" s="8" t="s">
        <v>8</v>
      </c>
      <c r="B361" s="8" t="s">
        <v>158</v>
      </c>
      <c r="C361" s="8">
        <v>11</v>
      </c>
      <c r="D361" s="8">
        <v>2021</v>
      </c>
      <c r="E361" s="9">
        <v>44501</v>
      </c>
      <c r="F361" s="8">
        <v>175</v>
      </c>
      <c r="G361" s="8">
        <v>186</v>
      </c>
    </row>
    <row r="362" spans="1:7" x14ac:dyDescent="0.25">
      <c r="A362" s="8" t="s">
        <v>8</v>
      </c>
      <c r="B362" s="8" t="s">
        <v>159</v>
      </c>
      <c r="C362" s="8">
        <v>11</v>
      </c>
      <c r="D362" s="8">
        <v>2021</v>
      </c>
      <c r="E362" s="9">
        <v>44501</v>
      </c>
      <c r="F362" s="8">
        <v>184</v>
      </c>
      <c r="G362" s="8">
        <v>184</v>
      </c>
    </row>
    <row r="363" spans="1:7" x14ac:dyDescent="0.25">
      <c r="A363" s="8" t="s">
        <v>8</v>
      </c>
      <c r="B363" s="8" t="s">
        <v>160</v>
      </c>
      <c r="C363" s="8">
        <v>11</v>
      </c>
      <c r="D363" s="8">
        <v>2021</v>
      </c>
      <c r="E363" s="9">
        <v>44501</v>
      </c>
      <c r="F363" s="8">
        <v>115</v>
      </c>
      <c r="G363" s="8">
        <v>110</v>
      </c>
    </row>
    <row r="364" spans="1:7" x14ac:dyDescent="0.25">
      <c r="A364" s="8" t="s">
        <v>8</v>
      </c>
      <c r="B364" s="8" t="s">
        <v>161</v>
      </c>
      <c r="C364" s="8">
        <v>11</v>
      </c>
      <c r="D364" s="8">
        <v>2021</v>
      </c>
      <c r="E364" s="9">
        <v>44501</v>
      </c>
      <c r="F364" s="8">
        <v>199</v>
      </c>
      <c r="G364" s="8">
        <v>181</v>
      </c>
    </row>
    <row r="365" spans="1:7" x14ac:dyDescent="0.25">
      <c r="A365" s="8" t="s">
        <v>8</v>
      </c>
      <c r="B365" s="8" t="s">
        <v>162</v>
      </c>
      <c r="C365" s="8">
        <v>11</v>
      </c>
      <c r="D365" s="8">
        <v>2021</v>
      </c>
      <c r="E365" s="9">
        <v>44501</v>
      </c>
      <c r="F365" s="8">
        <v>120</v>
      </c>
      <c r="G365" s="8">
        <v>121</v>
      </c>
    </row>
    <row r="366" spans="1:7" x14ac:dyDescent="0.25">
      <c r="A366" s="8" t="s">
        <v>8</v>
      </c>
      <c r="B366" s="8" t="s">
        <v>163</v>
      </c>
      <c r="C366" s="8">
        <v>11</v>
      </c>
      <c r="D366" s="8">
        <v>2021</v>
      </c>
      <c r="E366" s="9">
        <v>44501</v>
      </c>
      <c r="F366" s="8">
        <v>286</v>
      </c>
      <c r="G366" s="8">
        <v>265</v>
      </c>
    </row>
    <row r="367" spans="1:7" x14ac:dyDescent="0.25">
      <c r="A367" s="8" t="s">
        <v>8</v>
      </c>
      <c r="B367" s="8" t="s">
        <v>164</v>
      </c>
      <c r="C367" s="8">
        <v>11</v>
      </c>
      <c r="D367" s="8">
        <v>2021</v>
      </c>
      <c r="E367" s="9">
        <v>44501</v>
      </c>
      <c r="F367" s="8">
        <v>319</v>
      </c>
      <c r="G367" s="8">
        <v>305</v>
      </c>
    </row>
    <row r="368" spans="1:7" x14ac:dyDescent="0.25">
      <c r="A368" s="8" t="s">
        <v>6</v>
      </c>
      <c r="B368" s="8" t="s">
        <v>43</v>
      </c>
      <c r="C368" s="8">
        <v>12</v>
      </c>
      <c r="D368" s="8">
        <v>2021</v>
      </c>
      <c r="E368" s="9">
        <v>44531</v>
      </c>
      <c r="F368" s="8">
        <v>1478</v>
      </c>
      <c r="G368" s="8">
        <v>1370</v>
      </c>
    </row>
    <row r="369" spans="1:7" x14ac:dyDescent="0.25">
      <c r="A369" s="8" t="s">
        <v>6</v>
      </c>
      <c r="B369" s="8" t="s">
        <v>44</v>
      </c>
      <c r="C369" s="8">
        <v>12</v>
      </c>
      <c r="D369" s="8">
        <v>2021</v>
      </c>
      <c r="E369" s="9">
        <v>44531</v>
      </c>
      <c r="F369" s="8">
        <v>674</v>
      </c>
      <c r="G369" s="8">
        <v>729</v>
      </c>
    </row>
    <row r="370" spans="1:7" x14ac:dyDescent="0.25">
      <c r="A370" s="8" t="s">
        <v>6</v>
      </c>
      <c r="B370" s="8" t="s">
        <v>45</v>
      </c>
      <c r="C370" s="8">
        <v>12</v>
      </c>
      <c r="D370" s="8">
        <v>2021</v>
      </c>
      <c r="E370" s="9">
        <v>44531</v>
      </c>
      <c r="F370" s="8">
        <v>988</v>
      </c>
      <c r="G370" s="8">
        <v>837</v>
      </c>
    </row>
    <row r="371" spans="1:7" x14ac:dyDescent="0.25">
      <c r="A371" s="8" t="s">
        <v>6</v>
      </c>
      <c r="B371" s="8" t="s">
        <v>46</v>
      </c>
      <c r="C371" s="8">
        <v>12</v>
      </c>
      <c r="D371" s="8">
        <v>2021</v>
      </c>
      <c r="E371" s="9">
        <v>44531</v>
      </c>
      <c r="F371" s="8">
        <v>105</v>
      </c>
      <c r="G371" s="8">
        <v>111</v>
      </c>
    </row>
    <row r="372" spans="1:7" x14ac:dyDescent="0.25">
      <c r="A372" s="8" t="s">
        <v>6</v>
      </c>
      <c r="B372" s="8" t="s">
        <v>47</v>
      </c>
      <c r="C372" s="8">
        <v>12</v>
      </c>
      <c r="D372" s="8">
        <v>2021</v>
      </c>
      <c r="E372" s="9">
        <v>44531</v>
      </c>
      <c r="F372" s="8">
        <v>1288</v>
      </c>
      <c r="G372" s="8">
        <v>1344</v>
      </c>
    </row>
    <row r="373" spans="1:7" x14ac:dyDescent="0.25">
      <c r="A373" s="8" t="s">
        <v>6</v>
      </c>
      <c r="B373" s="8" t="s">
        <v>48</v>
      </c>
      <c r="C373" s="8">
        <v>12</v>
      </c>
      <c r="D373" s="8">
        <v>2021</v>
      </c>
      <c r="E373" s="9">
        <v>44531</v>
      </c>
      <c r="F373" s="8">
        <v>579</v>
      </c>
      <c r="G373" s="8">
        <v>621</v>
      </c>
    </row>
    <row r="374" spans="1:7" x14ac:dyDescent="0.25">
      <c r="A374" s="8" t="s">
        <v>6</v>
      </c>
      <c r="B374" s="8" t="s">
        <v>49</v>
      </c>
      <c r="C374" s="8">
        <v>12</v>
      </c>
      <c r="D374" s="8">
        <v>2021</v>
      </c>
      <c r="E374" s="9">
        <v>44531</v>
      </c>
      <c r="F374" s="8">
        <v>1053</v>
      </c>
      <c r="G374" s="8">
        <v>1152</v>
      </c>
    </row>
    <row r="375" spans="1:7" x14ac:dyDescent="0.25">
      <c r="A375" s="8" t="s">
        <v>6</v>
      </c>
      <c r="B375" s="8" t="s">
        <v>50</v>
      </c>
      <c r="C375" s="8">
        <v>12</v>
      </c>
      <c r="D375" s="8">
        <v>2021</v>
      </c>
      <c r="E375" s="9">
        <v>44531</v>
      </c>
      <c r="F375" s="8">
        <v>960</v>
      </c>
      <c r="G375" s="8">
        <v>988</v>
      </c>
    </row>
    <row r="376" spans="1:7" x14ac:dyDescent="0.25">
      <c r="A376" s="8" t="s">
        <v>6</v>
      </c>
      <c r="B376" s="8" t="s">
        <v>51</v>
      </c>
      <c r="C376" s="8">
        <v>12</v>
      </c>
      <c r="D376" s="8">
        <v>2021</v>
      </c>
      <c r="E376" s="9">
        <v>44531</v>
      </c>
      <c r="F376" s="8">
        <v>150</v>
      </c>
      <c r="G376" s="8">
        <v>180</v>
      </c>
    </row>
    <row r="377" spans="1:7" x14ac:dyDescent="0.25">
      <c r="A377" s="8" t="s">
        <v>6</v>
      </c>
      <c r="B377" s="8" t="s">
        <v>52</v>
      </c>
      <c r="C377" s="8">
        <v>12</v>
      </c>
      <c r="D377" s="8">
        <v>2021</v>
      </c>
      <c r="E377" s="9">
        <v>44531</v>
      </c>
      <c r="F377" s="8">
        <v>502</v>
      </c>
      <c r="G377" s="8">
        <v>610</v>
      </c>
    </row>
    <row r="378" spans="1:7" x14ac:dyDescent="0.25">
      <c r="A378" s="8" t="s">
        <v>6</v>
      </c>
      <c r="B378" s="8" t="s">
        <v>53</v>
      </c>
      <c r="C378" s="8">
        <v>12</v>
      </c>
      <c r="D378" s="8">
        <v>2021</v>
      </c>
      <c r="E378" s="9">
        <v>44531</v>
      </c>
      <c r="F378" s="8">
        <v>521</v>
      </c>
      <c r="G378" s="8">
        <v>516</v>
      </c>
    </row>
    <row r="379" spans="1:7" x14ac:dyDescent="0.25">
      <c r="A379" s="8" t="s">
        <v>6</v>
      </c>
      <c r="B379" s="8" t="s">
        <v>54</v>
      </c>
      <c r="C379" s="8">
        <v>12</v>
      </c>
      <c r="D379" s="8">
        <v>2021</v>
      </c>
      <c r="E379" s="9">
        <v>44531</v>
      </c>
      <c r="F379" s="8">
        <v>556</v>
      </c>
      <c r="G379" s="8">
        <v>561</v>
      </c>
    </row>
    <row r="380" spans="1:7" x14ac:dyDescent="0.25">
      <c r="A380" s="8" t="s">
        <v>6</v>
      </c>
      <c r="B380" s="8" t="s">
        <v>55</v>
      </c>
      <c r="C380" s="8">
        <v>12</v>
      </c>
      <c r="D380" s="8">
        <v>2021</v>
      </c>
      <c r="E380" s="9">
        <v>44531</v>
      </c>
      <c r="F380" s="8">
        <v>347</v>
      </c>
      <c r="G380" s="8">
        <v>328</v>
      </c>
    </row>
    <row r="381" spans="1:7" x14ac:dyDescent="0.25">
      <c r="A381" s="8" t="s">
        <v>6</v>
      </c>
      <c r="B381" s="8" t="s">
        <v>56</v>
      </c>
      <c r="C381" s="8">
        <v>12</v>
      </c>
      <c r="D381" s="8">
        <v>2021</v>
      </c>
      <c r="E381" s="9">
        <v>44531</v>
      </c>
      <c r="F381" s="8">
        <v>162</v>
      </c>
      <c r="G381" s="8">
        <v>157</v>
      </c>
    </row>
    <row r="382" spans="1:7" x14ac:dyDescent="0.25">
      <c r="A382" s="8" t="s">
        <v>6</v>
      </c>
      <c r="B382" s="8" t="s">
        <v>57</v>
      </c>
      <c r="C382" s="8">
        <v>12</v>
      </c>
      <c r="D382" s="8">
        <v>2021</v>
      </c>
      <c r="E382" s="9">
        <v>44531</v>
      </c>
      <c r="F382" s="8">
        <v>625</v>
      </c>
      <c r="G382" s="8">
        <v>527</v>
      </c>
    </row>
    <row r="383" spans="1:7" x14ac:dyDescent="0.25">
      <c r="A383" s="8" t="s">
        <v>6</v>
      </c>
      <c r="B383" s="8" t="s">
        <v>58</v>
      </c>
      <c r="C383" s="8">
        <v>12</v>
      </c>
      <c r="D383" s="8">
        <v>2021</v>
      </c>
      <c r="E383" s="9">
        <v>44531</v>
      </c>
      <c r="F383" s="8">
        <v>557</v>
      </c>
      <c r="G383" s="8">
        <v>560</v>
      </c>
    </row>
    <row r="384" spans="1:7" x14ac:dyDescent="0.25">
      <c r="A384" s="8" t="s">
        <v>6</v>
      </c>
      <c r="B384" s="8" t="s">
        <v>59</v>
      </c>
      <c r="C384" s="8">
        <v>12</v>
      </c>
      <c r="D384" s="8">
        <v>2021</v>
      </c>
      <c r="E384" s="9">
        <v>44531</v>
      </c>
      <c r="F384" s="8">
        <v>177</v>
      </c>
      <c r="G384" s="8">
        <v>161</v>
      </c>
    </row>
    <row r="385" spans="1:7" x14ac:dyDescent="0.25">
      <c r="A385" s="8" t="s">
        <v>6</v>
      </c>
      <c r="B385" s="8" t="s">
        <v>60</v>
      </c>
      <c r="C385" s="8">
        <v>12</v>
      </c>
      <c r="D385" s="8">
        <v>2021</v>
      </c>
      <c r="E385" s="9">
        <v>44531</v>
      </c>
      <c r="F385" s="8">
        <v>75</v>
      </c>
      <c r="G385" s="8">
        <v>79</v>
      </c>
    </row>
    <row r="386" spans="1:7" x14ac:dyDescent="0.25">
      <c r="A386" s="8" t="s">
        <v>6</v>
      </c>
      <c r="B386" s="8" t="s">
        <v>61</v>
      </c>
      <c r="C386" s="8">
        <v>12</v>
      </c>
      <c r="D386" s="8">
        <v>2021</v>
      </c>
      <c r="E386" s="9">
        <v>44531</v>
      </c>
      <c r="F386" s="8">
        <v>603</v>
      </c>
      <c r="G386" s="8">
        <v>595</v>
      </c>
    </row>
    <row r="387" spans="1:7" x14ac:dyDescent="0.25">
      <c r="A387" s="8" t="s">
        <v>3</v>
      </c>
      <c r="B387" s="8" t="s">
        <v>62</v>
      </c>
      <c r="C387" s="8">
        <v>12</v>
      </c>
      <c r="D387" s="8">
        <v>2021</v>
      </c>
      <c r="E387" s="9">
        <v>44531</v>
      </c>
      <c r="F387" s="8">
        <v>704</v>
      </c>
      <c r="G387" s="8">
        <v>690</v>
      </c>
    </row>
    <row r="388" spans="1:7" x14ac:dyDescent="0.25">
      <c r="A388" s="8" t="s">
        <v>3</v>
      </c>
      <c r="B388" s="8" t="s">
        <v>63</v>
      </c>
      <c r="C388" s="8">
        <v>12</v>
      </c>
      <c r="D388" s="8">
        <v>2021</v>
      </c>
      <c r="E388" s="9">
        <v>44531</v>
      </c>
      <c r="F388" s="8">
        <v>930</v>
      </c>
      <c r="G388" s="8">
        <v>1098</v>
      </c>
    </row>
    <row r="389" spans="1:7" x14ac:dyDescent="0.25">
      <c r="A389" s="8" t="s">
        <v>3</v>
      </c>
      <c r="B389" s="8" t="s">
        <v>64</v>
      </c>
      <c r="C389" s="8">
        <v>12</v>
      </c>
      <c r="D389" s="8">
        <v>2021</v>
      </c>
      <c r="E389" s="9">
        <v>44531</v>
      </c>
      <c r="F389" s="8">
        <v>690</v>
      </c>
      <c r="G389" s="8">
        <v>738</v>
      </c>
    </row>
    <row r="390" spans="1:7" x14ac:dyDescent="0.25">
      <c r="A390" s="8" t="s">
        <v>3</v>
      </c>
      <c r="B390" s="8" t="s">
        <v>65</v>
      </c>
      <c r="C390" s="8">
        <v>12</v>
      </c>
      <c r="D390" s="8">
        <v>2021</v>
      </c>
      <c r="E390" s="9">
        <v>44531</v>
      </c>
      <c r="F390" s="8">
        <v>1270</v>
      </c>
      <c r="G390" s="8">
        <v>1273</v>
      </c>
    </row>
    <row r="391" spans="1:7" x14ac:dyDescent="0.25">
      <c r="A391" s="8" t="s">
        <v>3</v>
      </c>
      <c r="B391" s="8" t="s">
        <v>66</v>
      </c>
      <c r="C391" s="8">
        <v>12</v>
      </c>
      <c r="D391" s="8">
        <v>2021</v>
      </c>
      <c r="E391" s="9">
        <v>44531</v>
      </c>
      <c r="F391" s="8">
        <v>1121</v>
      </c>
      <c r="G391" s="8">
        <v>1004</v>
      </c>
    </row>
    <row r="392" spans="1:7" x14ac:dyDescent="0.25">
      <c r="A392" s="8" t="s">
        <v>3</v>
      </c>
      <c r="B392" s="8" t="s">
        <v>67</v>
      </c>
      <c r="C392" s="8">
        <v>12</v>
      </c>
      <c r="D392" s="8">
        <v>2021</v>
      </c>
      <c r="E392" s="9">
        <v>44531</v>
      </c>
      <c r="F392" s="8">
        <v>25</v>
      </c>
      <c r="G392" s="8">
        <v>22</v>
      </c>
    </row>
    <row r="393" spans="1:7" x14ac:dyDescent="0.25">
      <c r="A393" s="8" t="s">
        <v>2</v>
      </c>
      <c r="B393" s="8" t="s">
        <v>68</v>
      </c>
      <c r="C393" s="8">
        <v>12</v>
      </c>
      <c r="D393" s="8">
        <v>2021</v>
      </c>
      <c r="E393" s="9">
        <v>44531</v>
      </c>
      <c r="F393" s="8">
        <v>765</v>
      </c>
      <c r="G393" s="8">
        <v>1322</v>
      </c>
    </row>
    <row r="394" spans="1:7" x14ac:dyDescent="0.25">
      <c r="A394" s="8" t="s">
        <v>2</v>
      </c>
      <c r="B394" s="8" t="s">
        <v>69</v>
      </c>
      <c r="C394" s="8">
        <v>12</v>
      </c>
      <c r="D394" s="8">
        <v>2021</v>
      </c>
      <c r="E394" s="9">
        <v>44531</v>
      </c>
      <c r="F394" s="8">
        <v>695</v>
      </c>
      <c r="G394" s="8">
        <v>635</v>
      </c>
    </row>
    <row r="395" spans="1:7" x14ac:dyDescent="0.25">
      <c r="A395" s="8" t="s">
        <v>4</v>
      </c>
      <c r="B395" s="8" t="s">
        <v>70</v>
      </c>
      <c r="C395" s="8">
        <v>12</v>
      </c>
      <c r="D395" s="8">
        <v>2021</v>
      </c>
      <c r="E395" s="9">
        <v>44531</v>
      </c>
      <c r="F395" s="8">
        <v>968</v>
      </c>
      <c r="G395" s="8">
        <v>1034</v>
      </c>
    </row>
    <row r="396" spans="1:7" x14ac:dyDescent="0.25">
      <c r="A396" s="8" t="s">
        <v>4</v>
      </c>
      <c r="B396" s="8" t="s">
        <v>71</v>
      </c>
      <c r="C396" s="8">
        <v>12</v>
      </c>
      <c r="D396" s="8">
        <v>2021</v>
      </c>
      <c r="E396" s="9">
        <v>44531</v>
      </c>
      <c r="F396" s="8">
        <v>1394</v>
      </c>
      <c r="G396" s="8">
        <v>1658</v>
      </c>
    </row>
    <row r="397" spans="1:7" x14ac:dyDescent="0.25">
      <c r="A397" s="8" t="s">
        <v>4</v>
      </c>
      <c r="B397" s="8" t="s">
        <v>72</v>
      </c>
      <c r="C397" s="8">
        <v>12</v>
      </c>
      <c r="D397" s="8">
        <v>2021</v>
      </c>
      <c r="E397" s="9">
        <v>44531</v>
      </c>
      <c r="F397" s="8">
        <v>1359</v>
      </c>
      <c r="G397" s="8">
        <v>1389</v>
      </c>
    </row>
    <row r="398" spans="1:7" x14ac:dyDescent="0.25">
      <c r="A398" s="8" t="s">
        <v>4</v>
      </c>
      <c r="B398" s="8" t="s">
        <v>73</v>
      </c>
      <c r="C398" s="8">
        <v>12</v>
      </c>
      <c r="D398" s="8">
        <v>2021</v>
      </c>
      <c r="E398" s="9">
        <v>44531</v>
      </c>
      <c r="F398" s="8">
        <v>1656</v>
      </c>
      <c r="G398" s="8">
        <v>1612</v>
      </c>
    </row>
    <row r="399" spans="1:7" x14ac:dyDescent="0.25">
      <c r="A399" s="8" t="s">
        <v>4</v>
      </c>
      <c r="B399" s="8" t="s">
        <v>74</v>
      </c>
      <c r="C399" s="8">
        <v>12</v>
      </c>
      <c r="D399" s="8">
        <v>2021</v>
      </c>
      <c r="E399" s="9">
        <v>44531</v>
      </c>
      <c r="F399" s="8">
        <v>1589</v>
      </c>
      <c r="G399" s="8">
        <v>1553</v>
      </c>
    </row>
    <row r="400" spans="1:7" x14ac:dyDescent="0.25">
      <c r="A400" s="8" t="s">
        <v>4</v>
      </c>
      <c r="B400" s="8" t="s">
        <v>75</v>
      </c>
      <c r="C400" s="8">
        <v>12</v>
      </c>
      <c r="D400" s="8">
        <v>2021</v>
      </c>
      <c r="E400" s="9">
        <v>44531</v>
      </c>
      <c r="F400" s="8">
        <v>466</v>
      </c>
      <c r="G400" s="8">
        <v>508</v>
      </c>
    </row>
    <row r="401" spans="1:7" x14ac:dyDescent="0.25">
      <c r="A401" s="8" t="s">
        <v>4</v>
      </c>
      <c r="B401" s="8" t="s">
        <v>76</v>
      </c>
      <c r="C401" s="8">
        <v>12</v>
      </c>
      <c r="D401" s="8">
        <v>2021</v>
      </c>
      <c r="E401" s="9">
        <v>44531</v>
      </c>
      <c r="F401" s="8">
        <v>502</v>
      </c>
      <c r="G401" s="8">
        <v>555</v>
      </c>
    </row>
    <row r="402" spans="1:7" x14ac:dyDescent="0.25">
      <c r="A402" s="8" t="s">
        <v>4</v>
      </c>
      <c r="B402" s="8" t="s">
        <v>77</v>
      </c>
      <c r="C402" s="8">
        <v>12</v>
      </c>
      <c r="D402" s="8">
        <v>2021</v>
      </c>
      <c r="E402" s="9">
        <v>44531</v>
      </c>
      <c r="F402" s="8">
        <v>619</v>
      </c>
      <c r="G402" s="8">
        <v>689</v>
      </c>
    </row>
    <row r="403" spans="1:7" x14ac:dyDescent="0.25">
      <c r="A403" s="8" t="s">
        <v>4</v>
      </c>
      <c r="B403" s="8" t="s">
        <v>78</v>
      </c>
      <c r="C403" s="8">
        <v>12</v>
      </c>
      <c r="D403" s="8">
        <v>2021</v>
      </c>
      <c r="E403" s="9">
        <v>44531</v>
      </c>
      <c r="F403" s="8">
        <v>924</v>
      </c>
      <c r="G403" s="8">
        <v>914</v>
      </c>
    </row>
    <row r="404" spans="1:7" x14ac:dyDescent="0.25">
      <c r="A404" s="8" t="s">
        <v>2</v>
      </c>
      <c r="B404" s="8" t="s">
        <v>79</v>
      </c>
      <c r="C404" s="8">
        <v>12</v>
      </c>
      <c r="D404" s="8">
        <v>2021</v>
      </c>
      <c r="E404" s="9">
        <v>44531</v>
      </c>
      <c r="F404" s="8">
        <v>446</v>
      </c>
      <c r="G404" s="8">
        <v>397</v>
      </c>
    </row>
    <row r="405" spans="1:7" x14ac:dyDescent="0.25">
      <c r="A405" s="8" t="s">
        <v>2</v>
      </c>
      <c r="B405" s="8" t="s">
        <v>80</v>
      </c>
      <c r="C405" s="8">
        <v>12</v>
      </c>
      <c r="D405" s="8">
        <v>2021</v>
      </c>
      <c r="E405" s="9">
        <v>44531</v>
      </c>
      <c r="F405" s="8">
        <v>594</v>
      </c>
      <c r="G405" s="8">
        <v>639</v>
      </c>
    </row>
    <row r="406" spans="1:7" x14ac:dyDescent="0.25">
      <c r="A406" s="8" t="s">
        <v>2</v>
      </c>
      <c r="B406" s="8" t="s">
        <v>81</v>
      </c>
      <c r="C406" s="8">
        <v>12</v>
      </c>
      <c r="D406" s="8">
        <v>2021</v>
      </c>
      <c r="E406" s="9">
        <v>44531</v>
      </c>
      <c r="F406" s="8">
        <v>925</v>
      </c>
      <c r="G406" s="8">
        <v>1156</v>
      </c>
    </row>
    <row r="407" spans="1:7" x14ac:dyDescent="0.25">
      <c r="A407" s="8" t="s">
        <v>2</v>
      </c>
      <c r="B407" s="8" t="s">
        <v>82</v>
      </c>
      <c r="C407" s="8">
        <v>12</v>
      </c>
      <c r="D407" s="8">
        <v>2021</v>
      </c>
      <c r="E407" s="9">
        <v>44531</v>
      </c>
      <c r="F407" s="8">
        <v>252</v>
      </c>
      <c r="G407" s="8">
        <v>278</v>
      </c>
    </row>
    <row r="408" spans="1:7" x14ac:dyDescent="0.25">
      <c r="A408" s="8" t="s">
        <v>4</v>
      </c>
      <c r="B408" s="8" t="s">
        <v>83</v>
      </c>
      <c r="C408" s="8">
        <v>12</v>
      </c>
      <c r="D408" s="8">
        <v>2021</v>
      </c>
      <c r="E408" s="9">
        <v>44531</v>
      </c>
      <c r="F408" s="8">
        <v>130</v>
      </c>
      <c r="G408" s="8">
        <v>139</v>
      </c>
    </row>
    <row r="409" spans="1:7" x14ac:dyDescent="0.25">
      <c r="A409" s="8" t="s">
        <v>4</v>
      </c>
      <c r="B409" s="8" t="s">
        <v>84</v>
      </c>
      <c r="C409" s="8">
        <v>12</v>
      </c>
      <c r="D409" s="8">
        <v>2021</v>
      </c>
      <c r="E409" s="9">
        <v>44531</v>
      </c>
      <c r="F409" s="8">
        <v>1790</v>
      </c>
      <c r="G409" s="8">
        <v>1882</v>
      </c>
    </row>
    <row r="410" spans="1:7" x14ac:dyDescent="0.25">
      <c r="A410" s="8" t="s">
        <v>4</v>
      </c>
      <c r="B410" s="8" t="s">
        <v>85</v>
      </c>
      <c r="C410" s="8">
        <v>12</v>
      </c>
      <c r="D410" s="8">
        <v>2021</v>
      </c>
      <c r="E410" s="9">
        <v>44531</v>
      </c>
      <c r="F410" s="8">
        <v>911</v>
      </c>
      <c r="G410" s="8">
        <v>993</v>
      </c>
    </row>
    <row r="411" spans="1:7" x14ac:dyDescent="0.25">
      <c r="A411" s="8" t="s">
        <v>4</v>
      </c>
      <c r="B411" s="8" t="s">
        <v>86</v>
      </c>
      <c r="C411" s="8">
        <v>12</v>
      </c>
      <c r="D411" s="8">
        <v>2021</v>
      </c>
      <c r="E411" s="9">
        <v>44531</v>
      </c>
      <c r="F411" s="8">
        <v>233</v>
      </c>
      <c r="G411" s="8">
        <v>224</v>
      </c>
    </row>
    <row r="412" spans="1:7" x14ac:dyDescent="0.25">
      <c r="A412" s="8" t="s">
        <v>4</v>
      </c>
      <c r="B412" s="8" t="s">
        <v>87</v>
      </c>
      <c r="C412" s="8">
        <v>12</v>
      </c>
      <c r="D412" s="8">
        <v>2021</v>
      </c>
      <c r="E412" s="9">
        <v>44531</v>
      </c>
      <c r="F412" s="8">
        <v>1318</v>
      </c>
      <c r="G412" s="8">
        <v>1453</v>
      </c>
    </row>
    <row r="413" spans="1:7" x14ac:dyDescent="0.25">
      <c r="A413" s="8" t="s">
        <v>4</v>
      </c>
      <c r="B413" s="8" t="s">
        <v>88</v>
      </c>
      <c r="C413" s="8">
        <v>12</v>
      </c>
      <c r="D413" s="8">
        <v>2021</v>
      </c>
      <c r="E413" s="9">
        <v>44531</v>
      </c>
      <c r="F413" s="8">
        <v>989</v>
      </c>
      <c r="G413" s="8">
        <v>930</v>
      </c>
    </row>
    <row r="414" spans="1:7" x14ac:dyDescent="0.25">
      <c r="A414" s="8" t="s">
        <v>4</v>
      </c>
      <c r="B414" s="8" t="s">
        <v>89</v>
      </c>
      <c r="C414" s="8">
        <v>12</v>
      </c>
      <c r="D414" s="8">
        <v>2021</v>
      </c>
      <c r="E414" s="9">
        <v>44531</v>
      </c>
      <c r="F414" s="8">
        <v>536</v>
      </c>
      <c r="G414" s="8">
        <v>605</v>
      </c>
    </row>
    <row r="415" spans="1:7" x14ac:dyDescent="0.25">
      <c r="A415" s="8" t="s">
        <v>4</v>
      </c>
      <c r="B415" s="8" t="s">
        <v>90</v>
      </c>
      <c r="C415" s="8">
        <v>12</v>
      </c>
      <c r="D415" s="8">
        <v>2021</v>
      </c>
      <c r="E415" s="9">
        <v>44531</v>
      </c>
      <c r="F415" s="8">
        <v>541</v>
      </c>
      <c r="G415" s="8">
        <v>570</v>
      </c>
    </row>
    <row r="416" spans="1:7" x14ac:dyDescent="0.25">
      <c r="A416" s="8" t="s">
        <v>4</v>
      </c>
      <c r="B416" s="8" t="s">
        <v>91</v>
      </c>
      <c r="C416" s="8">
        <v>12</v>
      </c>
      <c r="D416" s="8">
        <v>2021</v>
      </c>
      <c r="E416" s="9">
        <v>44531</v>
      </c>
      <c r="F416" s="8">
        <v>565</v>
      </c>
      <c r="G416" s="8">
        <v>536</v>
      </c>
    </row>
    <row r="417" spans="1:7" x14ac:dyDescent="0.25">
      <c r="A417" s="8" t="s">
        <v>4</v>
      </c>
      <c r="B417" s="8" t="s">
        <v>92</v>
      </c>
      <c r="C417" s="8">
        <v>12</v>
      </c>
      <c r="D417" s="8">
        <v>2021</v>
      </c>
      <c r="E417" s="9">
        <v>44531</v>
      </c>
      <c r="F417" s="8">
        <v>636</v>
      </c>
      <c r="G417" s="8">
        <v>707</v>
      </c>
    </row>
    <row r="418" spans="1:7" x14ac:dyDescent="0.25">
      <c r="A418" s="8" t="s">
        <v>4</v>
      </c>
      <c r="B418" s="8" t="s">
        <v>93</v>
      </c>
      <c r="C418" s="8">
        <v>12</v>
      </c>
      <c r="D418" s="8">
        <v>2021</v>
      </c>
      <c r="E418" s="9">
        <v>44531</v>
      </c>
      <c r="F418" s="8">
        <v>353</v>
      </c>
      <c r="G418" s="8">
        <v>408</v>
      </c>
    </row>
    <row r="419" spans="1:7" x14ac:dyDescent="0.25">
      <c r="A419" s="8" t="s">
        <v>4</v>
      </c>
      <c r="B419" s="8" t="s">
        <v>94</v>
      </c>
      <c r="C419" s="8">
        <v>12</v>
      </c>
      <c r="D419" s="8">
        <v>2021</v>
      </c>
      <c r="E419" s="9">
        <v>44531</v>
      </c>
      <c r="F419" s="8">
        <v>93</v>
      </c>
      <c r="G419" s="8">
        <v>103</v>
      </c>
    </row>
    <row r="420" spans="1:7" x14ac:dyDescent="0.25">
      <c r="A420" s="8" t="s">
        <v>5</v>
      </c>
      <c r="B420" s="8" t="s">
        <v>95</v>
      </c>
      <c r="C420" s="8">
        <v>12</v>
      </c>
      <c r="D420" s="8">
        <v>2021</v>
      </c>
      <c r="E420" s="9">
        <v>44531</v>
      </c>
      <c r="F420" s="8">
        <v>699</v>
      </c>
      <c r="G420" s="8">
        <v>716</v>
      </c>
    </row>
    <row r="421" spans="1:7" x14ac:dyDescent="0.25">
      <c r="A421" s="8" t="s">
        <v>5</v>
      </c>
      <c r="B421" s="8" t="s">
        <v>96</v>
      </c>
      <c r="C421" s="8">
        <v>12</v>
      </c>
      <c r="D421" s="8">
        <v>2021</v>
      </c>
      <c r="E421" s="9">
        <v>44531</v>
      </c>
      <c r="F421" s="8">
        <v>166</v>
      </c>
      <c r="G421" s="8">
        <v>142</v>
      </c>
    </row>
    <row r="422" spans="1:7" x14ac:dyDescent="0.25">
      <c r="A422" s="8" t="s">
        <v>5</v>
      </c>
      <c r="B422" s="8" t="s">
        <v>97</v>
      </c>
      <c r="C422" s="8">
        <v>12</v>
      </c>
      <c r="D422" s="8">
        <v>2021</v>
      </c>
      <c r="E422" s="9">
        <v>44531</v>
      </c>
      <c r="F422" s="8">
        <v>156</v>
      </c>
      <c r="G422" s="8">
        <v>157</v>
      </c>
    </row>
    <row r="423" spans="1:7" x14ac:dyDescent="0.25">
      <c r="A423" s="8" t="s">
        <v>5</v>
      </c>
      <c r="B423" s="8" t="s">
        <v>98</v>
      </c>
      <c r="C423" s="8">
        <v>12</v>
      </c>
      <c r="D423" s="8">
        <v>2021</v>
      </c>
      <c r="E423" s="9">
        <v>44531</v>
      </c>
      <c r="F423" s="8">
        <v>464</v>
      </c>
      <c r="G423" s="8">
        <v>522</v>
      </c>
    </row>
    <row r="424" spans="1:7" x14ac:dyDescent="0.25">
      <c r="A424" s="8" t="s">
        <v>5</v>
      </c>
      <c r="B424" s="8" t="s">
        <v>99</v>
      </c>
      <c r="C424" s="8">
        <v>12</v>
      </c>
      <c r="D424" s="8">
        <v>2021</v>
      </c>
      <c r="E424" s="9">
        <v>44531</v>
      </c>
      <c r="F424" s="8">
        <v>691</v>
      </c>
      <c r="G424" s="8">
        <v>703</v>
      </c>
    </row>
    <row r="425" spans="1:7" x14ac:dyDescent="0.25">
      <c r="A425" s="8" t="s">
        <v>5</v>
      </c>
      <c r="B425" s="8" t="s">
        <v>100</v>
      </c>
      <c r="C425" s="8">
        <v>12</v>
      </c>
      <c r="D425" s="8">
        <v>2021</v>
      </c>
      <c r="E425" s="9">
        <v>44531</v>
      </c>
      <c r="F425" s="8">
        <v>198</v>
      </c>
      <c r="G425" s="8">
        <v>212</v>
      </c>
    </row>
    <row r="426" spans="1:7" x14ac:dyDescent="0.25">
      <c r="A426" s="8" t="s">
        <v>5</v>
      </c>
      <c r="B426" s="8" t="s">
        <v>101</v>
      </c>
      <c r="C426" s="8">
        <v>12</v>
      </c>
      <c r="D426" s="8">
        <v>2021</v>
      </c>
      <c r="E426" s="9">
        <v>44531</v>
      </c>
      <c r="F426" s="8">
        <v>1064</v>
      </c>
      <c r="G426" s="8">
        <v>1050</v>
      </c>
    </row>
    <row r="427" spans="1:7" x14ac:dyDescent="0.25">
      <c r="A427" s="8" t="s">
        <v>5</v>
      </c>
      <c r="B427" s="8" t="s">
        <v>102</v>
      </c>
      <c r="C427" s="8">
        <v>12</v>
      </c>
      <c r="D427" s="8">
        <v>2021</v>
      </c>
      <c r="E427" s="9">
        <v>44531</v>
      </c>
      <c r="F427" s="8">
        <v>736</v>
      </c>
      <c r="G427" s="8">
        <v>759</v>
      </c>
    </row>
    <row r="428" spans="1:7" x14ac:dyDescent="0.25">
      <c r="A428" s="8" t="s">
        <v>5</v>
      </c>
      <c r="B428" s="8" t="s">
        <v>103</v>
      </c>
      <c r="C428" s="8">
        <v>12</v>
      </c>
      <c r="D428" s="8">
        <v>2021</v>
      </c>
      <c r="E428" s="9">
        <v>44531</v>
      </c>
      <c r="F428" s="8">
        <v>1698</v>
      </c>
      <c r="G428" s="8">
        <v>1552</v>
      </c>
    </row>
    <row r="429" spans="1:7" x14ac:dyDescent="0.25">
      <c r="A429" s="8" t="s">
        <v>5</v>
      </c>
      <c r="B429" s="8" t="s">
        <v>104</v>
      </c>
      <c r="C429" s="8">
        <v>12</v>
      </c>
      <c r="D429" s="8">
        <v>2021</v>
      </c>
      <c r="E429" s="9">
        <v>44531</v>
      </c>
      <c r="F429" s="8">
        <v>1377</v>
      </c>
      <c r="G429" s="8">
        <v>1547</v>
      </c>
    </row>
    <row r="430" spans="1:7" x14ac:dyDescent="0.25">
      <c r="A430" s="8" t="s">
        <v>5</v>
      </c>
      <c r="B430" s="8" t="s">
        <v>105</v>
      </c>
      <c r="C430" s="8">
        <v>12</v>
      </c>
      <c r="D430" s="8">
        <v>2021</v>
      </c>
      <c r="E430" s="9">
        <v>44531</v>
      </c>
      <c r="F430" s="8">
        <v>530</v>
      </c>
      <c r="G430" s="8">
        <v>510</v>
      </c>
    </row>
    <row r="431" spans="1:7" x14ac:dyDescent="0.25">
      <c r="A431" s="8" t="s">
        <v>5</v>
      </c>
      <c r="B431" s="8" t="s">
        <v>106</v>
      </c>
      <c r="C431" s="8">
        <v>12</v>
      </c>
      <c r="D431" s="8">
        <v>2021</v>
      </c>
      <c r="E431" s="9">
        <v>44531</v>
      </c>
      <c r="F431" s="8">
        <v>490</v>
      </c>
      <c r="G431" s="8">
        <v>541</v>
      </c>
    </row>
    <row r="432" spans="1:7" x14ac:dyDescent="0.25">
      <c r="A432" s="8" t="s">
        <v>5</v>
      </c>
      <c r="B432" s="8" t="s">
        <v>107</v>
      </c>
      <c r="C432" s="8">
        <v>12</v>
      </c>
      <c r="D432" s="8">
        <v>2021</v>
      </c>
      <c r="E432" s="9">
        <v>44531</v>
      </c>
      <c r="F432" s="8">
        <v>559</v>
      </c>
      <c r="G432" s="8">
        <v>531</v>
      </c>
    </row>
    <row r="433" spans="1:7" x14ac:dyDescent="0.25">
      <c r="A433" s="8" t="s">
        <v>5</v>
      </c>
      <c r="B433" s="8" t="s">
        <v>108</v>
      </c>
      <c r="C433" s="8">
        <v>12</v>
      </c>
      <c r="D433" s="8">
        <v>2021</v>
      </c>
      <c r="E433" s="9">
        <v>44531</v>
      </c>
      <c r="F433" s="8">
        <v>1068</v>
      </c>
      <c r="G433" s="8">
        <v>1117</v>
      </c>
    </row>
    <row r="434" spans="1:7" x14ac:dyDescent="0.25">
      <c r="A434" s="8" t="s">
        <v>5</v>
      </c>
      <c r="B434" s="8" t="s">
        <v>109</v>
      </c>
      <c r="C434" s="8">
        <v>12</v>
      </c>
      <c r="D434" s="8">
        <v>2021</v>
      </c>
      <c r="E434" s="9">
        <v>44531</v>
      </c>
      <c r="F434" s="8">
        <v>954</v>
      </c>
      <c r="G434" s="8">
        <v>1084</v>
      </c>
    </row>
    <row r="435" spans="1:7" x14ac:dyDescent="0.25">
      <c r="A435" s="8" t="s">
        <v>5</v>
      </c>
      <c r="B435" s="8" t="s">
        <v>110</v>
      </c>
      <c r="C435" s="8">
        <v>12</v>
      </c>
      <c r="D435" s="8">
        <v>2021</v>
      </c>
      <c r="E435" s="9">
        <v>44531</v>
      </c>
      <c r="F435" s="8">
        <v>736</v>
      </c>
      <c r="G435" s="8">
        <v>710</v>
      </c>
    </row>
    <row r="436" spans="1:7" x14ac:dyDescent="0.25">
      <c r="A436" s="8" t="s">
        <v>5</v>
      </c>
      <c r="B436" s="8" t="s">
        <v>111</v>
      </c>
      <c r="C436" s="8">
        <v>12</v>
      </c>
      <c r="D436" s="8">
        <v>2021</v>
      </c>
      <c r="E436" s="9">
        <v>44531</v>
      </c>
      <c r="F436" s="8">
        <v>533</v>
      </c>
      <c r="G436" s="8">
        <v>579</v>
      </c>
    </row>
    <row r="437" spans="1:7" x14ac:dyDescent="0.25">
      <c r="A437" s="8" t="s">
        <v>5</v>
      </c>
      <c r="B437" s="8" t="s">
        <v>112</v>
      </c>
      <c r="C437" s="8">
        <v>12</v>
      </c>
      <c r="D437" s="8">
        <v>2021</v>
      </c>
      <c r="E437" s="9">
        <v>44531</v>
      </c>
      <c r="F437" s="8">
        <v>310</v>
      </c>
      <c r="G437" s="8">
        <v>319</v>
      </c>
    </row>
    <row r="438" spans="1:7" x14ac:dyDescent="0.25">
      <c r="A438" s="8" t="s">
        <v>5</v>
      </c>
      <c r="B438" s="8" t="s">
        <v>113</v>
      </c>
      <c r="C438" s="8">
        <v>12</v>
      </c>
      <c r="D438" s="8">
        <v>2021</v>
      </c>
      <c r="E438" s="9">
        <v>44531</v>
      </c>
      <c r="F438" s="8">
        <v>853</v>
      </c>
      <c r="G438" s="8">
        <v>761</v>
      </c>
    </row>
    <row r="439" spans="1:7" x14ac:dyDescent="0.25">
      <c r="A439" s="8" t="s">
        <v>5</v>
      </c>
      <c r="B439" s="8" t="s">
        <v>114</v>
      </c>
      <c r="C439" s="8">
        <v>12</v>
      </c>
      <c r="D439" s="8">
        <v>2021</v>
      </c>
      <c r="E439" s="9">
        <v>44531</v>
      </c>
      <c r="F439" s="8">
        <v>606</v>
      </c>
      <c r="G439" s="8">
        <v>644</v>
      </c>
    </row>
    <row r="440" spans="1:7" x14ac:dyDescent="0.25">
      <c r="A440" s="8" t="s">
        <v>5</v>
      </c>
      <c r="B440" s="8" t="s">
        <v>115</v>
      </c>
      <c r="C440" s="8">
        <v>12</v>
      </c>
      <c r="D440" s="8">
        <v>2021</v>
      </c>
      <c r="E440" s="9">
        <v>44531</v>
      </c>
      <c r="F440" s="8">
        <v>500</v>
      </c>
      <c r="G440" s="8">
        <v>559</v>
      </c>
    </row>
    <row r="441" spans="1:7" x14ac:dyDescent="0.25">
      <c r="A441" s="8" t="s">
        <v>5</v>
      </c>
      <c r="B441" s="8" t="s">
        <v>116</v>
      </c>
      <c r="C441" s="8">
        <v>12</v>
      </c>
      <c r="D441" s="8">
        <v>2021</v>
      </c>
      <c r="E441" s="9">
        <v>44531</v>
      </c>
      <c r="F441" s="8">
        <v>928</v>
      </c>
      <c r="G441" s="8">
        <v>932</v>
      </c>
    </row>
    <row r="442" spans="1:7" x14ac:dyDescent="0.25">
      <c r="A442" s="8" t="s">
        <v>5</v>
      </c>
      <c r="B442" s="8" t="s">
        <v>117</v>
      </c>
      <c r="C442" s="8">
        <v>12</v>
      </c>
      <c r="D442" s="8">
        <v>2021</v>
      </c>
      <c r="E442" s="9">
        <v>44531</v>
      </c>
      <c r="F442" s="8">
        <v>1087</v>
      </c>
      <c r="G442" s="8">
        <v>1138</v>
      </c>
    </row>
    <row r="443" spans="1:7" x14ac:dyDescent="0.25">
      <c r="A443" s="8" t="s">
        <v>5</v>
      </c>
      <c r="B443" s="8" t="s">
        <v>118</v>
      </c>
      <c r="C443" s="8">
        <v>12</v>
      </c>
      <c r="D443" s="8">
        <v>2021</v>
      </c>
      <c r="E443" s="9">
        <v>44531</v>
      </c>
      <c r="F443" s="8">
        <v>720</v>
      </c>
      <c r="G443" s="8">
        <v>660</v>
      </c>
    </row>
    <row r="444" spans="1:7" x14ac:dyDescent="0.25">
      <c r="A444" s="8" t="s">
        <v>5</v>
      </c>
      <c r="B444" s="8" t="s">
        <v>119</v>
      </c>
      <c r="C444" s="8">
        <v>12</v>
      </c>
      <c r="D444" s="8">
        <v>2021</v>
      </c>
      <c r="E444" s="9">
        <v>44531</v>
      </c>
      <c r="F444" s="8">
        <v>783</v>
      </c>
      <c r="G444" s="8">
        <v>873</v>
      </c>
    </row>
    <row r="445" spans="1:7" x14ac:dyDescent="0.25">
      <c r="A445" s="8" t="s">
        <v>5</v>
      </c>
      <c r="B445" s="8" t="s">
        <v>120</v>
      </c>
      <c r="C445" s="8">
        <v>12</v>
      </c>
      <c r="D445" s="8">
        <v>2021</v>
      </c>
      <c r="E445" s="9">
        <v>44531</v>
      </c>
      <c r="F445" s="8">
        <v>837</v>
      </c>
      <c r="G445" s="8">
        <v>724</v>
      </c>
    </row>
    <row r="446" spans="1:7" x14ac:dyDescent="0.25">
      <c r="A446" s="8" t="s">
        <v>5</v>
      </c>
      <c r="B446" s="8" t="s">
        <v>121</v>
      </c>
      <c r="C446" s="8">
        <v>12</v>
      </c>
      <c r="D446" s="8">
        <v>2021</v>
      </c>
      <c r="E446" s="9">
        <v>44531</v>
      </c>
      <c r="F446" s="8">
        <v>878</v>
      </c>
      <c r="G446" s="8">
        <v>1044</v>
      </c>
    </row>
    <row r="447" spans="1:7" x14ac:dyDescent="0.25">
      <c r="A447" s="8" t="s">
        <v>5</v>
      </c>
      <c r="B447" s="8" t="s">
        <v>122</v>
      </c>
      <c r="C447" s="8">
        <v>12</v>
      </c>
      <c r="D447" s="8">
        <v>2021</v>
      </c>
      <c r="E447" s="9">
        <v>44531</v>
      </c>
      <c r="F447" s="8">
        <v>564</v>
      </c>
      <c r="G447" s="8">
        <v>549</v>
      </c>
    </row>
    <row r="448" spans="1:7" x14ac:dyDescent="0.25">
      <c r="A448" s="8" t="s">
        <v>5</v>
      </c>
      <c r="B448" s="8" t="s">
        <v>123</v>
      </c>
      <c r="C448" s="8">
        <v>12</v>
      </c>
      <c r="D448" s="8">
        <v>2021</v>
      </c>
      <c r="E448" s="9">
        <v>44531</v>
      </c>
      <c r="F448" s="8">
        <v>501</v>
      </c>
      <c r="G448" s="8">
        <v>512</v>
      </c>
    </row>
    <row r="449" spans="1:7" x14ac:dyDescent="0.25">
      <c r="A449" s="8" t="s">
        <v>5</v>
      </c>
      <c r="B449" s="8" t="s">
        <v>124</v>
      </c>
      <c r="C449" s="8">
        <v>12</v>
      </c>
      <c r="D449" s="8">
        <v>2021</v>
      </c>
      <c r="E449" s="9">
        <v>44531</v>
      </c>
      <c r="F449" s="8">
        <v>694</v>
      </c>
      <c r="G449" s="8">
        <v>654</v>
      </c>
    </row>
    <row r="450" spans="1:7" x14ac:dyDescent="0.25">
      <c r="A450" s="8" t="s">
        <v>5</v>
      </c>
      <c r="B450" s="8" t="s">
        <v>125</v>
      </c>
      <c r="C450" s="8">
        <v>12</v>
      </c>
      <c r="D450" s="8">
        <v>2021</v>
      </c>
      <c r="E450" s="9">
        <v>44531</v>
      </c>
      <c r="F450" s="8">
        <v>456</v>
      </c>
      <c r="G450" s="8">
        <v>411</v>
      </c>
    </row>
    <row r="451" spans="1:7" x14ac:dyDescent="0.25">
      <c r="A451" s="8" t="s">
        <v>7</v>
      </c>
      <c r="B451" s="8" t="s">
        <v>126</v>
      </c>
      <c r="C451" s="8">
        <v>12</v>
      </c>
      <c r="D451" s="8">
        <v>2021</v>
      </c>
      <c r="E451" s="9">
        <v>44531</v>
      </c>
      <c r="F451" s="8">
        <v>900</v>
      </c>
      <c r="G451" s="8">
        <v>1016</v>
      </c>
    </row>
    <row r="452" spans="1:7" x14ac:dyDescent="0.25">
      <c r="A452" s="8" t="s">
        <v>7</v>
      </c>
      <c r="B452" s="8" t="s">
        <v>127</v>
      </c>
      <c r="C452" s="8">
        <v>12</v>
      </c>
      <c r="D452" s="8">
        <v>2021</v>
      </c>
      <c r="E452" s="9">
        <v>44531</v>
      </c>
      <c r="F452" s="8">
        <v>654</v>
      </c>
      <c r="G452" s="8">
        <v>673</v>
      </c>
    </row>
    <row r="453" spans="1:7" x14ac:dyDescent="0.25">
      <c r="A453" s="8" t="s">
        <v>7</v>
      </c>
      <c r="B453" s="8" t="s">
        <v>128</v>
      </c>
      <c r="C453" s="8">
        <v>12</v>
      </c>
      <c r="D453" s="8">
        <v>2021</v>
      </c>
      <c r="E453" s="9">
        <v>44531</v>
      </c>
      <c r="F453" s="8">
        <v>419</v>
      </c>
      <c r="G453" s="8">
        <v>464</v>
      </c>
    </row>
    <row r="454" spans="1:7" x14ac:dyDescent="0.25">
      <c r="A454" s="8" t="s">
        <v>7</v>
      </c>
      <c r="B454" s="8" t="s">
        <v>129</v>
      </c>
      <c r="C454" s="8">
        <v>12</v>
      </c>
      <c r="D454" s="8">
        <v>2021</v>
      </c>
      <c r="E454" s="9">
        <v>44531</v>
      </c>
      <c r="F454" s="8">
        <v>249</v>
      </c>
      <c r="G454" s="8">
        <v>256</v>
      </c>
    </row>
    <row r="455" spans="1:7" x14ac:dyDescent="0.25">
      <c r="A455" s="8" t="s">
        <v>7</v>
      </c>
      <c r="B455" s="8" t="s">
        <v>130</v>
      </c>
      <c r="C455" s="8">
        <v>12</v>
      </c>
      <c r="D455" s="8">
        <v>2021</v>
      </c>
      <c r="E455" s="9">
        <v>44531</v>
      </c>
      <c r="F455" s="8">
        <v>140</v>
      </c>
      <c r="G455" s="8">
        <v>166</v>
      </c>
    </row>
    <row r="456" spans="1:7" x14ac:dyDescent="0.25">
      <c r="A456" s="8" t="s">
        <v>7</v>
      </c>
      <c r="B456" s="8" t="s">
        <v>131</v>
      </c>
      <c r="C456" s="8">
        <v>12</v>
      </c>
      <c r="D456" s="8">
        <v>2021</v>
      </c>
      <c r="E456" s="9">
        <v>44531</v>
      </c>
      <c r="F456" s="8">
        <v>146</v>
      </c>
      <c r="G456" s="8">
        <v>166</v>
      </c>
    </row>
    <row r="457" spans="1:7" x14ac:dyDescent="0.25">
      <c r="A457" s="8" t="s">
        <v>7</v>
      </c>
      <c r="B457" s="8" t="s">
        <v>132</v>
      </c>
      <c r="C457" s="8">
        <v>12</v>
      </c>
      <c r="D457" s="8">
        <v>2021</v>
      </c>
      <c r="E457" s="9">
        <v>44531</v>
      </c>
      <c r="F457" s="8">
        <v>214</v>
      </c>
      <c r="G457" s="8">
        <v>183</v>
      </c>
    </row>
    <row r="458" spans="1:7" x14ac:dyDescent="0.25">
      <c r="A458" s="8" t="s">
        <v>7</v>
      </c>
      <c r="B458" s="8" t="s">
        <v>133</v>
      </c>
      <c r="C458" s="8">
        <v>12</v>
      </c>
      <c r="D458" s="8">
        <v>2021</v>
      </c>
      <c r="E458" s="9">
        <v>44531</v>
      </c>
      <c r="F458" s="8">
        <v>219</v>
      </c>
      <c r="G458" s="8">
        <v>193</v>
      </c>
    </row>
    <row r="459" spans="1:7" x14ac:dyDescent="0.25">
      <c r="A459" s="8" t="s">
        <v>7</v>
      </c>
      <c r="B459" s="8" t="s">
        <v>134</v>
      </c>
      <c r="C459" s="8">
        <v>12</v>
      </c>
      <c r="D459" s="8">
        <v>2021</v>
      </c>
      <c r="E459" s="9">
        <v>44531</v>
      </c>
      <c r="F459" s="8">
        <v>93</v>
      </c>
      <c r="G459" s="8">
        <v>111</v>
      </c>
    </row>
    <row r="460" spans="1:7" x14ac:dyDescent="0.25">
      <c r="A460" s="8" t="s">
        <v>7</v>
      </c>
      <c r="B460" s="8" t="s">
        <v>135</v>
      </c>
      <c r="C460" s="8">
        <v>12</v>
      </c>
      <c r="D460" s="8">
        <v>2021</v>
      </c>
      <c r="E460" s="9">
        <v>44531</v>
      </c>
      <c r="F460" s="8">
        <v>320</v>
      </c>
      <c r="G460" s="8">
        <v>299</v>
      </c>
    </row>
    <row r="461" spans="1:7" x14ac:dyDescent="0.25">
      <c r="A461" s="8" t="s">
        <v>7</v>
      </c>
      <c r="B461" s="8" t="s">
        <v>136</v>
      </c>
      <c r="C461" s="8">
        <v>12</v>
      </c>
      <c r="D461" s="8">
        <v>2021</v>
      </c>
      <c r="E461" s="9">
        <v>44531</v>
      </c>
      <c r="F461" s="8">
        <v>152</v>
      </c>
      <c r="G461" s="8">
        <v>138</v>
      </c>
    </row>
    <row r="462" spans="1:7" x14ac:dyDescent="0.25">
      <c r="A462" s="8" t="s">
        <v>7</v>
      </c>
      <c r="B462" s="8" t="s">
        <v>137</v>
      </c>
      <c r="C462" s="8">
        <v>12</v>
      </c>
      <c r="D462" s="8">
        <v>2021</v>
      </c>
      <c r="E462" s="9">
        <v>44531</v>
      </c>
      <c r="F462" s="8">
        <v>86</v>
      </c>
      <c r="G462" s="8">
        <v>87</v>
      </c>
    </row>
    <row r="463" spans="1:7" x14ac:dyDescent="0.25">
      <c r="A463" s="8" t="s">
        <v>7</v>
      </c>
      <c r="B463" s="8" t="s">
        <v>138</v>
      </c>
      <c r="C463" s="8">
        <v>12</v>
      </c>
      <c r="D463" s="8">
        <v>2021</v>
      </c>
      <c r="E463" s="9">
        <v>44531</v>
      </c>
      <c r="F463" s="8">
        <v>183</v>
      </c>
      <c r="G463" s="8">
        <v>161</v>
      </c>
    </row>
    <row r="464" spans="1:7" x14ac:dyDescent="0.25">
      <c r="A464" s="8" t="s">
        <v>7</v>
      </c>
      <c r="B464" s="8" t="s">
        <v>139</v>
      </c>
      <c r="C464" s="8">
        <v>12</v>
      </c>
      <c r="D464" s="8">
        <v>2021</v>
      </c>
      <c r="E464" s="9">
        <v>44531</v>
      </c>
      <c r="F464" s="8">
        <v>256</v>
      </c>
      <c r="G464" s="8">
        <v>254</v>
      </c>
    </row>
    <row r="465" spans="1:7" x14ac:dyDescent="0.25">
      <c r="A465" s="8" t="s">
        <v>7</v>
      </c>
      <c r="B465" s="8" t="s">
        <v>140</v>
      </c>
      <c r="C465" s="8">
        <v>12</v>
      </c>
      <c r="D465" s="8">
        <v>2021</v>
      </c>
      <c r="E465" s="9">
        <v>44531</v>
      </c>
      <c r="F465" s="8">
        <v>181</v>
      </c>
      <c r="G465" s="8">
        <v>182</v>
      </c>
    </row>
    <row r="466" spans="1:7" x14ac:dyDescent="0.25">
      <c r="A466" s="8" t="s">
        <v>7</v>
      </c>
      <c r="B466" s="8" t="s">
        <v>141</v>
      </c>
      <c r="C466" s="8">
        <v>12</v>
      </c>
      <c r="D466" s="8">
        <v>2021</v>
      </c>
      <c r="E466" s="9">
        <v>44531</v>
      </c>
      <c r="F466" s="8">
        <v>150</v>
      </c>
      <c r="G466" s="8">
        <v>139</v>
      </c>
    </row>
    <row r="467" spans="1:7" x14ac:dyDescent="0.25">
      <c r="A467" s="8" t="s">
        <v>7</v>
      </c>
      <c r="B467" s="8" t="s">
        <v>142</v>
      </c>
      <c r="C467" s="8">
        <v>12</v>
      </c>
      <c r="D467" s="8">
        <v>2021</v>
      </c>
      <c r="E467" s="9">
        <v>44531</v>
      </c>
      <c r="F467" s="8">
        <v>167</v>
      </c>
      <c r="G467" s="8">
        <v>161</v>
      </c>
    </row>
    <row r="468" spans="1:7" x14ac:dyDescent="0.25">
      <c r="A468" s="8" t="s">
        <v>7</v>
      </c>
      <c r="B468" s="8" t="s">
        <v>143</v>
      </c>
      <c r="C468" s="8">
        <v>12</v>
      </c>
      <c r="D468" s="8">
        <v>2021</v>
      </c>
      <c r="E468" s="9">
        <v>44531</v>
      </c>
      <c r="F468" s="8">
        <v>181</v>
      </c>
      <c r="G468" s="8">
        <v>181</v>
      </c>
    </row>
    <row r="469" spans="1:7" x14ac:dyDescent="0.25">
      <c r="A469" s="8" t="s">
        <v>7</v>
      </c>
      <c r="B469" s="8" t="s">
        <v>144</v>
      </c>
      <c r="C469" s="8">
        <v>12</v>
      </c>
      <c r="D469" s="8">
        <v>2021</v>
      </c>
      <c r="E469" s="9">
        <v>44531</v>
      </c>
      <c r="F469" s="8">
        <v>100</v>
      </c>
      <c r="G469" s="8">
        <v>110</v>
      </c>
    </row>
    <row r="470" spans="1:7" x14ac:dyDescent="0.25">
      <c r="A470" s="8" t="s">
        <v>7</v>
      </c>
      <c r="B470" s="8" t="s">
        <v>145</v>
      </c>
      <c r="C470" s="8">
        <v>12</v>
      </c>
      <c r="D470" s="8">
        <v>2021</v>
      </c>
      <c r="E470" s="9">
        <v>44531</v>
      </c>
      <c r="F470" s="8">
        <v>100</v>
      </c>
      <c r="G470" s="8">
        <v>120</v>
      </c>
    </row>
    <row r="471" spans="1:7" x14ac:dyDescent="0.25">
      <c r="A471" s="8" t="s">
        <v>7</v>
      </c>
      <c r="B471" s="8" t="s">
        <v>146</v>
      </c>
      <c r="C471" s="8">
        <v>12</v>
      </c>
      <c r="D471" s="8">
        <v>2021</v>
      </c>
      <c r="E471" s="9">
        <v>44531</v>
      </c>
      <c r="F471" s="8">
        <v>255</v>
      </c>
      <c r="G471" s="8">
        <v>214</v>
      </c>
    </row>
    <row r="472" spans="1:7" x14ac:dyDescent="0.25">
      <c r="A472" s="8" t="s">
        <v>7</v>
      </c>
      <c r="B472" s="8" t="s">
        <v>147</v>
      </c>
      <c r="C472" s="8">
        <v>12</v>
      </c>
      <c r="D472" s="8">
        <v>2021</v>
      </c>
      <c r="E472" s="9">
        <v>44531</v>
      </c>
      <c r="F472" s="8">
        <v>103</v>
      </c>
      <c r="G472" s="8">
        <v>111</v>
      </c>
    </row>
    <row r="473" spans="1:7" x14ac:dyDescent="0.25">
      <c r="A473" s="8" t="s">
        <v>7</v>
      </c>
      <c r="B473" s="8" t="s">
        <v>148</v>
      </c>
      <c r="C473" s="8">
        <v>12</v>
      </c>
      <c r="D473" s="8">
        <v>2021</v>
      </c>
      <c r="E473" s="9">
        <v>44531</v>
      </c>
      <c r="F473" s="8">
        <v>166</v>
      </c>
      <c r="G473" s="8">
        <v>178</v>
      </c>
    </row>
    <row r="474" spans="1:7" x14ac:dyDescent="0.25">
      <c r="A474" s="8" t="s">
        <v>7</v>
      </c>
      <c r="B474" s="8" t="s">
        <v>149</v>
      </c>
      <c r="C474" s="8">
        <v>12</v>
      </c>
      <c r="D474" s="8">
        <v>2021</v>
      </c>
      <c r="E474" s="9">
        <v>44531</v>
      </c>
      <c r="F474" s="8">
        <v>59</v>
      </c>
      <c r="G474" s="8">
        <v>57</v>
      </c>
    </row>
    <row r="475" spans="1:7" x14ac:dyDescent="0.25">
      <c r="A475" s="8" t="s">
        <v>8</v>
      </c>
      <c r="B475" s="8" t="s">
        <v>150</v>
      </c>
      <c r="C475" s="8">
        <v>12</v>
      </c>
      <c r="D475" s="8">
        <v>2021</v>
      </c>
      <c r="E475" s="9">
        <v>44531</v>
      </c>
      <c r="F475" s="8">
        <v>737</v>
      </c>
      <c r="G475" s="8">
        <v>723</v>
      </c>
    </row>
    <row r="476" spans="1:7" x14ac:dyDescent="0.25">
      <c r="A476" s="8" t="s">
        <v>8</v>
      </c>
      <c r="B476" s="8" t="s">
        <v>151</v>
      </c>
      <c r="C476" s="8">
        <v>12</v>
      </c>
      <c r="D476" s="8">
        <v>2021</v>
      </c>
      <c r="E476" s="9">
        <v>44531</v>
      </c>
      <c r="F476" s="8">
        <v>536</v>
      </c>
      <c r="G476" s="8">
        <v>584</v>
      </c>
    </row>
    <row r="477" spans="1:7" x14ac:dyDescent="0.25">
      <c r="A477" s="8" t="s">
        <v>8</v>
      </c>
      <c r="B477" s="8" t="s">
        <v>152</v>
      </c>
      <c r="C477" s="8">
        <v>12</v>
      </c>
      <c r="D477" s="8">
        <v>2021</v>
      </c>
      <c r="E477" s="9">
        <v>44531</v>
      </c>
      <c r="F477" s="8">
        <v>195</v>
      </c>
      <c r="G477" s="8">
        <v>183</v>
      </c>
    </row>
    <row r="478" spans="1:7" x14ac:dyDescent="0.25">
      <c r="A478" s="8" t="s">
        <v>8</v>
      </c>
      <c r="B478" s="8" t="s">
        <v>153</v>
      </c>
      <c r="C478" s="8">
        <v>12</v>
      </c>
      <c r="D478" s="8">
        <v>2021</v>
      </c>
      <c r="E478" s="9">
        <v>44531</v>
      </c>
      <c r="F478" s="8">
        <v>423</v>
      </c>
      <c r="G478" s="8">
        <v>434</v>
      </c>
    </row>
    <row r="479" spans="1:7" x14ac:dyDescent="0.25">
      <c r="A479" s="8" t="s">
        <v>8</v>
      </c>
      <c r="B479" s="8" t="s">
        <v>154</v>
      </c>
      <c r="C479" s="8">
        <v>12</v>
      </c>
      <c r="D479" s="8">
        <v>2021</v>
      </c>
      <c r="E479" s="9">
        <v>44531</v>
      </c>
      <c r="F479" s="8">
        <v>235</v>
      </c>
      <c r="G479" s="8">
        <v>262</v>
      </c>
    </row>
    <row r="480" spans="1:7" x14ac:dyDescent="0.25">
      <c r="A480" s="8" t="s">
        <v>8</v>
      </c>
      <c r="B480" s="8" t="s">
        <v>155</v>
      </c>
      <c r="C480" s="8">
        <v>12</v>
      </c>
      <c r="D480" s="8">
        <v>2021</v>
      </c>
      <c r="E480" s="9">
        <v>44531</v>
      </c>
      <c r="F480" s="8">
        <v>351</v>
      </c>
      <c r="G480" s="8">
        <v>366</v>
      </c>
    </row>
    <row r="481" spans="1:7" x14ac:dyDescent="0.25">
      <c r="A481" s="8" t="s">
        <v>8</v>
      </c>
      <c r="B481" s="8" t="s">
        <v>156</v>
      </c>
      <c r="C481" s="8">
        <v>12</v>
      </c>
      <c r="D481" s="8">
        <v>2021</v>
      </c>
      <c r="E481" s="9">
        <v>44531</v>
      </c>
      <c r="F481" s="8">
        <v>155</v>
      </c>
      <c r="G481" s="8">
        <v>137</v>
      </c>
    </row>
    <row r="482" spans="1:7" x14ac:dyDescent="0.25">
      <c r="A482" s="8" t="s">
        <v>8</v>
      </c>
      <c r="B482" s="8" t="s">
        <v>157</v>
      </c>
      <c r="C482" s="8">
        <v>12</v>
      </c>
      <c r="D482" s="8">
        <v>2021</v>
      </c>
      <c r="E482" s="9">
        <v>44531</v>
      </c>
      <c r="F482" s="8">
        <v>256</v>
      </c>
      <c r="G482" s="8">
        <v>263</v>
      </c>
    </row>
    <row r="483" spans="1:7" x14ac:dyDescent="0.25">
      <c r="A483" s="8" t="s">
        <v>8</v>
      </c>
      <c r="B483" s="8" t="s">
        <v>158</v>
      </c>
      <c r="C483" s="8">
        <v>12</v>
      </c>
      <c r="D483" s="8">
        <v>2021</v>
      </c>
      <c r="E483" s="9">
        <v>44531</v>
      </c>
      <c r="F483" s="8">
        <v>174</v>
      </c>
      <c r="G483" s="8">
        <v>186</v>
      </c>
    </row>
    <row r="484" spans="1:7" x14ac:dyDescent="0.25">
      <c r="A484" s="8" t="s">
        <v>8</v>
      </c>
      <c r="B484" s="8" t="s">
        <v>159</v>
      </c>
      <c r="C484" s="8">
        <v>12</v>
      </c>
      <c r="D484" s="8">
        <v>2021</v>
      </c>
      <c r="E484" s="9">
        <v>44531</v>
      </c>
      <c r="F484" s="8">
        <v>196</v>
      </c>
      <c r="G484" s="8">
        <v>184</v>
      </c>
    </row>
    <row r="485" spans="1:7" x14ac:dyDescent="0.25">
      <c r="A485" s="8" t="s">
        <v>8</v>
      </c>
      <c r="B485" s="8" t="s">
        <v>160</v>
      </c>
      <c r="C485" s="8">
        <v>12</v>
      </c>
      <c r="D485" s="8">
        <v>2021</v>
      </c>
      <c r="E485" s="9">
        <v>44531</v>
      </c>
      <c r="F485" s="8">
        <v>121</v>
      </c>
      <c r="G485" s="8">
        <v>110</v>
      </c>
    </row>
    <row r="486" spans="1:7" x14ac:dyDescent="0.25">
      <c r="A486" s="8" t="s">
        <v>8</v>
      </c>
      <c r="B486" s="8" t="s">
        <v>161</v>
      </c>
      <c r="C486" s="8">
        <v>12</v>
      </c>
      <c r="D486" s="8">
        <v>2021</v>
      </c>
      <c r="E486" s="9">
        <v>44531</v>
      </c>
      <c r="F486" s="8">
        <v>186</v>
      </c>
      <c r="G486" s="8">
        <v>185</v>
      </c>
    </row>
    <row r="487" spans="1:7" x14ac:dyDescent="0.25">
      <c r="A487" s="8" t="s">
        <v>8</v>
      </c>
      <c r="B487" s="8" t="s">
        <v>162</v>
      </c>
      <c r="C487" s="8">
        <v>12</v>
      </c>
      <c r="D487" s="8">
        <v>2021</v>
      </c>
      <c r="E487" s="9">
        <v>44531</v>
      </c>
      <c r="F487" s="8">
        <v>123</v>
      </c>
      <c r="G487" s="8">
        <v>121</v>
      </c>
    </row>
    <row r="488" spans="1:7" x14ac:dyDescent="0.25">
      <c r="A488" s="8" t="s">
        <v>8</v>
      </c>
      <c r="B488" s="8" t="s">
        <v>163</v>
      </c>
      <c r="C488" s="8">
        <v>12</v>
      </c>
      <c r="D488" s="8">
        <v>2021</v>
      </c>
      <c r="E488" s="9">
        <v>44531</v>
      </c>
      <c r="F488" s="8">
        <v>273</v>
      </c>
      <c r="G488" s="8">
        <v>268</v>
      </c>
    </row>
    <row r="489" spans="1:7" x14ac:dyDescent="0.25">
      <c r="A489" s="8" t="s">
        <v>8</v>
      </c>
      <c r="B489" s="8" t="s">
        <v>164</v>
      </c>
      <c r="C489" s="8">
        <v>12</v>
      </c>
      <c r="D489" s="8">
        <v>2021</v>
      </c>
      <c r="E489" s="9">
        <v>44531</v>
      </c>
      <c r="F489" s="8">
        <v>317</v>
      </c>
      <c r="G489" s="8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"/>
  <sheetViews>
    <sheetView workbookViewId="0">
      <selection activeCell="E1" sqref="E1"/>
    </sheetView>
  </sheetViews>
  <sheetFormatPr defaultRowHeight="15" x14ac:dyDescent="0.25"/>
  <cols>
    <col min="1" max="1" width="4" bestFit="1" customWidth="1"/>
    <col min="2" max="2" width="19.28515625" bestFit="1" customWidth="1"/>
    <col min="3" max="3" width="29.85546875" bestFit="1" customWidth="1"/>
    <col min="4" max="4" width="14.5703125" bestFit="1" customWidth="1"/>
    <col min="5" max="5" width="14.28515625" bestFit="1" customWidth="1"/>
  </cols>
  <sheetData>
    <row r="1" spans="1:5" x14ac:dyDescent="0.25">
      <c r="A1" t="s">
        <v>29</v>
      </c>
      <c r="B1" t="s">
        <v>30</v>
      </c>
      <c r="C1" t="s">
        <v>31</v>
      </c>
      <c r="D1" t="s">
        <v>165</v>
      </c>
      <c r="E1" t="s">
        <v>166</v>
      </c>
    </row>
    <row r="2" spans="1:5" x14ac:dyDescent="0.25">
      <c r="A2">
        <v>1</v>
      </c>
      <c r="B2" t="s">
        <v>6</v>
      </c>
      <c r="C2" t="s">
        <v>43</v>
      </c>
      <c r="D2">
        <v>2874314</v>
      </c>
      <c r="E2">
        <v>3</v>
      </c>
    </row>
    <row r="3" spans="1:5" x14ac:dyDescent="0.25">
      <c r="A3">
        <v>2</v>
      </c>
      <c r="B3" t="s">
        <v>6</v>
      </c>
      <c r="C3" t="s">
        <v>44</v>
      </c>
      <c r="D3">
        <v>1311215</v>
      </c>
      <c r="E3">
        <v>1</v>
      </c>
    </row>
    <row r="4" spans="1:5" x14ac:dyDescent="0.25">
      <c r="A4">
        <v>3</v>
      </c>
      <c r="B4" t="s">
        <v>6</v>
      </c>
      <c r="C4" t="s">
        <v>45</v>
      </c>
      <c r="D4">
        <v>2033760</v>
      </c>
      <c r="E4">
        <v>2</v>
      </c>
    </row>
    <row r="5" spans="1:5" x14ac:dyDescent="0.25">
      <c r="A5">
        <v>4</v>
      </c>
      <c r="B5" t="s">
        <v>6</v>
      </c>
      <c r="C5" t="s">
        <v>46</v>
      </c>
      <c r="D5">
        <v>132424</v>
      </c>
      <c r="E5">
        <v>1</v>
      </c>
    </row>
    <row r="6" spans="1:5" x14ac:dyDescent="0.25">
      <c r="A6">
        <v>5</v>
      </c>
      <c r="B6" t="s">
        <v>6</v>
      </c>
      <c r="C6" t="s">
        <v>47</v>
      </c>
      <c r="D6">
        <v>1318062</v>
      </c>
      <c r="E6">
        <v>1</v>
      </c>
    </row>
    <row r="7" spans="1:5" x14ac:dyDescent="0.25">
      <c r="A7">
        <v>6</v>
      </c>
      <c r="B7" t="s">
        <v>6</v>
      </c>
      <c r="C7" t="s">
        <v>48</v>
      </c>
      <c r="D7">
        <v>1301635</v>
      </c>
      <c r="E7">
        <v>1</v>
      </c>
    </row>
    <row r="8" spans="1:5" x14ac:dyDescent="0.25">
      <c r="A8">
        <v>7</v>
      </c>
      <c r="B8" t="s">
        <v>6</v>
      </c>
      <c r="C8" t="s">
        <v>49</v>
      </c>
      <c r="D8">
        <v>1379628</v>
      </c>
      <c r="E8">
        <v>1</v>
      </c>
    </row>
    <row r="9" spans="1:5" x14ac:dyDescent="0.25">
      <c r="A9">
        <v>8</v>
      </c>
      <c r="B9" t="s">
        <v>6</v>
      </c>
      <c r="C9" t="s">
        <v>50</v>
      </c>
      <c r="D9">
        <v>1198072</v>
      </c>
      <c r="E9">
        <v>1</v>
      </c>
    </row>
    <row r="10" spans="1:5" x14ac:dyDescent="0.25">
      <c r="A10">
        <v>9</v>
      </c>
      <c r="B10" t="s">
        <v>6</v>
      </c>
      <c r="C10" t="s">
        <v>51</v>
      </c>
      <c r="D10">
        <v>195175</v>
      </c>
      <c r="E10">
        <v>1</v>
      </c>
    </row>
    <row r="11" spans="1:5" x14ac:dyDescent="0.25">
      <c r="A11">
        <v>10</v>
      </c>
      <c r="B11" t="s">
        <v>6</v>
      </c>
      <c r="C11" t="s">
        <v>52</v>
      </c>
      <c r="D11">
        <v>670812</v>
      </c>
      <c r="E11">
        <v>1</v>
      </c>
    </row>
    <row r="12" spans="1:5" x14ac:dyDescent="0.25">
      <c r="A12">
        <v>11</v>
      </c>
      <c r="B12" t="s">
        <v>6</v>
      </c>
      <c r="C12" t="s">
        <v>53</v>
      </c>
      <c r="D12">
        <v>870057</v>
      </c>
      <c r="E12">
        <v>1</v>
      </c>
    </row>
    <row r="13" spans="1:5" x14ac:dyDescent="0.25">
      <c r="A13">
        <v>12</v>
      </c>
      <c r="B13" t="s">
        <v>6</v>
      </c>
      <c r="C13" t="s">
        <v>54</v>
      </c>
      <c r="D13">
        <v>949320</v>
      </c>
      <c r="E13">
        <v>1</v>
      </c>
    </row>
    <row r="14" spans="1:5" x14ac:dyDescent="0.25">
      <c r="A14">
        <v>13</v>
      </c>
      <c r="B14" t="s">
        <v>6</v>
      </c>
      <c r="C14" t="s">
        <v>55</v>
      </c>
      <c r="D14">
        <v>586110</v>
      </c>
      <c r="E14">
        <v>1</v>
      </c>
    </row>
    <row r="15" spans="1:5" x14ac:dyDescent="0.25">
      <c r="A15">
        <v>14</v>
      </c>
      <c r="B15" t="s">
        <v>6</v>
      </c>
      <c r="C15" t="s">
        <v>56</v>
      </c>
      <c r="D15">
        <v>286796</v>
      </c>
      <c r="E15">
        <v>1</v>
      </c>
    </row>
    <row r="16" spans="1:5" x14ac:dyDescent="0.25">
      <c r="A16">
        <v>15</v>
      </c>
      <c r="B16" t="s">
        <v>6</v>
      </c>
      <c r="C16" t="s">
        <v>57</v>
      </c>
      <c r="D16">
        <v>1103902</v>
      </c>
      <c r="E16">
        <v>1</v>
      </c>
    </row>
    <row r="17" spans="1:5" x14ac:dyDescent="0.25">
      <c r="A17">
        <v>16</v>
      </c>
      <c r="B17" t="s">
        <v>6</v>
      </c>
      <c r="C17" t="s">
        <v>58</v>
      </c>
      <c r="D17">
        <v>843810</v>
      </c>
      <c r="E17">
        <v>1</v>
      </c>
    </row>
    <row r="18" spans="1:5" x14ac:dyDescent="0.25">
      <c r="A18">
        <v>17</v>
      </c>
      <c r="B18" t="s">
        <v>6</v>
      </c>
      <c r="C18" t="s">
        <v>59</v>
      </c>
      <c r="D18">
        <v>213046</v>
      </c>
      <c r="E18">
        <v>1</v>
      </c>
    </row>
    <row r="19" spans="1:5" x14ac:dyDescent="0.25">
      <c r="A19">
        <v>18</v>
      </c>
      <c r="B19" t="s">
        <v>6</v>
      </c>
      <c r="C19" t="s">
        <v>60</v>
      </c>
      <c r="D19">
        <v>149149</v>
      </c>
      <c r="E19">
        <v>1</v>
      </c>
    </row>
    <row r="20" spans="1:5" x14ac:dyDescent="0.25">
      <c r="A20">
        <v>19</v>
      </c>
      <c r="B20" t="s">
        <v>6</v>
      </c>
      <c r="C20" t="s">
        <v>61</v>
      </c>
      <c r="D20">
        <v>1089775</v>
      </c>
      <c r="E20">
        <v>1</v>
      </c>
    </row>
    <row r="21" spans="1:5" x14ac:dyDescent="0.25">
      <c r="A21">
        <v>20</v>
      </c>
      <c r="B21" t="s">
        <v>3</v>
      </c>
      <c r="C21" t="s">
        <v>62</v>
      </c>
      <c r="D21">
        <v>1056896</v>
      </c>
      <c r="E21">
        <v>1</v>
      </c>
    </row>
    <row r="22" spans="1:5" x14ac:dyDescent="0.25">
      <c r="A22">
        <v>21</v>
      </c>
      <c r="B22" t="s">
        <v>3</v>
      </c>
      <c r="C22" t="s">
        <v>63</v>
      </c>
      <c r="D22">
        <v>2434511</v>
      </c>
      <c r="E22">
        <v>2</v>
      </c>
    </row>
    <row r="23" spans="1:5" x14ac:dyDescent="0.25">
      <c r="A23">
        <v>22</v>
      </c>
      <c r="B23" t="s">
        <v>3</v>
      </c>
      <c r="C23" t="s">
        <v>64</v>
      </c>
      <c r="D23">
        <v>2226812</v>
      </c>
      <c r="E23">
        <v>2</v>
      </c>
    </row>
    <row r="24" spans="1:5" x14ac:dyDescent="0.25">
      <c r="A24">
        <v>23</v>
      </c>
      <c r="B24" t="s">
        <v>3</v>
      </c>
      <c r="C24" t="s">
        <v>65</v>
      </c>
      <c r="D24">
        <v>3037139</v>
      </c>
      <c r="E24">
        <v>3</v>
      </c>
    </row>
    <row r="25" spans="1:5" x14ac:dyDescent="0.25">
      <c r="A25">
        <v>24</v>
      </c>
      <c r="B25" t="s">
        <v>3</v>
      </c>
      <c r="C25" t="s">
        <v>66</v>
      </c>
      <c r="D25">
        <v>1778981</v>
      </c>
      <c r="E25">
        <v>2</v>
      </c>
    </row>
    <row r="26" spans="1:5" x14ac:dyDescent="0.25">
      <c r="A26">
        <v>25</v>
      </c>
      <c r="B26" t="s">
        <v>3</v>
      </c>
      <c r="C26" t="s">
        <v>67</v>
      </c>
      <c r="D26">
        <v>27749</v>
      </c>
      <c r="E26">
        <v>1</v>
      </c>
    </row>
    <row r="27" spans="1:5" x14ac:dyDescent="0.25">
      <c r="A27">
        <v>26</v>
      </c>
      <c r="B27" t="s">
        <v>2</v>
      </c>
      <c r="C27" t="s">
        <v>68</v>
      </c>
      <c r="D27">
        <v>1895486</v>
      </c>
      <c r="E27">
        <v>2</v>
      </c>
    </row>
    <row r="28" spans="1:5" x14ac:dyDescent="0.25">
      <c r="A28">
        <v>27</v>
      </c>
      <c r="B28" t="s">
        <v>2</v>
      </c>
      <c r="C28" t="s">
        <v>69</v>
      </c>
      <c r="D28">
        <v>1354350</v>
      </c>
      <c r="E28">
        <v>1</v>
      </c>
    </row>
    <row r="29" spans="1:5" x14ac:dyDescent="0.25">
      <c r="A29">
        <v>28</v>
      </c>
      <c r="B29" t="s">
        <v>4</v>
      </c>
      <c r="C29" t="s">
        <v>70</v>
      </c>
      <c r="D29">
        <v>1043070</v>
      </c>
      <c r="E29">
        <v>1</v>
      </c>
    </row>
    <row r="30" spans="1:5" x14ac:dyDescent="0.25">
      <c r="A30">
        <v>29</v>
      </c>
      <c r="B30" t="s">
        <v>4</v>
      </c>
      <c r="C30" t="s">
        <v>71</v>
      </c>
      <c r="D30">
        <v>2056340</v>
      </c>
      <c r="E30">
        <v>2</v>
      </c>
    </row>
    <row r="31" spans="1:5" x14ac:dyDescent="0.25">
      <c r="A31">
        <v>30</v>
      </c>
      <c r="B31" t="s">
        <v>4</v>
      </c>
      <c r="C31" t="s">
        <v>72</v>
      </c>
      <c r="D31">
        <v>2543680</v>
      </c>
      <c r="E31">
        <v>3</v>
      </c>
    </row>
    <row r="32" spans="1:5" x14ac:dyDescent="0.25">
      <c r="A32">
        <v>31</v>
      </c>
      <c r="B32" t="s">
        <v>4</v>
      </c>
      <c r="C32" t="s">
        <v>73</v>
      </c>
      <c r="D32">
        <v>2444160</v>
      </c>
      <c r="E32">
        <v>2</v>
      </c>
    </row>
    <row r="33" spans="1:5" x14ac:dyDescent="0.25">
      <c r="A33">
        <v>32</v>
      </c>
      <c r="B33" t="s">
        <v>4</v>
      </c>
      <c r="C33" t="s">
        <v>74</v>
      </c>
      <c r="D33">
        <v>1788340</v>
      </c>
      <c r="E33">
        <v>2</v>
      </c>
    </row>
    <row r="34" spans="1:5" x14ac:dyDescent="0.25">
      <c r="A34">
        <v>33</v>
      </c>
      <c r="B34" t="s">
        <v>4</v>
      </c>
      <c r="C34" t="s">
        <v>75</v>
      </c>
      <c r="D34">
        <v>568400</v>
      </c>
      <c r="E34">
        <v>1</v>
      </c>
    </row>
    <row r="35" spans="1:5" x14ac:dyDescent="0.25">
      <c r="A35">
        <v>34</v>
      </c>
      <c r="B35" t="s">
        <v>4</v>
      </c>
      <c r="C35" t="s">
        <v>76</v>
      </c>
      <c r="D35">
        <v>997870</v>
      </c>
      <c r="E35">
        <v>1</v>
      </c>
    </row>
    <row r="36" spans="1:5" x14ac:dyDescent="0.25">
      <c r="A36">
        <v>35</v>
      </c>
      <c r="B36" t="s">
        <v>4</v>
      </c>
      <c r="C36" t="s">
        <v>77</v>
      </c>
      <c r="D36">
        <v>1595320</v>
      </c>
      <c r="E36">
        <v>2</v>
      </c>
    </row>
    <row r="37" spans="1:5" x14ac:dyDescent="0.25">
      <c r="A37">
        <v>36</v>
      </c>
      <c r="B37" t="s">
        <v>4</v>
      </c>
      <c r="C37" t="s">
        <v>78</v>
      </c>
      <c r="D37">
        <v>2439090</v>
      </c>
      <c r="E37">
        <v>2</v>
      </c>
    </row>
    <row r="38" spans="1:5" x14ac:dyDescent="0.25">
      <c r="A38">
        <v>37</v>
      </c>
      <c r="B38" t="s">
        <v>2</v>
      </c>
      <c r="C38" t="s">
        <v>79</v>
      </c>
      <c r="D38">
        <v>692101</v>
      </c>
      <c r="E38">
        <v>1</v>
      </c>
    </row>
    <row r="39" spans="1:5" x14ac:dyDescent="0.25">
      <c r="A39">
        <v>38</v>
      </c>
      <c r="B39" t="s">
        <v>2</v>
      </c>
      <c r="C39" t="s">
        <v>80</v>
      </c>
      <c r="D39">
        <v>1272687</v>
      </c>
      <c r="E39">
        <v>1</v>
      </c>
    </row>
    <row r="40" spans="1:5" x14ac:dyDescent="0.25">
      <c r="A40">
        <v>39</v>
      </c>
      <c r="B40" t="s">
        <v>2</v>
      </c>
      <c r="C40" t="s">
        <v>81</v>
      </c>
      <c r="D40">
        <v>1386793</v>
      </c>
      <c r="E40">
        <v>1</v>
      </c>
    </row>
    <row r="41" spans="1:5" x14ac:dyDescent="0.25">
      <c r="A41">
        <v>40</v>
      </c>
      <c r="B41" t="s">
        <v>2</v>
      </c>
      <c r="C41" t="s">
        <v>82</v>
      </c>
      <c r="D41">
        <v>434896</v>
      </c>
      <c r="E41">
        <v>1</v>
      </c>
    </row>
    <row r="42" spans="1:5" x14ac:dyDescent="0.25">
      <c r="A42">
        <v>41</v>
      </c>
      <c r="B42" t="s">
        <v>4</v>
      </c>
      <c r="C42" t="s">
        <v>83</v>
      </c>
      <c r="D42">
        <v>346330</v>
      </c>
      <c r="E42">
        <v>1</v>
      </c>
    </row>
    <row r="43" spans="1:5" x14ac:dyDescent="0.25">
      <c r="A43">
        <v>42</v>
      </c>
      <c r="B43" t="s">
        <v>4</v>
      </c>
      <c r="C43" t="s">
        <v>84</v>
      </c>
      <c r="D43">
        <v>2477560</v>
      </c>
      <c r="E43">
        <v>2</v>
      </c>
    </row>
    <row r="44" spans="1:5" x14ac:dyDescent="0.25">
      <c r="A44">
        <v>43</v>
      </c>
      <c r="B44" t="s">
        <v>4</v>
      </c>
      <c r="C44" t="s">
        <v>85</v>
      </c>
      <c r="D44">
        <v>2585610</v>
      </c>
      <c r="E44">
        <v>3</v>
      </c>
    </row>
    <row r="45" spans="1:5" x14ac:dyDescent="0.25">
      <c r="A45">
        <v>44</v>
      </c>
      <c r="B45" t="s">
        <v>4</v>
      </c>
      <c r="C45" t="s">
        <v>86</v>
      </c>
      <c r="D45">
        <v>333300</v>
      </c>
      <c r="E45">
        <v>1</v>
      </c>
    </row>
    <row r="46" spans="1:5" x14ac:dyDescent="0.25">
      <c r="A46">
        <v>45</v>
      </c>
      <c r="B46" t="s">
        <v>4</v>
      </c>
      <c r="C46" t="s">
        <v>87</v>
      </c>
      <c r="D46">
        <v>1834430</v>
      </c>
      <c r="E46">
        <v>2</v>
      </c>
    </row>
    <row r="47" spans="1:5" x14ac:dyDescent="0.25">
      <c r="A47">
        <v>46</v>
      </c>
      <c r="B47" t="s">
        <v>4</v>
      </c>
      <c r="C47" t="s">
        <v>88</v>
      </c>
      <c r="D47">
        <v>1152510</v>
      </c>
      <c r="E47">
        <v>1</v>
      </c>
    </row>
    <row r="48" spans="1:5" x14ac:dyDescent="0.25">
      <c r="A48">
        <v>47</v>
      </c>
      <c r="B48" t="s">
        <v>4</v>
      </c>
      <c r="C48" t="s">
        <v>89</v>
      </c>
      <c r="D48">
        <v>1305480</v>
      </c>
      <c r="E48">
        <v>1</v>
      </c>
    </row>
    <row r="49" spans="1:5" x14ac:dyDescent="0.25">
      <c r="A49">
        <v>48</v>
      </c>
      <c r="B49" t="s">
        <v>4</v>
      </c>
      <c r="C49" t="s">
        <v>90</v>
      </c>
      <c r="D49">
        <v>1167690</v>
      </c>
      <c r="E49">
        <v>1</v>
      </c>
    </row>
    <row r="50" spans="1:5" x14ac:dyDescent="0.25">
      <c r="A50">
        <v>49</v>
      </c>
      <c r="B50" t="s">
        <v>4</v>
      </c>
      <c r="C50" t="s">
        <v>91</v>
      </c>
      <c r="D50">
        <v>716160</v>
      </c>
      <c r="E50">
        <v>1</v>
      </c>
    </row>
    <row r="51" spans="1:5" x14ac:dyDescent="0.25">
      <c r="A51">
        <v>50</v>
      </c>
      <c r="B51" t="s">
        <v>4</v>
      </c>
      <c r="C51" t="s">
        <v>92</v>
      </c>
      <c r="D51">
        <v>1229070</v>
      </c>
      <c r="E51">
        <v>1</v>
      </c>
    </row>
    <row r="52" spans="1:5" x14ac:dyDescent="0.25">
      <c r="A52">
        <v>51</v>
      </c>
      <c r="B52" t="s">
        <v>4</v>
      </c>
      <c r="C52" t="s">
        <v>93</v>
      </c>
      <c r="D52">
        <v>423670</v>
      </c>
      <c r="E52">
        <v>1</v>
      </c>
    </row>
    <row r="53" spans="1:5" x14ac:dyDescent="0.25">
      <c r="A53">
        <v>52</v>
      </c>
      <c r="B53" t="s">
        <v>4</v>
      </c>
      <c r="C53" t="s">
        <v>94</v>
      </c>
      <c r="D53">
        <v>200970</v>
      </c>
      <c r="E53">
        <v>1</v>
      </c>
    </row>
    <row r="54" spans="1:5" x14ac:dyDescent="0.25">
      <c r="A54">
        <v>53</v>
      </c>
      <c r="B54" t="s">
        <v>5</v>
      </c>
      <c r="C54" t="s">
        <v>95</v>
      </c>
      <c r="D54">
        <v>1053094</v>
      </c>
      <c r="E54">
        <v>1</v>
      </c>
    </row>
    <row r="55" spans="1:5" x14ac:dyDescent="0.25">
      <c r="A55">
        <v>54</v>
      </c>
      <c r="B55" t="s">
        <v>5</v>
      </c>
      <c r="C55" t="s">
        <v>96</v>
      </c>
      <c r="D55">
        <v>192322</v>
      </c>
      <c r="E55">
        <v>1</v>
      </c>
    </row>
    <row r="56" spans="1:5" x14ac:dyDescent="0.25">
      <c r="A56">
        <v>55</v>
      </c>
      <c r="B56" t="s">
        <v>5</v>
      </c>
      <c r="C56" t="s">
        <v>97</v>
      </c>
      <c r="D56">
        <v>307150</v>
      </c>
      <c r="E56">
        <v>1</v>
      </c>
    </row>
    <row r="57" spans="1:5" x14ac:dyDescent="0.25">
      <c r="A57">
        <v>56</v>
      </c>
      <c r="B57" t="s">
        <v>5</v>
      </c>
      <c r="C57" t="s">
        <v>98</v>
      </c>
      <c r="D57">
        <v>801718</v>
      </c>
      <c r="E57">
        <v>1</v>
      </c>
    </row>
    <row r="58" spans="1:5" x14ac:dyDescent="0.25">
      <c r="A58">
        <v>57</v>
      </c>
      <c r="B58" t="s">
        <v>5</v>
      </c>
      <c r="C58" t="s">
        <v>99</v>
      </c>
      <c r="D58">
        <v>1018505</v>
      </c>
      <c r="E58">
        <v>1</v>
      </c>
    </row>
    <row r="59" spans="1:5" x14ac:dyDescent="0.25">
      <c r="A59">
        <v>58</v>
      </c>
      <c r="B59" t="s">
        <v>5</v>
      </c>
      <c r="C59" t="s">
        <v>100</v>
      </c>
      <c r="D59">
        <v>273825</v>
      </c>
      <c r="E59">
        <v>1</v>
      </c>
    </row>
    <row r="60" spans="1:5" x14ac:dyDescent="0.25">
      <c r="A60">
        <v>59</v>
      </c>
      <c r="B60" t="s">
        <v>5</v>
      </c>
      <c r="C60" t="s">
        <v>101</v>
      </c>
      <c r="D60">
        <v>1978759</v>
      </c>
      <c r="E60">
        <v>2</v>
      </c>
    </row>
    <row r="61" spans="1:5" x14ac:dyDescent="0.25">
      <c r="A61">
        <v>60</v>
      </c>
      <c r="B61" t="s">
        <v>5</v>
      </c>
      <c r="C61" t="s">
        <v>102</v>
      </c>
      <c r="D61">
        <v>1471489</v>
      </c>
      <c r="E61">
        <v>1</v>
      </c>
    </row>
    <row r="62" spans="1:5" x14ac:dyDescent="0.25">
      <c r="A62">
        <v>61</v>
      </c>
      <c r="B62" t="s">
        <v>5</v>
      </c>
      <c r="C62" t="s">
        <v>103</v>
      </c>
      <c r="D62">
        <v>1776918</v>
      </c>
      <c r="E62">
        <v>2</v>
      </c>
    </row>
    <row r="63" spans="1:5" x14ac:dyDescent="0.25">
      <c r="A63">
        <v>62</v>
      </c>
      <c r="B63" t="s">
        <v>5</v>
      </c>
      <c r="C63" t="s">
        <v>104</v>
      </c>
      <c r="D63">
        <v>1944857</v>
      </c>
      <c r="E63">
        <v>2</v>
      </c>
    </row>
    <row r="64" spans="1:5" x14ac:dyDescent="0.25">
      <c r="A64">
        <v>63</v>
      </c>
      <c r="B64" t="s">
        <v>5</v>
      </c>
      <c r="C64" t="s">
        <v>105</v>
      </c>
      <c r="D64">
        <v>998561</v>
      </c>
      <c r="E64">
        <v>1</v>
      </c>
    </row>
    <row r="65" spans="1:5" x14ac:dyDescent="0.25">
      <c r="A65">
        <v>64</v>
      </c>
      <c r="B65" t="s">
        <v>5</v>
      </c>
      <c r="C65" t="s">
        <v>106</v>
      </c>
      <c r="D65">
        <v>1017767</v>
      </c>
      <c r="E65">
        <v>1</v>
      </c>
    </row>
    <row r="66" spans="1:5" x14ac:dyDescent="0.25">
      <c r="A66">
        <v>65</v>
      </c>
      <c r="B66" t="s">
        <v>5</v>
      </c>
      <c r="C66" t="s">
        <v>107</v>
      </c>
      <c r="D66">
        <v>769880</v>
      </c>
      <c r="E66">
        <v>1</v>
      </c>
    </row>
    <row r="67" spans="1:5" x14ac:dyDescent="0.25">
      <c r="A67">
        <v>66</v>
      </c>
      <c r="B67" t="s">
        <v>5</v>
      </c>
      <c r="C67" t="s">
        <v>108</v>
      </c>
      <c r="D67">
        <v>1350438</v>
      </c>
      <c r="E67">
        <v>1</v>
      </c>
    </row>
    <row r="68" spans="1:5" x14ac:dyDescent="0.25">
      <c r="A68">
        <v>67</v>
      </c>
      <c r="B68" t="s">
        <v>5</v>
      </c>
      <c r="C68" t="s">
        <v>109</v>
      </c>
      <c r="D68">
        <v>1299859</v>
      </c>
      <c r="E68">
        <v>1</v>
      </c>
    </row>
    <row r="69" spans="1:5" x14ac:dyDescent="0.25">
      <c r="A69">
        <v>68</v>
      </c>
      <c r="B69" t="s">
        <v>5</v>
      </c>
      <c r="C69" t="s">
        <v>110</v>
      </c>
      <c r="D69">
        <v>790174</v>
      </c>
      <c r="E69">
        <v>1</v>
      </c>
    </row>
    <row r="70" spans="1:5" x14ac:dyDescent="0.25">
      <c r="A70">
        <v>69</v>
      </c>
      <c r="B70" t="s">
        <v>5</v>
      </c>
      <c r="C70" t="s">
        <v>111</v>
      </c>
      <c r="D70">
        <v>879124</v>
      </c>
      <c r="E70">
        <v>1</v>
      </c>
    </row>
    <row r="71" spans="1:5" x14ac:dyDescent="0.25">
      <c r="A71">
        <v>70</v>
      </c>
      <c r="B71" t="s">
        <v>5</v>
      </c>
      <c r="C71" t="s">
        <v>112</v>
      </c>
      <c r="D71">
        <v>522364</v>
      </c>
      <c r="E71">
        <v>1</v>
      </c>
    </row>
    <row r="72" spans="1:5" x14ac:dyDescent="0.25">
      <c r="A72">
        <v>71</v>
      </c>
      <c r="B72" t="s">
        <v>5</v>
      </c>
      <c r="C72" t="s">
        <v>113</v>
      </c>
      <c r="D72">
        <v>907587</v>
      </c>
      <c r="E72">
        <v>1</v>
      </c>
    </row>
    <row r="73" spans="1:5" x14ac:dyDescent="0.25">
      <c r="A73">
        <v>72</v>
      </c>
      <c r="B73" t="s">
        <v>5</v>
      </c>
      <c r="C73" t="s">
        <v>114</v>
      </c>
      <c r="D73">
        <v>931963</v>
      </c>
      <c r="E73">
        <v>1</v>
      </c>
    </row>
    <row r="74" spans="1:5" x14ac:dyDescent="0.25">
      <c r="A74">
        <v>73</v>
      </c>
      <c r="B74" t="s">
        <v>5</v>
      </c>
      <c r="C74" t="s">
        <v>115</v>
      </c>
      <c r="D74">
        <v>976951</v>
      </c>
      <c r="E74">
        <v>1</v>
      </c>
    </row>
    <row r="75" spans="1:5" x14ac:dyDescent="0.25">
      <c r="A75">
        <v>74</v>
      </c>
      <c r="B75" t="s">
        <v>5</v>
      </c>
      <c r="C75" t="s">
        <v>116</v>
      </c>
      <c r="D75">
        <v>1062713</v>
      </c>
      <c r="E75">
        <v>1</v>
      </c>
    </row>
    <row r="76" spans="1:5" x14ac:dyDescent="0.25">
      <c r="A76">
        <v>75</v>
      </c>
      <c r="B76" t="s">
        <v>5</v>
      </c>
      <c r="C76" t="s">
        <v>117</v>
      </c>
      <c r="D76">
        <v>1260506</v>
      </c>
      <c r="E76">
        <v>1</v>
      </c>
    </row>
    <row r="77" spans="1:5" x14ac:dyDescent="0.25">
      <c r="A77">
        <v>76</v>
      </c>
      <c r="B77" t="s">
        <v>5</v>
      </c>
      <c r="C77" t="s">
        <v>118</v>
      </c>
      <c r="D77">
        <v>1043177</v>
      </c>
      <c r="E77">
        <v>1</v>
      </c>
    </row>
    <row r="78" spans="1:5" x14ac:dyDescent="0.25">
      <c r="A78">
        <v>77</v>
      </c>
      <c r="B78" t="s">
        <v>5</v>
      </c>
      <c r="C78" t="s">
        <v>119</v>
      </c>
      <c r="D78">
        <v>1453526</v>
      </c>
      <c r="E78">
        <v>1</v>
      </c>
    </row>
    <row r="79" spans="1:5" x14ac:dyDescent="0.25">
      <c r="A79">
        <v>78</v>
      </c>
      <c r="B79" t="s">
        <v>5</v>
      </c>
      <c r="C79" t="s">
        <v>120</v>
      </c>
      <c r="D79">
        <v>884333</v>
      </c>
      <c r="E79">
        <v>1</v>
      </c>
    </row>
    <row r="80" spans="1:5" x14ac:dyDescent="0.25">
      <c r="A80">
        <v>79</v>
      </c>
      <c r="B80" t="s">
        <v>5</v>
      </c>
      <c r="C80" t="s">
        <v>121</v>
      </c>
      <c r="D80">
        <v>1324188</v>
      </c>
    </row>
    <row r="81" spans="1:4" x14ac:dyDescent="0.25">
      <c r="A81">
        <v>80</v>
      </c>
      <c r="B81" t="s">
        <v>5</v>
      </c>
      <c r="C81" t="s">
        <v>122</v>
      </c>
      <c r="D81">
        <v>645333</v>
      </c>
    </row>
    <row r="82" spans="1:4" x14ac:dyDescent="0.25">
      <c r="A82">
        <v>81</v>
      </c>
      <c r="B82" t="s">
        <v>5</v>
      </c>
      <c r="C82" t="s">
        <v>123</v>
      </c>
      <c r="D82">
        <v>849184</v>
      </c>
    </row>
    <row r="83" spans="1:4" x14ac:dyDescent="0.25">
      <c r="A83">
        <v>82</v>
      </c>
      <c r="B83" t="s">
        <v>5</v>
      </c>
      <c r="C83" t="s">
        <v>124</v>
      </c>
      <c r="D83">
        <v>1184947</v>
      </c>
    </row>
    <row r="84" spans="1:4" x14ac:dyDescent="0.25">
      <c r="A84">
        <v>83</v>
      </c>
      <c r="B84" t="s">
        <v>5</v>
      </c>
      <c r="C84" t="s">
        <v>125</v>
      </c>
      <c r="D84">
        <v>1203956</v>
      </c>
    </row>
    <row r="85" spans="1:4" x14ac:dyDescent="0.25">
      <c r="A85">
        <v>84</v>
      </c>
      <c r="B85" t="s">
        <v>7</v>
      </c>
      <c r="C85" t="s">
        <v>126</v>
      </c>
      <c r="D85">
        <v>1423877</v>
      </c>
    </row>
    <row r="86" spans="1:4" x14ac:dyDescent="0.25">
      <c r="A86">
        <v>85</v>
      </c>
      <c r="B86" t="s">
        <v>7</v>
      </c>
      <c r="C86" t="s">
        <v>127</v>
      </c>
      <c r="D86">
        <v>765836</v>
      </c>
    </row>
    <row r="87" spans="1:4" x14ac:dyDescent="0.25">
      <c r="A87">
        <v>86</v>
      </c>
      <c r="B87" t="s">
        <v>7</v>
      </c>
      <c r="C87" t="s">
        <v>128</v>
      </c>
      <c r="D87">
        <v>801775</v>
      </c>
    </row>
    <row r="88" spans="1:4" x14ac:dyDescent="0.25">
      <c r="A88">
        <v>87</v>
      </c>
      <c r="B88" t="s">
        <v>7</v>
      </c>
      <c r="C88" t="s">
        <v>129</v>
      </c>
      <c r="D88">
        <v>391774</v>
      </c>
    </row>
    <row r="89" spans="1:4" x14ac:dyDescent="0.25">
      <c r="A89">
        <v>88</v>
      </c>
      <c r="B89" t="s">
        <v>7</v>
      </c>
      <c r="C89" t="s">
        <v>130</v>
      </c>
      <c r="D89">
        <v>345775</v>
      </c>
    </row>
    <row r="90" spans="1:4" x14ac:dyDescent="0.25">
      <c r="A90">
        <v>89</v>
      </c>
      <c r="B90" t="s">
        <v>7</v>
      </c>
      <c r="C90" t="s">
        <v>131</v>
      </c>
      <c r="D90">
        <v>184452</v>
      </c>
    </row>
    <row r="91" spans="1:4" x14ac:dyDescent="0.25">
      <c r="A91">
        <v>90</v>
      </c>
      <c r="B91" t="s">
        <v>7</v>
      </c>
      <c r="C91" t="s">
        <v>132</v>
      </c>
      <c r="D91">
        <v>235167</v>
      </c>
    </row>
    <row r="92" spans="1:4" x14ac:dyDescent="0.25">
      <c r="A92">
        <v>91</v>
      </c>
      <c r="B92" t="s">
        <v>7</v>
      </c>
      <c r="C92" t="s">
        <v>133</v>
      </c>
      <c r="D92">
        <v>379079</v>
      </c>
    </row>
    <row r="93" spans="1:4" x14ac:dyDescent="0.25">
      <c r="A93">
        <v>92</v>
      </c>
      <c r="B93" t="s">
        <v>7</v>
      </c>
      <c r="C93" t="s">
        <v>134</v>
      </c>
      <c r="D93">
        <v>151454</v>
      </c>
    </row>
    <row r="94" spans="1:4" x14ac:dyDescent="0.25">
      <c r="A94">
        <v>93</v>
      </c>
      <c r="B94" t="s">
        <v>7</v>
      </c>
      <c r="C94" t="s">
        <v>135</v>
      </c>
      <c r="D94">
        <v>403994</v>
      </c>
    </row>
    <row r="95" spans="1:4" x14ac:dyDescent="0.25">
      <c r="A95">
        <v>94</v>
      </c>
      <c r="B95" t="s">
        <v>7</v>
      </c>
      <c r="C95" t="s">
        <v>136</v>
      </c>
      <c r="D95">
        <v>319990</v>
      </c>
    </row>
    <row r="96" spans="1:4" x14ac:dyDescent="0.25">
      <c r="A96">
        <v>95</v>
      </c>
      <c r="B96" t="s">
        <v>7</v>
      </c>
      <c r="C96" t="s">
        <v>137</v>
      </c>
      <c r="D96">
        <v>259478</v>
      </c>
    </row>
    <row r="97" spans="1:4" x14ac:dyDescent="0.25">
      <c r="A97">
        <v>96</v>
      </c>
      <c r="B97" t="s">
        <v>7</v>
      </c>
      <c r="C97" t="s">
        <v>138</v>
      </c>
      <c r="D97">
        <v>225172</v>
      </c>
    </row>
    <row r="98" spans="1:4" x14ac:dyDescent="0.25">
      <c r="A98">
        <v>97</v>
      </c>
      <c r="B98" t="s">
        <v>7</v>
      </c>
      <c r="C98" t="s">
        <v>139</v>
      </c>
      <c r="D98">
        <v>280794</v>
      </c>
    </row>
    <row r="99" spans="1:4" x14ac:dyDescent="0.25">
      <c r="A99">
        <v>98</v>
      </c>
      <c r="B99" t="s">
        <v>7</v>
      </c>
      <c r="C99" t="s">
        <v>140</v>
      </c>
      <c r="D99">
        <v>261086</v>
      </c>
    </row>
    <row r="100" spans="1:4" x14ac:dyDescent="0.25">
      <c r="A100">
        <v>99</v>
      </c>
      <c r="B100" t="s">
        <v>7</v>
      </c>
      <c r="C100" t="s">
        <v>141</v>
      </c>
      <c r="D100">
        <v>322919</v>
      </c>
    </row>
    <row r="101" spans="1:4" x14ac:dyDescent="0.25">
      <c r="A101">
        <v>100</v>
      </c>
      <c r="B101" t="s">
        <v>7</v>
      </c>
      <c r="C101" t="s">
        <v>142</v>
      </c>
      <c r="D101">
        <v>184681</v>
      </c>
    </row>
    <row r="102" spans="1:4" x14ac:dyDescent="0.25">
      <c r="A102">
        <v>101</v>
      </c>
      <c r="B102" t="s">
        <v>7</v>
      </c>
      <c r="C102" t="s">
        <v>143</v>
      </c>
      <c r="D102">
        <v>365608</v>
      </c>
    </row>
    <row r="103" spans="1:4" x14ac:dyDescent="0.25">
      <c r="A103">
        <v>102</v>
      </c>
      <c r="B103" t="s">
        <v>7</v>
      </c>
      <c r="C103" t="s">
        <v>144</v>
      </c>
      <c r="D103">
        <v>296741</v>
      </c>
    </row>
    <row r="104" spans="1:4" x14ac:dyDescent="0.25">
      <c r="A104">
        <v>103</v>
      </c>
      <c r="B104" t="s">
        <v>7</v>
      </c>
      <c r="C104" t="s">
        <v>145</v>
      </c>
      <c r="D104">
        <v>300853</v>
      </c>
    </row>
    <row r="105" spans="1:4" x14ac:dyDescent="0.25">
      <c r="A105">
        <v>104</v>
      </c>
      <c r="B105" t="s">
        <v>7</v>
      </c>
      <c r="C105" t="s">
        <v>146</v>
      </c>
      <c r="D105">
        <v>401610</v>
      </c>
    </row>
    <row r="106" spans="1:4" x14ac:dyDescent="0.25">
      <c r="A106">
        <v>105</v>
      </c>
      <c r="B106" t="s">
        <v>7</v>
      </c>
      <c r="C106" t="s">
        <v>147</v>
      </c>
      <c r="D106">
        <v>196716</v>
      </c>
    </row>
    <row r="107" spans="1:4" x14ac:dyDescent="0.25">
      <c r="A107">
        <v>106</v>
      </c>
      <c r="B107" t="s">
        <v>7</v>
      </c>
      <c r="C107" t="s">
        <v>148</v>
      </c>
      <c r="D107">
        <v>437607</v>
      </c>
    </row>
    <row r="108" spans="1:4" x14ac:dyDescent="0.25">
      <c r="A108">
        <v>107</v>
      </c>
      <c r="B108" t="s">
        <v>7</v>
      </c>
      <c r="C108" t="s">
        <v>149</v>
      </c>
      <c r="D108">
        <v>137071</v>
      </c>
    </row>
    <row r="109" spans="1:4" x14ac:dyDescent="0.25">
      <c r="A109">
        <v>108</v>
      </c>
      <c r="B109" t="s">
        <v>8</v>
      </c>
      <c r="C109" t="s">
        <v>150</v>
      </c>
      <c r="D109">
        <v>1668848</v>
      </c>
    </row>
    <row r="110" spans="1:4" x14ac:dyDescent="0.25">
      <c r="A110">
        <v>109</v>
      </c>
      <c r="B110" t="s">
        <v>8</v>
      </c>
      <c r="C110" t="s">
        <v>151</v>
      </c>
      <c r="D110">
        <v>769348</v>
      </c>
    </row>
    <row r="111" spans="1:4" x14ac:dyDescent="0.25">
      <c r="A111">
        <v>110</v>
      </c>
      <c r="B111" t="s">
        <v>8</v>
      </c>
      <c r="C111" t="s">
        <v>152</v>
      </c>
      <c r="D111">
        <v>416549</v>
      </c>
    </row>
    <row r="112" spans="1:4" x14ac:dyDescent="0.25">
      <c r="A112">
        <v>111</v>
      </c>
      <c r="B112" t="s">
        <v>8</v>
      </c>
      <c r="C112" t="s">
        <v>153</v>
      </c>
      <c r="D112">
        <v>622206</v>
      </c>
    </row>
    <row r="113" spans="1:4" x14ac:dyDescent="0.25">
      <c r="A113">
        <v>112</v>
      </c>
      <c r="B113" t="s">
        <v>8</v>
      </c>
      <c r="C113" t="s">
        <v>154</v>
      </c>
      <c r="D113">
        <v>395570</v>
      </c>
    </row>
    <row r="114" spans="1:4" x14ac:dyDescent="0.25">
      <c r="A114">
        <v>113</v>
      </c>
      <c r="B114" t="s">
        <v>8</v>
      </c>
      <c r="C114" t="s">
        <v>155</v>
      </c>
      <c r="D114">
        <v>836914</v>
      </c>
    </row>
    <row r="115" spans="1:4" x14ac:dyDescent="0.25">
      <c r="A115">
        <v>114</v>
      </c>
      <c r="B115" t="s">
        <v>8</v>
      </c>
      <c r="C115" t="s">
        <v>156</v>
      </c>
      <c r="D115">
        <v>193196</v>
      </c>
    </row>
    <row r="116" spans="1:4" x14ac:dyDescent="0.25">
      <c r="A116">
        <v>115</v>
      </c>
      <c r="B116" t="s">
        <v>8</v>
      </c>
      <c r="C116" t="s">
        <v>157</v>
      </c>
      <c r="D116">
        <v>612900</v>
      </c>
    </row>
    <row r="117" spans="1:4" x14ac:dyDescent="0.25">
      <c r="A117">
        <v>116</v>
      </c>
      <c r="B117" t="s">
        <v>8</v>
      </c>
      <c r="C117" t="s">
        <v>158</v>
      </c>
      <c r="D117">
        <v>430071</v>
      </c>
    </row>
    <row r="118" spans="1:4" x14ac:dyDescent="0.25">
      <c r="A118">
        <v>117</v>
      </c>
      <c r="B118" t="s">
        <v>8</v>
      </c>
      <c r="C118" t="s">
        <v>159</v>
      </c>
      <c r="D118">
        <v>333622</v>
      </c>
    </row>
    <row r="119" spans="1:4" x14ac:dyDescent="0.25">
      <c r="A119">
        <v>118</v>
      </c>
      <c r="B119" t="s">
        <v>8</v>
      </c>
      <c r="C119" t="s">
        <v>160</v>
      </c>
      <c r="D119">
        <v>143844</v>
      </c>
    </row>
    <row r="120" spans="1:4" x14ac:dyDescent="0.25">
      <c r="A120">
        <v>119</v>
      </c>
      <c r="B120" t="s">
        <v>8</v>
      </c>
      <c r="C120" t="s">
        <v>161</v>
      </c>
      <c r="D120">
        <v>234166</v>
      </c>
    </row>
    <row r="121" spans="1:4" x14ac:dyDescent="0.25">
      <c r="A121">
        <v>120</v>
      </c>
      <c r="B121" t="s">
        <v>8</v>
      </c>
      <c r="C121" t="s">
        <v>162</v>
      </c>
      <c r="D121">
        <v>367603</v>
      </c>
    </row>
    <row r="122" spans="1:4" x14ac:dyDescent="0.25">
      <c r="A122">
        <v>121</v>
      </c>
      <c r="B122" t="s">
        <v>8</v>
      </c>
      <c r="C122" t="s">
        <v>163</v>
      </c>
      <c r="D122">
        <v>649853</v>
      </c>
    </row>
    <row r="123" spans="1:4" x14ac:dyDescent="0.25">
      <c r="A123">
        <v>122</v>
      </c>
      <c r="B123" t="s">
        <v>8</v>
      </c>
      <c r="C123" t="s">
        <v>164</v>
      </c>
      <c r="D123">
        <v>408981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65"/>
  <sheetViews>
    <sheetView workbookViewId="0">
      <selection activeCell="B1" sqref="B1"/>
    </sheetView>
  </sheetViews>
  <sheetFormatPr defaultRowHeight="15" x14ac:dyDescent="0.25"/>
  <cols>
    <col min="1" max="1" width="5" bestFit="1" customWidth="1"/>
    <col min="2" max="2" width="29.28515625" bestFit="1" customWidth="1"/>
    <col min="3" max="3" width="19.28515625" bestFit="1" customWidth="1"/>
    <col min="4" max="4" width="29.85546875" customWidth="1"/>
    <col min="5" max="5" width="6" bestFit="1" customWidth="1"/>
    <col min="6" max="6" width="6.42578125" bestFit="1" customWidth="1"/>
    <col min="7" max="7" width="9.7109375" bestFit="1" customWidth="1"/>
    <col min="8" max="8" width="18.140625" bestFit="1" customWidth="1"/>
  </cols>
  <sheetData>
    <row r="1" spans="1:8" x14ac:dyDescent="0.25">
      <c r="A1" t="s">
        <v>29</v>
      </c>
      <c r="B1" t="s">
        <v>167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40</v>
      </c>
    </row>
    <row r="2" spans="1:8" x14ac:dyDescent="0.25">
      <c r="A2">
        <v>1</v>
      </c>
      <c r="B2" t="str">
        <f>Table2[[#This Row],[Propinsi]]&amp;"_"&amp;Table2[[#This Row],[Dati 2]]&amp;"_"&amp;Table2[[#This Row],[Tanggal]]</f>
        <v>JAWA TIMUR_SURABAYA_44197</v>
      </c>
      <c r="C2" t="s">
        <v>6</v>
      </c>
      <c r="D2" t="s">
        <v>43</v>
      </c>
      <c r="E2">
        <v>1</v>
      </c>
      <c r="F2">
        <v>2021</v>
      </c>
      <c r="G2" s="1">
        <f>DATE(Table2[[#This Row],[Tahun]],Table2[[#This Row],[Bulan]],1)</f>
        <v>44197</v>
      </c>
      <c r="H2">
        <v>340</v>
      </c>
    </row>
    <row r="3" spans="1:8" x14ac:dyDescent="0.25">
      <c r="A3">
        <v>2</v>
      </c>
      <c r="B3" t="str">
        <f>Table2[[#This Row],[Propinsi]]&amp;"_"&amp;Table2[[#This Row],[Dati 2]]&amp;"_"&amp;Table2[[#This Row],[Tanggal]]</f>
        <v>JAWA TIMUR_SURABAYA_44228</v>
      </c>
      <c r="C3" t="s">
        <v>6</v>
      </c>
      <c r="D3" t="s">
        <v>43</v>
      </c>
      <c r="E3">
        <v>2</v>
      </c>
      <c r="F3">
        <v>2021</v>
      </c>
      <c r="G3" s="1">
        <f>DATE(Table2[[#This Row],[Tahun]],Table2[[#This Row],[Bulan]],1)</f>
        <v>44228</v>
      </c>
      <c r="H3">
        <v>341</v>
      </c>
    </row>
    <row r="4" spans="1:8" x14ac:dyDescent="0.25">
      <c r="A4">
        <v>3</v>
      </c>
      <c r="B4" t="str">
        <f>Table2[[#This Row],[Propinsi]]&amp;"_"&amp;Table2[[#This Row],[Dati 2]]&amp;"_"&amp;Table2[[#This Row],[Tanggal]]</f>
        <v>JAWA TIMUR_SURABAYA_44256</v>
      </c>
      <c r="C4" t="s">
        <v>6</v>
      </c>
      <c r="D4" t="s">
        <v>43</v>
      </c>
      <c r="E4">
        <v>3</v>
      </c>
      <c r="F4">
        <v>2021</v>
      </c>
      <c r="G4" s="1">
        <f>DATE(Table2[[#This Row],[Tahun]],Table2[[#This Row],[Bulan]],1)</f>
        <v>44256</v>
      </c>
      <c r="H4">
        <v>344</v>
      </c>
    </row>
    <row r="5" spans="1:8" x14ac:dyDescent="0.25">
      <c r="A5">
        <v>4</v>
      </c>
      <c r="B5" t="str">
        <f>Table2[[#This Row],[Propinsi]]&amp;"_"&amp;Table2[[#This Row],[Dati 2]]&amp;"_"&amp;Table2[[#This Row],[Tanggal]]</f>
        <v>JAWA TIMUR_SURABAYA_44287</v>
      </c>
      <c r="C5" t="s">
        <v>6</v>
      </c>
      <c r="D5" t="s">
        <v>43</v>
      </c>
      <c r="E5">
        <v>4</v>
      </c>
      <c r="F5">
        <v>2021</v>
      </c>
      <c r="G5" s="1">
        <f>DATE(Table2[[#This Row],[Tahun]],Table2[[#This Row],[Bulan]],1)</f>
        <v>44287</v>
      </c>
      <c r="H5">
        <v>346</v>
      </c>
    </row>
    <row r="6" spans="1:8" x14ac:dyDescent="0.25">
      <c r="A6">
        <v>5</v>
      </c>
      <c r="B6" t="str">
        <f>Table2[[#This Row],[Propinsi]]&amp;"_"&amp;Table2[[#This Row],[Dati 2]]&amp;"_"&amp;Table2[[#This Row],[Tanggal]]</f>
        <v>JAWA TIMUR_SURABAYA_44317</v>
      </c>
      <c r="C6" t="s">
        <v>6</v>
      </c>
      <c r="D6" t="s">
        <v>43</v>
      </c>
      <c r="E6">
        <v>5</v>
      </c>
      <c r="F6">
        <v>2021</v>
      </c>
      <c r="G6" s="1">
        <f>DATE(Table2[[#This Row],[Tahun]],Table2[[#This Row],[Bulan]],1)</f>
        <v>44317</v>
      </c>
      <c r="H6">
        <v>350</v>
      </c>
    </row>
    <row r="7" spans="1:8" x14ac:dyDescent="0.25">
      <c r="A7">
        <v>6</v>
      </c>
      <c r="B7" t="str">
        <f>Table2[[#This Row],[Propinsi]]&amp;"_"&amp;Table2[[#This Row],[Dati 2]]&amp;"_"&amp;Table2[[#This Row],[Tanggal]]</f>
        <v>JAWA TIMUR_SURABAYA_44348</v>
      </c>
      <c r="C7" t="s">
        <v>6</v>
      </c>
      <c r="D7" t="s">
        <v>43</v>
      </c>
      <c r="E7">
        <v>6</v>
      </c>
      <c r="F7">
        <v>2021</v>
      </c>
      <c r="G7" s="1">
        <f>DATE(Table2[[#This Row],[Tahun]],Table2[[#This Row],[Bulan]],1)</f>
        <v>44348</v>
      </c>
      <c r="H7">
        <v>349</v>
      </c>
    </row>
    <row r="8" spans="1:8" x14ac:dyDescent="0.25">
      <c r="A8">
        <v>7</v>
      </c>
      <c r="B8" t="str">
        <f>Table2[[#This Row],[Propinsi]]&amp;"_"&amp;Table2[[#This Row],[Dati 2]]&amp;"_"&amp;Table2[[#This Row],[Tanggal]]</f>
        <v>JAWA TIMUR_SURABAYA_44378</v>
      </c>
      <c r="C8" t="s">
        <v>6</v>
      </c>
      <c r="D8" t="s">
        <v>43</v>
      </c>
      <c r="E8">
        <v>7</v>
      </c>
      <c r="F8">
        <v>2021</v>
      </c>
      <c r="G8" s="1">
        <f>DATE(Table2[[#This Row],[Tahun]],Table2[[#This Row],[Bulan]],1)</f>
        <v>44378</v>
      </c>
      <c r="H8">
        <v>349</v>
      </c>
    </row>
    <row r="9" spans="1:8" x14ac:dyDescent="0.25">
      <c r="A9">
        <v>8</v>
      </c>
      <c r="B9" t="str">
        <f>Table2[[#This Row],[Propinsi]]&amp;"_"&amp;Table2[[#This Row],[Dati 2]]&amp;"_"&amp;Table2[[#This Row],[Tanggal]]</f>
        <v>JAWA TIMUR_SURABAYA_44409</v>
      </c>
      <c r="C9" t="s">
        <v>6</v>
      </c>
      <c r="D9" t="s">
        <v>43</v>
      </c>
      <c r="E9">
        <v>8</v>
      </c>
      <c r="F9">
        <v>2021</v>
      </c>
      <c r="G9" s="1">
        <f>DATE(Table2[[#This Row],[Tahun]],Table2[[#This Row],[Bulan]],1)</f>
        <v>44409</v>
      </c>
      <c r="H9">
        <v>349</v>
      </c>
    </row>
    <row r="10" spans="1:8" x14ac:dyDescent="0.25">
      <c r="A10">
        <v>9</v>
      </c>
      <c r="B10" t="str">
        <f>Table2[[#This Row],[Propinsi]]&amp;"_"&amp;Table2[[#This Row],[Dati 2]]&amp;"_"&amp;Table2[[#This Row],[Tanggal]]</f>
        <v>JAWA TIMUR_SURABAYA_44440</v>
      </c>
      <c r="C10" t="s">
        <v>6</v>
      </c>
      <c r="D10" t="s">
        <v>43</v>
      </c>
      <c r="E10">
        <v>9</v>
      </c>
      <c r="F10">
        <v>2021</v>
      </c>
      <c r="G10" s="1">
        <f>DATE(Table2[[#This Row],[Tahun]],Table2[[#This Row],[Bulan]],1)</f>
        <v>44440</v>
      </c>
      <c r="H10">
        <v>353</v>
      </c>
    </row>
    <row r="11" spans="1:8" x14ac:dyDescent="0.25">
      <c r="A11">
        <v>10</v>
      </c>
      <c r="B11" t="str">
        <f>Table2[[#This Row],[Propinsi]]&amp;"_"&amp;Table2[[#This Row],[Dati 2]]&amp;"_"&amp;Table2[[#This Row],[Tanggal]]</f>
        <v>JAWA TIMUR_SURABAYA_44470</v>
      </c>
      <c r="C11" t="s">
        <v>6</v>
      </c>
      <c r="D11" t="s">
        <v>43</v>
      </c>
      <c r="E11">
        <v>10</v>
      </c>
      <c r="F11">
        <v>2021</v>
      </c>
      <c r="G11" s="1">
        <f>DATE(Table2[[#This Row],[Tahun]],Table2[[#This Row],[Bulan]],1)</f>
        <v>44470</v>
      </c>
      <c r="H11">
        <v>356</v>
      </c>
    </row>
    <row r="12" spans="1:8" x14ac:dyDescent="0.25">
      <c r="A12">
        <v>11</v>
      </c>
      <c r="B12" t="str">
        <f>Table2[[#This Row],[Propinsi]]&amp;"_"&amp;Table2[[#This Row],[Dati 2]]&amp;"_"&amp;Table2[[#This Row],[Tanggal]]</f>
        <v>JAWA TIMUR_SURABAYA_44501</v>
      </c>
      <c r="C12" t="s">
        <v>6</v>
      </c>
      <c r="D12" t="s">
        <v>43</v>
      </c>
      <c r="E12">
        <v>11</v>
      </c>
      <c r="F12">
        <v>2021</v>
      </c>
      <c r="G12" s="1">
        <f>DATE(Table2[[#This Row],[Tahun]],Table2[[#This Row],[Bulan]],1)</f>
        <v>44501</v>
      </c>
      <c r="H12">
        <v>357</v>
      </c>
    </row>
    <row r="13" spans="1:8" x14ac:dyDescent="0.25">
      <c r="A13">
        <v>12</v>
      </c>
      <c r="B13" t="str">
        <f>Table2[[#This Row],[Propinsi]]&amp;"_"&amp;Table2[[#This Row],[Dati 2]]&amp;"_"&amp;Table2[[#This Row],[Tanggal]]</f>
        <v>JAWA TIMUR_SURABAYA_44531</v>
      </c>
      <c r="C13" t="s">
        <v>6</v>
      </c>
      <c r="D13" t="s">
        <v>43</v>
      </c>
      <c r="E13">
        <v>12</v>
      </c>
      <c r="F13">
        <v>2021</v>
      </c>
      <c r="G13" s="1">
        <f>DATE(Table2[[#This Row],[Tahun]],Table2[[#This Row],[Bulan]],1)</f>
        <v>44531</v>
      </c>
      <c r="H13">
        <v>362</v>
      </c>
    </row>
    <row r="14" spans="1:8" x14ac:dyDescent="0.25">
      <c r="A14">
        <v>13</v>
      </c>
      <c r="B14" t="str">
        <f>Table2[[#This Row],[Propinsi]]&amp;"_"&amp;Table2[[#This Row],[Dati 2]]&amp;"_"&amp;Table2[[#This Row],[Tanggal]]</f>
        <v>JAWA TIMUR_GRESIK_44197</v>
      </c>
      <c r="C14" t="s">
        <v>6</v>
      </c>
      <c r="D14" t="s">
        <v>44</v>
      </c>
      <c r="E14">
        <v>1</v>
      </c>
      <c r="F14">
        <v>2021</v>
      </c>
      <c r="G14" s="1">
        <f>DATE(Table2[[#This Row],[Tahun]],Table2[[#This Row],[Bulan]],1)</f>
        <v>44197</v>
      </c>
      <c r="H14">
        <v>142</v>
      </c>
    </row>
    <row r="15" spans="1:8" x14ac:dyDescent="0.25">
      <c r="A15">
        <v>14</v>
      </c>
      <c r="B15" t="str">
        <f>Table2[[#This Row],[Propinsi]]&amp;"_"&amp;Table2[[#This Row],[Dati 2]]&amp;"_"&amp;Table2[[#This Row],[Tanggal]]</f>
        <v>JAWA TIMUR_GRESIK_44228</v>
      </c>
      <c r="C15" t="s">
        <v>6</v>
      </c>
      <c r="D15" t="s">
        <v>44</v>
      </c>
      <c r="E15">
        <v>2</v>
      </c>
      <c r="F15">
        <v>2021</v>
      </c>
      <c r="G15" s="1">
        <f>DATE(Table2[[#This Row],[Tahun]],Table2[[#This Row],[Bulan]],1)</f>
        <v>44228</v>
      </c>
      <c r="H15">
        <v>142</v>
      </c>
    </row>
    <row r="16" spans="1:8" x14ac:dyDescent="0.25">
      <c r="A16">
        <v>15</v>
      </c>
      <c r="B16" t="str">
        <f>Table2[[#This Row],[Propinsi]]&amp;"_"&amp;Table2[[#This Row],[Dati 2]]&amp;"_"&amp;Table2[[#This Row],[Tanggal]]</f>
        <v>JAWA TIMUR_GRESIK_44256</v>
      </c>
      <c r="C16" t="s">
        <v>6</v>
      </c>
      <c r="D16" t="s">
        <v>44</v>
      </c>
      <c r="E16">
        <v>3</v>
      </c>
      <c r="F16">
        <v>2021</v>
      </c>
      <c r="G16" s="1">
        <f>DATE(Table2[[#This Row],[Tahun]],Table2[[#This Row],[Bulan]],1)</f>
        <v>44256</v>
      </c>
      <c r="H16">
        <v>141</v>
      </c>
    </row>
    <row r="17" spans="1:8" x14ac:dyDescent="0.25">
      <c r="A17">
        <v>16</v>
      </c>
      <c r="B17" t="str">
        <f>Table2[[#This Row],[Propinsi]]&amp;"_"&amp;Table2[[#This Row],[Dati 2]]&amp;"_"&amp;Table2[[#This Row],[Tanggal]]</f>
        <v>JAWA TIMUR_GRESIK_44287</v>
      </c>
      <c r="C17" t="s">
        <v>6</v>
      </c>
      <c r="D17" t="s">
        <v>44</v>
      </c>
      <c r="E17">
        <v>4</v>
      </c>
      <c r="F17">
        <v>2021</v>
      </c>
      <c r="G17" s="1">
        <f>DATE(Table2[[#This Row],[Tahun]],Table2[[#This Row],[Bulan]],1)</f>
        <v>44287</v>
      </c>
      <c r="H17">
        <v>143</v>
      </c>
    </row>
    <row r="18" spans="1:8" x14ac:dyDescent="0.25">
      <c r="A18">
        <v>17</v>
      </c>
      <c r="B18" t="str">
        <f>Table2[[#This Row],[Propinsi]]&amp;"_"&amp;Table2[[#This Row],[Dati 2]]&amp;"_"&amp;Table2[[#This Row],[Tanggal]]</f>
        <v>JAWA TIMUR_GRESIK_44317</v>
      </c>
      <c r="C18" t="s">
        <v>6</v>
      </c>
      <c r="D18" t="s">
        <v>44</v>
      </c>
      <c r="E18">
        <v>5</v>
      </c>
      <c r="F18">
        <v>2021</v>
      </c>
      <c r="G18" s="1">
        <f>DATE(Table2[[#This Row],[Tahun]],Table2[[#This Row],[Bulan]],1)</f>
        <v>44317</v>
      </c>
      <c r="H18">
        <v>148</v>
      </c>
    </row>
    <row r="19" spans="1:8" x14ac:dyDescent="0.25">
      <c r="A19">
        <v>18</v>
      </c>
      <c r="B19" t="str">
        <f>Table2[[#This Row],[Propinsi]]&amp;"_"&amp;Table2[[#This Row],[Dati 2]]&amp;"_"&amp;Table2[[#This Row],[Tanggal]]</f>
        <v>JAWA TIMUR_GRESIK_44348</v>
      </c>
      <c r="C19" t="s">
        <v>6</v>
      </c>
      <c r="D19" t="s">
        <v>44</v>
      </c>
      <c r="E19">
        <v>6</v>
      </c>
      <c r="F19">
        <v>2021</v>
      </c>
      <c r="G19" s="1">
        <f>DATE(Table2[[#This Row],[Tahun]],Table2[[#This Row],[Bulan]],1)</f>
        <v>44348</v>
      </c>
      <c r="H19">
        <v>152</v>
      </c>
    </row>
    <row r="20" spans="1:8" x14ac:dyDescent="0.25">
      <c r="A20">
        <v>19</v>
      </c>
      <c r="B20" t="str">
        <f>Table2[[#This Row],[Propinsi]]&amp;"_"&amp;Table2[[#This Row],[Dati 2]]&amp;"_"&amp;Table2[[#This Row],[Tanggal]]</f>
        <v>JAWA TIMUR_GRESIK_44378</v>
      </c>
      <c r="C20" t="s">
        <v>6</v>
      </c>
      <c r="D20" t="s">
        <v>44</v>
      </c>
      <c r="E20">
        <v>7</v>
      </c>
      <c r="F20">
        <v>2021</v>
      </c>
      <c r="G20" s="1">
        <f>DATE(Table2[[#This Row],[Tahun]],Table2[[#This Row],[Bulan]],1)</f>
        <v>44378</v>
      </c>
      <c r="H20">
        <v>154</v>
      </c>
    </row>
    <row r="21" spans="1:8" x14ac:dyDescent="0.25">
      <c r="A21">
        <v>20</v>
      </c>
      <c r="B21" t="str">
        <f>Table2[[#This Row],[Propinsi]]&amp;"_"&amp;Table2[[#This Row],[Dati 2]]&amp;"_"&amp;Table2[[#This Row],[Tanggal]]</f>
        <v>JAWA TIMUR_GRESIK_44409</v>
      </c>
      <c r="C21" t="s">
        <v>6</v>
      </c>
      <c r="D21" t="s">
        <v>44</v>
      </c>
      <c r="E21">
        <v>8</v>
      </c>
      <c r="F21">
        <v>2021</v>
      </c>
      <c r="G21" s="1">
        <f>DATE(Table2[[#This Row],[Tahun]],Table2[[#This Row],[Bulan]],1)</f>
        <v>44409</v>
      </c>
      <c r="H21">
        <v>157</v>
      </c>
    </row>
    <row r="22" spans="1:8" x14ac:dyDescent="0.25">
      <c r="A22">
        <v>21</v>
      </c>
      <c r="B22" t="str">
        <f>Table2[[#This Row],[Propinsi]]&amp;"_"&amp;Table2[[#This Row],[Dati 2]]&amp;"_"&amp;Table2[[#This Row],[Tanggal]]</f>
        <v>JAWA TIMUR_GRESIK_44440</v>
      </c>
      <c r="C22" t="s">
        <v>6</v>
      </c>
      <c r="D22" t="s">
        <v>44</v>
      </c>
      <c r="E22">
        <v>9</v>
      </c>
      <c r="F22">
        <v>2021</v>
      </c>
      <c r="G22" s="1">
        <f>DATE(Table2[[#This Row],[Tahun]],Table2[[#This Row],[Bulan]],1)</f>
        <v>44440</v>
      </c>
      <c r="H22">
        <v>163</v>
      </c>
    </row>
    <row r="23" spans="1:8" x14ac:dyDescent="0.25">
      <c r="A23">
        <v>22</v>
      </c>
      <c r="B23" t="str">
        <f>Table2[[#This Row],[Propinsi]]&amp;"_"&amp;Table2[[#This Row],[Dati 2]]&amp;"_"&amp;Table2[[#This Row],[Tanggal]]</f>
        <v>JAWA TIMUR_GRESIK_44470</v>
      </c>
      <c r="C23" t="s">
        <v>6</v>
      </c>
      <c r="D23" t="s">
        <v>44</v>
      </c>
      <c r="E23">
        <v>10</v>
      </c>
      <c r="F23">
        <v>2021</v>
      </c>
      <c r="G23" s="1">
        <f>DATE(Table2[[#This Row],[Tahun]],Table2[[#This Row],[Bulan]],1)</f>
        <v>44470</v>
      </c>
      <c r="H23">
        <v>167</v>
      </c>
    </row>
    <row r="24" spans="1:8" x14ac:dyDescent="0.25">
      <c r="A24">
        <v>23</v>
      </c>
      <c r="B24" t="str">
        <f>Table2[[#This Row],[Propinsi]]&amp;"_"&amp;Table2[[#This Row],[Dati 2]]&amp;"_"&amp;Table2[[#This Row],[Tanggal]]</f>
        <v>JAWA TIMUR_GRESIK_44501</v>
      </c>
      <c r="C24" t="s">
        <v>6</v>
      </c>
      <c r="D24" t="s">
        <v>44</v>
      </c>
      <c r="E24">
        <v>11</v>
      </c>
      <c r="F24">
        <v>2021</v>
      </c>
      <c r="G24" s="1">
        <f>DATE(Table2[[#This Row],[Tahun]],Table2[[#This Row],[Bulan]],1)</f>
        <v>44501</v>
      </c>
      <c r="H24">
        <v>168</v>
      </c>
    </row>
    <row r="25" spans="1:8" x14ac:dyDescent="0.25">
      <c r="A25">
        <v>24</v>
      </c>
      <c r="B25" t="str">
        <f>Table2[[#This Row],[Propinsi]]&amp;"_"&amp;Table2[[#This Row],[Dati 2]]&amp;"_"&amp;Table2[[#This Row],[Tanggal]]</f>
        <v>JAWA TIMUR_GRESIK_44531</v>
      </c>
      <c r="C25" t="s">
        <v>6</v>
      </c>
      <c r="D25" t="s">
        <v>44</v>
      </c>
      <c r="E25">
        <v>12</v>
      </c>
      <c r="F25">
        <v>2021</v>
      </c>
      <c r="G25" s="1">
        <f>DATE(Table2[[#This Row],[Tahun]],Table2[[#This Row],[Bulan]],1)</f>
        <v>44531</v>
      </c>
      <c r="H25">
        <v>168</v>
      </c>
    </row>
    <row r="26" spans="1:8" x14ac:dyDescent="0.25">
      <c r="A26">
        <v>25</v>
      </c>
      <c r="B26" t="str">
        <f>Table2[[#This Row],[Propinsi]]&amp;"_"&amp;Table2[[#This Row],[Dati 2]]&amp;"_"&amp;Table2[[#This Row],[Tanggal]]</f>
        <v>JAWA TIMUR_SIDOARJO_44197</v>
      </c>
      <c r="C26" t="s">
        <v>6</v>
      </c>
      <c r="D26" t="s">
        <v>45</v>
      </c>
      <c r="E26">
        <v>1</v>
      </c>
      <c r="F26">
        <v>2021</v>
      </c>
      <c r="G26" s="1">
        <f>DATE(Table2[[#This Row],[Tahun]],Table2[[#This Row],[Bulan]],1)</f>
        <v>44197</v>
      </c>
      <c r="H26">
        <v>220</v>
      </c>
    </row>
    <row r="27" spans="1:8" x14ac:dyDescent="0.25">
      <c r="A27">
        <v>26</v>
      </c>
      <c r="B27" t="str">
        <f>Table2[[#This Row],[Propinsi]]&amp;"_"&amp;Table2[[#This Row],[Dati 2]]&amp;"_"&amp;Table2[[#This Row],[Tanggal]]</f>
        <v>JAWA TIMUR_SIDOARJO_44228</v>
      </c>
      <c r="C27" t="s">
        <v>6</v>
      </c>
      <c r="D27" t="s">
        <v>45</v>
      </c>
      <c r="E27">
        <v>2</v>
      </c>
      <c r="F27">
        <v>2021</v>
      </c>
      <c r="G27" s="1">
        <f>DATE(Table2[[#This Row],[Tahun]],Table2[[#This Row],[Bulan]],1)</f>
        <v>44228</v>
      </c>
      <c r="H27">
        <v>222</v>
      </c>
    </row>
    <row r="28" spans="1:8" x14ac:dyDescent="0.25">
      <c r="A28">
        <v>27</v>
      </c>
      <c r="B28" t="str">
        <f>Table2[[#This Row],[Propinsi]]&amp;"_"&amp;Table2[[#This Row],[Dati 2]]&amp;"_"&amp;Table2[[#This Row],[Tanggal]]</f>
        <v>JAWA TIMUR_SIDOARJO_44256</v>
      </c>
      <c r="C28" t="s">
        <v>6</v>
      </c>
      <c r="D28" t="s">
        <v>45</v>
      </c>
      <c r="E28">
        <v>3</v>
      </c>
      <c r="F28">
        <v>2021</v>
      </c>
      <c r="G28" s="1">
        <f>DATE(Table2[[#This Row],[Tahun]],Table2[[#This Row],[Bulan]],1)</f>
        <v>44256</v>
      </c>
      <c r="H28">
        <v>224</v>
      </c>
    </row>
    <row r="29" spans="1:8" x14ac:dyDescent="0.25">
      <c r="A29">
        <v>28</v>
      </c>
      <c r="B29" t="str">
        <f>Table2[[#This Row],[Propinsi]]&amp;"_"&amp;Table2[[#This Row],[Dati 2]]&amp;"_"&amp;Table2[[#This Row],[Tanggal]]</f>
        <v>JAWA TIMUR_SIDOARJO_44287</v>
      </c>
      <c r="C29" t="s">
        <v>6</v>
      </c>
      <c r="D29" t="s">
        <v>45</v>
      </c>
      <c r="E29">
        <v>4</v>
      </c>
      <c r="F29">
        <v>2021</v>
      </c>
      <c r="G29" s="1">
        <f>DATE(Table2[[#This Row],[Tahun]],Table2[[#This Row],[Bulan]],1)</f>
        <v>44287</v>
      </c>
      <c r="H29">
        <v>228</v>
      </c>
    </row>
    <row r="30" spans="1:8" x14ac:dyDescent="0.25">
      <c r="A30">
        <v>29</v>
      </c>
      <c r="B30" t="str">
        <f>Table2[[#This Row],[Propinsi]]&amp;"_"&amp;Table2[[#This Row],[Dati 2]]&amp;"_"&amp;Table2[[#This Row],[Tanggal]]</f>
        <v>JAWA TIMUR_SIDOARJO_44317</v>
      </c>
      <c r="C30" t="s">
        <v>6</v>
      </c>
      <c r="D30" t="s">
        <v>45</v>
      </c>
      <c r="E30">
        <v>5</v>
      </c>
      <c r="F30">
        <v>2021</v>
      </c>
      <c r="G30" s="1">
        <f>DATE(Table2[[#This Row],[Tahun]],Table2[[#This Row],[Bulan]],1)</f>
        <v>44317</v>
      </c>
      <c r="H30">
        <v>235</v>
      </c>
    </row>
    <row r="31" spans="1:8" x14ac:dyDescent="0.25">
      <c r="A31">
        <v>30</v>
      </c>
      <c r="B31" t="str">
        <f>Table2[[#This Row],[Propinsi]]&amp;"_"&amp;Table2[[#This Row],[Dati 2]]&amp;"_"&amp;Table2[[#This Row],[Tanggal]]</f>
        <v>JAWA TIMUR_SIDOARJO_44348</v>
      </c>
      <c r="C31" t="s">
        <v>6</v>
      </c>
      <c r="D31" t="s">
        <v>45</v>
      </c>
      <c r="E31">
        <v>6</v>
      </c>
      <c r="F31">
        <v>2021</v>
      </c>
      <c r="G31" s="1">
        <f>DATE(Table2[[#This Row],[Tahun]],Table2[[#This Row],[Bulan]],1)</f>
        <v>44348</v>
      </c>
      <c r="H31">
        <v>241</v>
      </c>
    </row>
    <row r="32" spans="1:8" x14ac:dyDescent="0.25">
      <c r="A32">
        <v>31</v>
      </c>
      <c r="B32" t="str">
        <f>Table2[[#This Row],[Propinsi]]&amp;"_"&amp;Table2[[#This Row],[Dati 2]]&amp;"_"&amp;Table2[[#This Row],[Tanggal]]</f>
        <v>JAWA TIMUR_SIDOARJO_44378</v>
      </c>
      <c r="C32" t="s">
        <v>6</v>
      </c>
      <c r="D32" t="s">
        <v>45</v>
      </c>
      <c r="E32">
        <v>7</v>
      </c>
      <c r="F32">
        <v>2021</v>
      </c>
      <c r="G32" s="1">
        <f>DATE(Table2[[#This Row],[Tahun]],Table2[[#This Row],[Bulan]],1)</f>
        <v>44378</v>
      </c>
      <c r="H32">
        <v>242</v>
      </c>
    </row>
    <row r="33" spans="1:8" x14ac:dyDescent="0.25">
      <c r="A33">
        <v>32</v>
      </c>
      <c r="B33" t="str">
        <f>Table2[[#This Row],[Propinsi]]&amp;"_"&amp;Table2[[#This Row],[Dati 2]]&amp;"_"&amp;Table2[[#This Row],[Tanggal]]</f>
        <v>JAWA TIMUR_SIDOARJO_44409</v>
      </c>
      <c r="C33" t="s">
        <v>6</v>
      </c>
      <c r="D33" t="s">
        <v>45</v>
      </c>
      <c r="E33">
        <v>8</v>
      </c>
      <c r="F33">
        <v>2021</v>
      </c>
      <c r="G33" s="1">
        <f>DATE(Table2[[#This Row],[Tahun]],Table2[[#This Row],[Bulan]],1)</f>
        <v>44409</v>
      </c>
      <c r="H33">
        <v>248</v>
      </c>
    </row>
    <row r="34" spans="1:8" x14ac:dyDescent="0.25">
      <c r="A34">
        <v>33</v>
      </c>
      <c r="B34" t="str">
        <f>Table2[[#This Row],[Propinsi]]&amp;"_"&amp;Table2[[#This Row],[Dati 2]]&amp;"_"&amp;Table2[[#This Row],[Tanggal]]</f>
        <v>JAWA TIMUR_SIDOARJO_44440</v>
      </c>
      <c r="C34" t="s">
        <v>6</v>
      </c>
      <c r="D34" t="s">
        <v>45</v>
      </c>
      <c r="E34">
        <v>9</v>
      </c>
      <c r="F34">
        <v>2021</v>
      </c>
      <c r="G34" s="1">
        <f>DATE(Table2[[#This Row],[Tahun]],Table2[[#This Row],[Bulan]],1)</f>
        <v>44440</v>
      </c>
      <c r="H34">
        <v>246</v>
      </c>
    </row>
    <row r="35" spans="1:8" x14ac:dyDescent="0.25">
      <c r="A35">
        <v>34</v>
      </c>
      <c r="B35" t="str">
        <f>Table2[[#This Row],[Propinsi]]&amp;"_"&amp;Table2[[#This Row],[Dati 2]]&amp;"_"&amp;Table2[[#This Row],[Tanggal]]</f>
        <v>JAWA TIMUR_SIDOARJO_44470</v>
      </c>
      <c r="C35" t="s">
        <v>6</v>
      </c>
      <c r="D35" t="s">
        <v>45</v>
      </c>
      <c r="E35">
        <v>10</v>
      </c>
      <c r="F35">
        <v>2021</v>
      </c>
      <c r="G35" s="1">
        <f>DATE(Table2[[#This Row],[Tahun]],Table2[[#This Row],[Bulan]],1)</f>
        <v>44470</v>
      </c>
      <c r="H35">
        <v>249</v>
      </c>
    </row>
    <row r="36" spans="1:8" x14ac:dyDescent="0.25">
      <c r="A36">
        <v>35</v>
      </c>
      <c r="B36" t="str">
        <f>Table2[[#This Row],[Propinsi]]&amp;"_"&amp;Table2[[#This Row],[Dati 2]]&amp;"_"&amp;Table2[[#This Row],[Tanggal]]</f>
        <v>JAWA TIMUR_SIDOARJO_44501</v>
      </c>
      <c r="C36" t="s">
        <v>6</v>
      </c>
      <c r="D36" t="s">
        <v>45</v>
      </c>
      <c r="E36">
        <v>11</v>
      </c>
      <c r="F36">
        <v>2021</v>
      </c>
      <c r="G36" s="1">
        <f>DATE(Table2[[#This Row],[Tahun]],Table2[[#This Row],[Bulan]],1)</f>
        <v>44501</v>
      </c>
      <c r="H36">
        <v>252</v>
      </c>
    </row>
    <row r="37" spans="1:8" x14ac:dyDescent="0.25">
      <c r="A37">
        <v>36</v>
      </c>
      <c r="B37" t="str">
        <f>Table2[[#This Row],[Propinsi]]&amp;"_"&amp;Table2[[#This Row],[Dati 2]]&amp;"_"&amp;Table2[[#This Row],[Tanggal]]</f>
        <v>JAWA TIMUR_SIDOARJO_44531</v>
      </c>
      <c r="C37" t="s">
        <v>6</v>
      </c>
      <c r="D37" t="s">
        <v>45</v>
      </c>
      <c r="E37">
        <v>12</v>
      </c>
      <c r="F37">
        <v>2021</v>
      </c>
      <c r="G37" s="1">
        <f>DATE(Table2[[#This Row],[Tahun]],Table2[[#This Row],[Bulan]],1)</f>
        <v>44531</v>
      </c>
      <c r="H37">
        <v>252</v>
      </c>
    </row>
    <row r="38" spans="1:8" x14ac:dyDescent="0.25">
      <c r="A38">
        <v>37</v>
      </c>
      <c r="B38" t="str">
        <f>Table2[[#This Row],[Propinsi]]&amp;"_"&amp;Table2[[#This Row],[Dati 2]]&amp;"_"&amp;Table2[[#This Row],[Tanggal]]</f>
        <v>JAWA TIMUR_MOJOKERTO_44197</v>
      </c>
      <c r="C38" t="s">
        <v>6</v>
      </c>
      <c r="D38" t="s">
        <v>46</v>
      </c>
      <c r="E38">
        <v>1</v>
      </c>
      <c r="F38">
        <v>2021</v>
      </c>
      <c r="G38" s="1">
        <f>DATE(Table2[[#This Row],[Tahun]],Table2[[#This Row],[Bulan]],1)</f>
        <v>44197</v>
      </c>
      <c r="H38">
        <v>143</v>
      </c>
    </row>
    <row r="39" spans="1:8" x14ac:dyDescent="0.25">
      <c r="A39">
        <v>38</v>
      </c>
      <c r="B39" t="str">
        <f>Table2[[#This Row],[Propinsi]]&amp;"_"&amp;Table2[[#This Row],[Dati 2]]&amp;"_"&amp;Table2[[#This Row],[Tanggal]]</f>
        <v>JAWA TIMUR_MOJOKERTO_44228</v>
      </c>
      <c r="C39" t="s">
        <v>6</v>
      </c>
      <c r="D39" t="s">
        <v>46</v>
      </c>
      <c r="E39">
        <v>2</v>
      </c>
      <c r="F39">
        <v>2021</v>
      </c>
      <c r="G39" s="1">
        <f>DATE(Table2[[#This Row],[Tahun]],Table2[[#This Row],[Bulan]],1)</f>
        <v>44228</v>
      </c>
      <c r="H39">
        <v>141</v>
      </c>
    </row>
    <row r="40" spans="1:8" x14ac:dyDescent="0.25">
      <c r="A40">
        <v>39</v>
      </c>
      <c r="B40" t="str">
        <f>Table2[[#This Row],[Propinsi]]&amp;"_"&amp;Table2[[#This Row],[Dati 2]]&amp;"_"&amp;Table2[[#This Row],[Tanggal]]</f>
        <v>JAWA TIMUR_MOJOKERTO_44256</v>
      </c>
      <c r="C40" t="s">
        <v>6</v>
      </c>
      <c r="D40" t="s">
        <v>46</v>
      </c>
      <c r="E40">
        <v>3</v>
      </c>
      <c r="F40">
        <v>2021</v>
      </c>
      <c r="G40" s="1">
        <f>DATE(Table2[[#This Row],[Tahun]],Table2[[#This Row],[Bulan]],1)</f>
        <v>44256</v>
      </c>
      <c r="H40">
        <v>141</v>
      </c>
    </row>
    <row r="41" spans="1:8" x14ac:dyDescent="0.25">
      <c r="A41">
        <v>40</v>
      </c>
      <c r="B41" t="str">
        <f>Table2[[#This Row],[Propinsi]]&amp;"_"&amp;Table2[[#This Row],[Dati 2]]&amp;"_"&amp;Table2[[#This Row],[Tanggal]]</f>
        <v>JAWA TIMUR_MOJOKERTO_44287</v>
      </c>
      <c r="C41" t="s">
        <v>6</v>
      </c>
      <c r="D41" t="s">
        <v>46</v>
      </c>
      <c r="E41">
        <v>4</v>
      </c>
      <c r="F41">
        <v>2021</v>
      </c>
      <c r="G41" s="1">
        <f>DATE(Table2[[#This Row],[Tahun]],Table2[[#This Row],[Bulan]],1)</f>
        <v>44287</v>
      </c>
      <c r="H41">
        <v>140</v>
      </c>
    </row>
    <row r="42" spans="1:8" x14ac:dyDescent="0.25">
      <c r="A42">
        <v>41</v>
      </c>
      <c r="B42" t="str">
        <f>Table2[[#This Row],[Propinsi]]&amp;"_"&amp;Table2[[#This Row],[Dati 2]]&amp;"_"&amp;Table2[[#This Row],[Tanggal]]</f>
        <v>JAWA TIMUR_MOJOKERTO_44317</v>
      </c>
      <c r="C42" t="s">
        <v>6</v>
      </c>
      <c r="D42" t="s">
        <v>46</v>
      </c>
      <c r="E42">
        <v>5</v>
      </c>
      <c r="F42">
        <v>2021</v>
      </c>
      <c r="G42" s="1">
        <f>DATE(Table2[[#This Row],[Tahun]],Table2[[#This Row],[Bulan]],1)</f>
        <v>44317</v>
      </c>
      <c r="H42">
        <v>143</v>
      </c>
    </row>
    <row r="43" spans="1:8" x14ac:dyDescent="0.25">
      <c r="A43">
        <v>42</v>
      </c>
      <c r="B43" t="str">
        <f>Table2[[#This Row],[Propinsi]]&amp;"_"&amp;Table2[[#This Row],[Dati 2]]&amp;"_"&amp;Table2[[#This Row],[Tanggal]]</f>
        <v>JAWA TIMUR_MOJOKERTO_44348</v>
      </c>
      <c r="C43" t="s">
        <v>6</v>
      </c>
      <c r="D43" t="s">
        <v>46</v>
      </c>
      <c r="E43">
        <v>6</v>
      </c>
      <c r="F43">
        <v>2021</v>
      </c>
      <c r="G43" s="1">
        <f>DATE(Table2[[#This Row],[Tahun]],Table2[[#This Row],[Bulan]],1)</f>
        <v>44348</v>
      </c>
      <c r="H43">
        <v>148</v>
      </c>
    </row>
    <row r="44" spans="1:8" x14ac:dyDescent="0.25">
      <c r="A44">
        <v>43</v>
      </c>
      <c r="B44" t="str">
        <f>Table2[[#This Row],[Propinsi]]&amp;"_"&amp;Table2[[#This Row],[Dati 2]]&amp;"_"&amp;Table2[[#This Row],[Tanggal]]</f>
        <v>JAWA TIMUR_MOJOKERTO_44378</v>
      </c>
      <c r="C44" t="s">
        <v>6</v>
      </c>
      <c r="D44" t="s">
        <v>46</v>
      </c>
      <c r="E44">
        <v>7</v>
      </c>
      <c r="F44">
        <v>2021</v>
      </c>
      <c r="G44" s="1">
        <f>DATE(Table2[[#This Row],[Tahun]],Table2[[#This Row],[Bulan]],1)</f>
        <v>44378</v>
      </c>
      <c r="H44">
        <v>153</v>
      </c>
    </row>
    <row r="45" spans="1:8" x14ac:dyDescent="0.25">
      <c r="A45">
        <v>44</v>
      </c>
      <c r="B45" t="str">
        <f>Table2[[#This Row],[Propinsi]]&amp;"_"&amp;Table2[[#This Row],[Dati 2]]&amp;"_"&amp;Table2[[#This Row],[Tanggal]]</f>
        <v>JAWA TIMUR_MOJOKERTO_44409</v>
      </c>
      <c r="C45" t="s">
        <v>6</v>
      </c>
      <c r="D45" t="s">
        <v>46</v>
      </c>
      <c r="E45">
        <v>8</v>
      </c>
      <c r="F45">
        <v>2021</v>
      </c>
      <c r="G45" s="1">
        <f>DATE(Table2[[#This Row],[Tahun]],Table2[[#This Row],[Bulan]],1)</f>
        <v>44409</v>
      </c>
      <c r="H45">
        <v>157</v>
      </c>
    </row>
    <row r="46" spans="1:8" x14ac:dyDescent="0.25">
      <c r="A46">
        <v>45</v>
      </c>
      <c r="B46" t="str">
        <f>Table2[[#This Row],[Propinsi]]&amp;"_"&amp;Table2[[#This Row],[Dati 2]]&amp;"_"&amp;Table2[[#This Row],[Tanggal]]</f>
        <v>JAWA TIMUR_MOJOKERTO_44440</v>
      </c>
      <c r="C46" t="s">
        <v>6</v>
      </c>
      <c r="D46" t="s">
        <v>46</v>
      </c>
      <c r="E46">
        <v>9</v>
      </c>
      <c r="F46">
        <v>2021</v>
      </c>
      <c r="G46" s="1">
        <f>DATE(Table2[[#This Row],[Tahun]],Table2[[#This Row],[Bulan]],1)</f>
        <v>44440</v>
      </c>
      <c r="H46">
        <v>157</v>
      </c>
    </row>
    <row r="47" spans="1:8" x14ac:dyDescent="0.25">
      <c r="A47">
        <v>46</v>
      </c>
      <c r="B47" t="str">
        <f>Table2[[#This Row],[Propinsi]]&amp;"_"&amp;Table2[[#This Row],[Dati 2]]&amp;"_"&amp;Table2[[#This Row],[Tanggal]]</f>
        <v>JAWA TIMUR_MOJOKERTO_44470</v>
      </c>
      <c r="C47" t="s">
        <v>6</v>
      </c>
      <c r="D47" t="s">
        <v>46</v>
      </c>
      <c r="E47">
        <v>10</v>
      </c>
      <c r="F47">
        <v>2021</v>
      </c>
      <c r="G47" s="1">
        <f>DATE(Table2[[#This Row],[Tahun]],Table2[[#This Row],[Bulan]],1)</f>
        <v>44470</v>
      </c>
      <c r="H47">
        <v>157</v>
      </c>
    </row>
    <row r="48" spans="1:8" x14ac:dyDescent="0.25">
      <c r="A48">
        <v>47</v>
      </c>
      <c r="B48" t="str">
        <f>Table2[[#This Row],[Propinsi]]&amp;"_"&amp;Table2[[#This Row],[Dati 2]]&amp;"_"&amp;Table2[[#This Row],[Tanggal]]</f>
        <v>JAWA TIMUR_MOJOKERTO_44501</v>
      </c>
      <c r="C48" t="s">
        <v>6</v>
      </c>
      <c r="D48" t="s">
        <v>46</v>
      </c>
      <c r="E48">
        <v>11</v>
      </c>
      <c r="F48">
        <v>2021</v>
      </c>
      <c r="G48" s="1">
        <f>DATE(Table2[[#This Row],[Tahun]],Table2[[#This Row],[Bulan]],1)</f>
        <v>44501</v>
      </c>
      <c r="H48">
        <v>160</v>
      </c>
    </row>
    <row r="49" spans="1:8" x14ac:dyDescent="0.25">
      <c r="A49">
        <v>48</v>
      </c>
      <c r="B49" t="str">
        <f>Table2[[#This Row],[Propinsi]]&amp;"_"&amp;Table2[[#This Row],[Dati 2]]&amp;"_"&amp;Table2[[#This Row],[Tanggal]]</f>
        <v>JAWA TIMUR_MOJOKERTO_44531</v>
      </c>
      <c r="C49" t="s">
        <v>6</v>
      </c>
      <c r="D49" t="s">
        <v>46</v>
      </c>
      <c r="E49">
        <v>12</v>
      </c>
      <c r="F49">
        <v>2021</v>
      </c>
      <c r="G49" s="1">
        <f>DATE(Table2[[#This Row],[Tahun]],Table2[[#This Row],[Bulan]],1)</f>
        <v>44531</v>
      </c>
      <c r="H49">
        <v>164</v>
      </c>
    </row>
    <row r="50" spans="1:8" x14ac:dyDescent="0.25">
      <c r="A50">
        <v>49</v>
      </c>
      <c r="B50" t="str">
        <f>Table2[[#This Row],[Propinsi]]&amp;"_"&amp;Table2[[#This Row],[Dati 2]]&amp;"_"&amp;Table2[[#This Row],[Tanggal]]</f>
        <v>JAWA TIMUR_JOMBANG_44197</v>
      </c>
      <c r="C50" t="s">
        <v>6</v>
      </c>
      <c r="D50" t="s">
        <v>47</v>
      </c>
      <c r="E50">
        <v>1</v>
      </c>
      <c r="F50">
        <v>2021</v>
      </c>
      <c r="G50" s="1">
        <f>DATE(Table2[[#This Row],[Tahun]],Table2[[#This Row],[Bulan]],1)</f>
        <v>44197</v>
      </c>
      <c r="H50">
        <v>10</v>
      </c>
    </row>
    <row r="51" spans="1:8" x14ac:dyDescent="0.25">
      <c r="A51">
        <v>50</v>
      </c>
      <c r="B51" t="str">
        <f>Table2[[#This Row],[Propinsi]]&amp;"_"&amp;Table2[[#This Row],[Dati 2]]&amp;"_"&amp;Table2[[#This Row],[Tanggal]]</f>
        <v>JAWA TIMUR_JOMBANG_44228</v>
      </c>
      <c r="C51" t="s">
        <v>6</v>
      </c>
      <c r="D51" t="s">
        <v>47</v>
      </c>
      <c r="E51">
        <v>2</v>
      </c>
      <c r="F51">
        <v>2021</v>
      </c>
      <c r="G51" s="1">
        <f>DATE(Table2[[#This Row],[Tahun]],Table2[[#This Row],[Bulan]],1)</f>
        <v>44228</v>
      </c>
      <c r="H51">
        <v>17</v>
      </c>
    </row>
    <row r="52" spans="1:8" x14ac:dyDescent="0.25">
      <c r="A52">
        <v>51</v>
      </c>
      <c r="B52" t="str">
        <f>Table2[[#This Row],[Propinsi]]&amp;"_"&amp;Table2[[#This Row],[Dati 2]]&amp;"_"&amp;Table2[[#This Row],[Tanggal]]</f>
        <v>JAWA TIMUR_JOMBANG_44256</v>
      </c>
      <c r="C52" t="s">
        <v>6</v>
      </c>
      <c r="D52" t="s">
        <v>47</v>
      </c>
      <c r="E52">
        <v>3</v>
      </c>
      <c r="F52">
        <v>2021</v>
      </c>
      <c r="G52" s="1">
        <f>DATE(Table2[[#This Row],[Tahun]],Table2[[#This Row],[Bulan]],1)</f>
        <v>44256</v>
      </c>
      <c r="H52">
        <v>19</v>
      </c>
    </row>
    <row r="53" spans="1:8" x14ac:dyDescent="0.25">
      <c r="A53">
        <v>52</v>
      </c>
      <c r="B53" t="str">
        <f>Table2[[#This Row],[Propinsi]]&amp;"_"&amp;Table2[[#This Row],[Dati 2]]&amp;"_"&amp;Table2[[#This Row],[Tanggal]]</f>
        <v>JAWA TIMUR_JOMBANG_44287</v>
      </c>
      <c r="C53" t="s">
        <v>6</v>
      </c>
      <c r="D53" t="s">
        <v>47</v>
      </c>
      <c r="E53">
        <v>4</v>
      </c>
      <c r="F53">
        <v>2021</v>
      </c>
      <c r="G53" s="1">
        <f>DATE(Table2[[#This Row],[Tahun]],Table2[[#This Row],[Bulan]],1)</f>
        <v>44287</v>
      </c>
      <c r="H53">
        <v>21</v>
      </c>
    </row>
    <row r="54" spans="1:8" x14ac:dyDescent="0.25">
      <c r="A54">
        <v>53</v>
      </c>
      <c r="B54" t="str">
        <f>Table2[[#This Row],[Propinsi]]&amp;"_"&amp;Table2[[#This Row],[Dati 2]]&amp;"_"&amp;Table2[[#This Row],[Tanggal]]</f>
        <v>JAWA TIMUR_JOMBANG_44317</v>
      </c>
      <c r="C54" t="s">
        <v>6</v>
      </c>
      <c r="D54" t="s">
        <v>47</v>
      </c>
      <c r="E54">
        <v>5</v>
      </c>
      <c r="F54">
        <v>2021</v>
      </c>
      <c r="G54" s="1">
        <f>DATE(Table2[[#This Row],[Tahun]],Table2[[#This Row],[Bulan]],1)</f>
        <v>44317</v>
      </c>
      <c r="H54">
        <v>27</v>
      </c>
    </row>
    <row r="55" spans="1:8" x14ac:dyDescent="0.25">
      <c r="A55">
        <v>54</v>
      </c>
      <c r="B55" t="str">
        <f>Table2[[#This Row],[Propinsi]]&amp;"_"&amp;Table2[[#This Row],[Dati 2]]&amp;"_"&amp;Table2[[#This Row],[Tanggal]]</f>
        <v>JAWA TIMUR_JOMBANG_44348</v>
      </c>
      <c r="C55" t="s">
        <v>6</v>
      </c>
      <c r="D55" t="s">
        <v>47</v>
      </c>
      <c r="E55">
        <v>6</v>
      </c>
      <c r="F55">
        <v>2021</v>
      </c>
      <c r="G55" s="1">
        <f>DATE(Table2[[#This Row],[Tahun]],Table2[[#This Row],[Bulan]],1)</f>
        <v>44348</v>
      </c>
      <c r="H55">
        <v>30</v>
      </c>
    </row>
    <row r="56" spans="1:8" x14ac:dyDescent="0.25">
      <c r="A56">
        <v>55</v>
      </c>
      <c r="B56" t="str">
        <f>Table2[[#This Row],[Propinsi]]&amp;"_"&amp;Table2[[#This Row],[Dati 2]]&amp;"_"&amp;Table2[[#This Row],[Tanggal]]</f>
        <v>JAWA TIMUR_JOMBANG_44378</v>
      </c>
      <c r="C56" t="s">
        <v>6</v>
      </c>
      <c r="D56" t="s">
        <v>47</v>
      </c>
      <c r="E56">
        <v>7</v>
      </c>
      <c r="F56">
        <v>2021</v>
      </c>
      <c r="G56" s="1">
        <f>DATE(Table2[[#This Row],[Tahun]],Table2[[#This Row],[Bulan]],1)</f>
        <v>44378</v>
      </c>
      <c r="H56">
        <v>37</v>
      </c>
    </row>
    <row r="57" spans="1:8" x14ac:dyDescent="0.25">
      <c r="A57">
        <v>56</v>
      </c>
      <c r="B57" t="str">
        <f>Table2[[#This Row],[Propinsi]]&amp;"_"&amp;Table2[[#This Row],[Dati 2]]&amp;"_"&amp;Table2[[#This Row],[Tanggal]]</f>
        <v>JAWA TIMUR_JOMBANG_44409</v>
      </c>
      <c r="C57" t="s">
        <v>6</v>
      </c>
      <c r="D57" t="s">
        <v>47</v>
      </c>
      <c r="E57">
        <v>8</v>
      </c>
      <c r="F57">
        <v>2021</v>
      </c>
      <c r="G57" s="1">
        <f>DATE(Table2[[#This Row],[Tahun]],Table2[[#This Row],[Bulan]],1)</f>
        <v>44409</v>
      </c>
      <c r="H57">
        <v>38</v>
      </c>
    </row>
    <row r="58" spans="1:8" x14ac:dyDescent="0.25">
      <c r="A58">
        <v>57</v>
      </c>
      <c r="B58" t="str">
        <f>Table2[[#This Row],[Propinsi]]&amp;"_"&amp;Table2[[#This Row],[Dati 2]]&amp;"_"&amp;Table2[[#This Row],[Tanggal]]</f>
        <v>JAWA TIMUR_JOMBANG_44440</v>
      </c>
      <c r="C58" t="s">
        <v>6</v>
      </c>
      <c r="D58" t="s">
        <v>47</v>
      </c>
      <c r="E58">
        <v>9</v>
      </c>
      <c r="F58">
        <v>2021</v>
      </c>
      <c r="G58" s="1">
        <f>DATE(Table2[[#This Row],[Tahun]],Table2[[#This Row],[Bulan]],1)</f>
        <v>44440</v>
      </c>
      <c r="H58">
        <v>43</v>
      </c>
    </row>
    <row r="59" spans="1:8" x14ac:dyDescent="0.25">
      <c r="A59">
        <v>58</v>
      </c>
      <c r="B59" t="str">
        <f>Table2[[#This Row],[Propinsi]]&amp;"_"&amp;Table2[[#This Row],[Dati 2]]&amp;"_"&amp;Table2[[#This Row],[Tanggal]]</f>
        <v>JAWA TIMUR_JOMBANG_44470</v>
      </c>
      <c r="C59" t="s">
        <v>6</v>
      </c>
      <c r="D59" t="s">
        <v>47</v>
      </c>
      <c r="E59">
        <v>10</v>
      </c>
      <c r="F59">
        <v>2021</v>
      </c>
      <c r="G59" s="1">
        <f>DATE(Table2[[#This Row],[Tahun]],Table2[[#This Row],[Bulan]],1)</f>
        <v>44470</v>
      </c>
      <c r="H59">
        <v>48</v>
      </c>
    </row>
    <row r="60" spans="1:8" x14ac:dyDescent="0.25">
      <c r="A60">
        <v>59</v>
      </c>
      <c r="B60" t="str">
        <f>Table2[[#This Row],[Propinsi]]&amp;"_"&amp;Table2[[#This Row],[Dati 2]]&amp;"_"&amp;Table2[[#This Row],[Tanggal]]</f>
        <v>JAWA TIMUR_JOMBANG_44501</v>
      </c>
      <c r="C60" t="s">
        <v>6</v>
      </c>
      <c r="D60" t="s">
        <v>47</v>
      </c>
      <c r="E60">
        <v>11</v>
      </c>
      <c r="F60">
        <v>2021</v>
      </c>
      <c r="G60" s="1">
        <f>DATE(Table2[[#This Row],[Tahun]],Table2[[#This Row],[Bulan]],1)</f>
        <v>44501</v>
      </c>
      <c r="H60">
        <v>47</v>
      </c>
    </row>
    <row r="61" spans="1:8" x14ac:dyDescent="0.25">
      <c r="A61">
        <v>60</v>
      </c>
      <c r="B61" t="str">
        <f>Table2[[#This Row],[Propinsi]]&amp;"_"&amp;Table2[[#This Row],[Dati 2]]&amp;"_"&amp;Table2[[#This Row],[Tanggal]]</f>
        <v>JAWA TIMUR_JOMBANG_44531</v>
      </c>
      <c r="C61" t="s">
        <v>6</v>
      </c>
      <c r="D61" t="s">
        <v>47</v>
      </c>
      <c r="E61">
        <v>12</v>
      </c>
      <c r="F61">
        <v>2021</v>
      </c>
      <c r="G61" s="1">
        <f>DATE(Table2[[#This Row],[Tahun]],Table2[[#This Row],[Bulan]],1)</f>
        <v>44531</v>
      </c>
      <c r="H61">
        <v>47</v>
      </c>
    </row>
    <row r="62" spans="1:8" x14ac:dyDescent="0.25">
      <c r="A62">
        <v>61</v>
      </c>
      <c r="B62" t="str">
        <f>Table2[[#This Row],[Propinsi]]&amp;"_"&amp;Table2[[#This Row],[Dati 2]]&amp;"_"&amp;Table2[[#This Row],[Tanggal]]</f>
        <v>JAWA TIMUR_BOJONEGORO_44197</v>
      </c>
      <c r="C62" t="s">
        <v>6</v>
      </c>
      <c r="D62" t="s">
        <v>48</v>
      </c>
      <c r="E62">
        <v>1</v>
      </c>
      <c r="F62">
        <v>2021</v>
      </c>
      <c r="G62" s="1">
        <f>DATE(Table2[[#This Row],[Tahun]],Table2[[#This Row],[Bulan]],1)</f>
        <v>44197</v>
      </c>
      <c r="H62">
        <v>27</v>
      </c>
    </row>
    <row r="63" spans="1:8" x14ac:dyDescent="0.25">
      <c r="A63">
        <v>62</v>
      </c>
      <c r="B63" t="str">
        <f>Table2[[#This Row],[Propinsi]]&amp;"_"&amp;Table2[[#This Row],[Dati 2]]&amp;"_"&amp;Table2[[#This Row],[Tanggal]]</f>
        <v>JAWA TIMUR_BOJONEGORO_44228</v>
      </c>
      <c r="C63" t="s">
        <v>6</v>
      </c>
      <c r="D63" t="s">
        <v>48</v>
      </c>
      <c r="E63">
        <v>2</v>
      </c>
      <c r="F63">
        <v>2021</v>
      </c>
      <c r="G63" s="1">
        <f>DATE(Table2[[#This Row],[Tahun]],Table2[[#This Row],[Bulan]],1)</f>
        <v>44228</v>
      </c>
      <c r="H63">
        <v>32</v>
      </c>
    </row>
    <row r="64" spans="1:8" x14ac:dyDescent="0.25">
      <c r="A64">
        <v>63</v>
      </c>
      <c r="B64" t="str">
        <f>Table2[[#This Row],[Propinsi]]&amp;"_"&amp;Table2[[#This Row],[Dati 2]]&amp;"_"&amp;Table2[[#This Row],[Tanggal]]</f>
        <v>JAWA TIMUR_BOJONEGORO_44256</v>
      </c>
      <c r="C64" t="s">
        <v>6</v>
      </c>
      <c r="D64" t="s">
        <v>48</v>
      </c>
      <c r="E64">
        <v>3</v>
      </c>
      <c r="F64">
        <v>2021</v>
      </c>
      <c r="G64" s="1">
        <f>DATE(Table2[[#This Row],[Tahun]],Table2[[#This Row],[Bulan]],1)</f>
        <v>44256</v>
      </c>
      <c r="H64">
        <v>32</v>
      </c>
    </row>
    <row r="65" spans="1:8" x14ac:dyDescent="0.25">
      <c r="A65">
        <v>64</v>
      </c>
      <c r="B65" t="str">
        <f>Table2[[#This Row],[Propinsi]]&amp;"_"&amp;Table2[[#This Row],[Dati 2]]&amp;"_"&amp;Table2[[#This Row],[Tanggal]]</f>
        <v>JAWA TIMUR_BOJONEGORO_44287</v>
      </c>
      <c r="C65" t="s">
        <v>6</v>
      </c>
      <c r="D65" t="s">
        <v>48</v>
      </c>
      <c r="E65">
        <v>4</v>
      </c>
      <c r="F65">
        <v>2021</v>
      </c>
      <c r="G65" s="1">
        <f>DATE(Table2[[#This Row],[Tahun]],Table2[[#This Row],[Bulan]],1)</f>
        <v>44287</v>
      </c>
      <c r="H65">
        <v>36</v>
      </c>
    </row>
    <row r="66" spans="1:8" x14ac:dyDescent="0.25">
      <c r="A66">
        <v>65</v>
      </c>
      <c r="B66" t="str">
        <f>Table2[[#This Row],[Propinsi]]&amp;"_"&amp;Table2[[#This Row],[Dati 2]]&amp;"_"&amp;Table2[[#This Row],[Tanggal]]</f>
        <v>JAWA TIMUR_BOJONEGORO_44317</v>
      </c>
      <c r="C66" t="s">
        <v>6</v>
      </c>
      <c r="D66" t="s">
        <v>48</v>
      </c>
      <c r="E66">
        <v>5</v>
      </c>
      <c r="F66">
        <v>2021</v>
      </c>
      <c r="G66" s="1">
        <f>DATE(Table2[[#This Row],[Tahun]],Table2[[#This Row],[Bulan]],1)</f>
        <v>44317</v>
      </c>
      <c r="H66">
        <v>34</v>
      </c>
    </row>
    <row r="67" spans="1:8" x14ac:dyDescent="0.25">
      <c r="A67">
        <v>66</v>
      </c>
      <c r="B67" t="str">
        <f>Table2[[#This Row],[Propinsi]]&amp;"_"&amp;Table2[[#This Row],[Dati 2]]&amp;"_"&amp;Table2[[#This Row],[Tanggal]]</f>
        <v>JAWA TIMUR_BOJONEGORO_44348</v>
      </c>
      <c r="C67" t="s">
        <v>6</v>
      </c>
      <c r="D67" t="s">
        <v>48</v>
      </c>
      <c r="E67">
        <v>6</v>
      </c>
      <c r="F67">
        <v>2021</v>
      </c>
      <c r="G67" s="1">
        <f>DATE(Table2[[#This Row],[Tahun]],Table2[[#This Row],[Bulan]],1)</f>
        <v>44348</v>
      </c>
      <c r="H67">
        <v>36</v>
      </c>
    </row>
    <row r="68" spans="1:8" x14ac:dyDescent="0.25">
      <c r="A68">
        <v>67</v>
      </c>
      <c r="B68" t="str">
        <f>Table2[[#This Row],[Propinsi]]&amp;"_"&amp;Table2[[#This Row],[Dati 2]]&amp;"_"&amp;Table2[[#This Row],[Tanggal]]</f>
        <v>JAWA TIMUR_BOJONEGORO_44378</v>
      </c>
      <c r="C68" t="s">
        <v>6</v>
      </c>
      <c r="D68" t="s">
        <v>48</v>
      </c>
      <c r="E68">
        <v>7</v>
      </c>
      <c r="F68">
        <v>2021</v>
      </c>
      <c r="G68" s="1">
        <f>DATE(Table2[[#This Row],[Tahun]],Table2[[#This Row],[Bulan]],1)</f>
        <v>44378</v>
      </c>
      <c r="H68">
        <v>40</v>
      </c>
    </row>
    <row r="69" spans="1:8" x14ac:dyDescent="0.25">
      <c r="A69">
        <v>68</v>
      </c>
      <c r="B69" t="str">
        <f>Table2[[#This Row],[Propinsi]]&amp;"_"&amp;Table2[[#This Row],[Dati 2]]&amp;"_"&amp;Table2[[#This Row],[Tanggal]]</f>
        <v>JAWA TIMUR_BOJONEGORO_44409</v>
      </c>
      <c r="C69" t="s">
        <v>6</v>
      </c>
      <c r="D69" t="s">
        <v>48</v>
      </c>
      <c r="E69">
        <v>8</v>
      </c>
      <c r="F69">
        <v>2021</v>
      </c>
      <c r="G69" s="1">
        <f>DATE(Table2[[#This Row],[Tahun]],Table2[[#This Row],[Bulan]],1)</f>
        <v>44409</v>
      </c>
      <c r="H69">
        <v>44</v>
      </c>
    </row>
    <row r="70" spans="1:8" x14ac:dyDescent="0.25">
      <c r="A70">
        <v>69</v>
      </c>
      <c r="B70" t="str">
        <f>Table2[[#This Row],[Propinsi]]&amp;"_"&amp;Table2[[#This Row],[Dati 2]]&amp;"_"&amp;Table2[[#This Row],[Tanggal]]</f>
        <v>JAWA TIMUR_BOJONEGORO_44440</v>
      </c>
      <c r="C70" t="s">
        <v>6</v>
      </c>
      <c r="D70" t="s">
        <v>48</v>
      </c>
      <c r="E70">
        <v>9</v>
      </c>
      <c r="F70">
        <v>2021</v>
      </c>
      <c r="G70" s="1">
        <f>DATE(Table2[[#This Row],[Tahun]],Table2[[#This Row],[Bulan]],1)</f>
        <v>44440</v>
      </c>
      <c r="H70">
        <v>50</v>
      </c>
    </row>
    <row r="71" spans="1:8" x14ac:dyDescent="0.25">
      <c r="A71">
        <v>70</v>
      </c>
      <c r="B71" t="str">
        <f>Table2[[#This Row],[Propinsi]]&amp;"_"&amp;Table2[[#This Row],[Dati 2]]&amp;"_"&amp;Table2[[#This Row],[Tanggal]]</f>
        <v>JAWA TIMUR_BOJONEGORO_44470</v>
      </c>
      <c r="C71" t="s">
        <v>6</v>
      </c>
      <c r="D71" t="s">
        <v>48</v>
      </c>
      <c r="E71">
        <v>10</v>
      </c>
      <c r="F71">
        <v>2021</v>
      </c>
      <c r="G71" s="1">
        <f>DATE(Table2[[#This Row],[Tahun]],Table2[[#This Row],[Bulan]],1)</f>
        <v>44470</v>
      </c>
      <c r="H71">
        <v>54</v>
      </c>
    </row>
    <row r="72" spans="1:8" x14ac:dyDescent="0.25">
      <c r="A72">
        <v>71</v>
      </c>
      <c r="B72" t="str">
        <f>Table2[[#This Row],[Propinsi]]&amp;"_"&amp;Table2[[#This Row],[Dati 2]]&amp;"_"&amp;Table2[[#This Row],[Tanggal]]</f>
        <v>JAWA TIMUR_BOJONEGORO_44501</v>
      </c>
      <c r="C72" t="s">
        <v>6</v>
      </c>
      <c r="D72" t="s">
        <v>48</v>
      </c>
      <c r="E72">
        <v>11</v>
      </c>
      <c r="F72">
        <v>2021</v>
      </c>
      <c r="G72" s="1">
        <f>DATE(Table2[[#This Row],[Tahun]],Table2[[#This Row],[Bulan]],1)</f>
        <v>44501</v>
      </c>
      <c r="H72">
        <v>55</v>
      </c>
    </row>
    <row r="73" spans="1:8" x14ac:dyDescent="0.25">
      <c r="A73">
        <v>72</v>
      </c>
      <c r="B73" t="str">
        <f>Table2[[#This Row],[Propinsi]]&amp;"_"&amp;Table2[[#This Row],[Dati 2]]&amp;"_"&amp;Table2[[#This Row],[Tanggal]]</f>
        <v>JAWA TIMUR_BOJONEGORO_44531</v>
      </c>
      <c r="C73" t="s">
        <v>6</v>
      </c>
      <c r="D73" t="s">
        <v>48</v>
      </c>
      <c r="E73">
        <v>12</v>
      </c>
      <c r="F73">
        <v>2021</v>
      </c>
      <c r="G73" s="1">
        <f>DATE(Table2[[#This Row],[Tahun]],Table2[[#This Row],[Bulan]],1)</f>
        <v>44531</v>
      </c>
      <c r="H73">
        <v>55</v>
      </c>
    </row>
    <row r="74" spans="1:8" x14ac:dyDescent="0.25">
      <c r="A74">
        <v>73</v>
      </c>
      <c r="B74" t="str">
        <f>Table2[[#This Row],[Propinsi]]&amp;"_"&amp;Table2[[#This Row],[Dati 2]]&amp;"_"&amp;Table2[[#This Row],[Tanggal]]</f>
        <v>JAWA TIMUR_LAMONGAN_44197</v>
      </c>
      <c r="C74" t="s">
        <v>6</v>
      </c>
      <c r="D74" t="s">
        <v>49</v>
      </c>
      <c r="E74">
        <v>1</v>
      </c>
      <c r="F74">
        <v>2021</v>
      </c>
      <c r="G74" s="1">
        <f>DATE(Table2[[#This Row],[Tahun]],Table2[[#This Row],[Bulan]],1)</f>
        <v>44197</v>
      </c>
      <c r="H74">
        <v>126</v>
      </c>
    </row>
    <row r="75" spans="1:8" x14ac:dyDescent="0.25">
      <c r="A75">
        <v>74</v>
      </c>
      <c r="B75" t="str">
        <f>Table2[[#This Row],[Propinsi]]&amp;"_"&amp;Table2[[#This Row],[Dati 2]]&amp;"_"&amp;Table2[[#This Row],[Tanggal]]</f>
        <v>JAWA TIMUR_LAMONGAN_44228</v>
      </c>
      <c r="C75" t="s">
        <v>6</v>
      </c>
      <c r="D75" t="s">
        <v>49</v>
      </c>
      <c r="E75">
        <v>2</v>
      </c>
      <c r="F75">
        <v>2021</v>
      </c>
      <c r="G75" s="1">
        <f>DATE(Table2[[#This Row],[Tahun]],Table2[[#This Row],[Bulan]],1)</f>
        <v>44228</v>
      </c>
      <c r="H75">
        <v>128</v>
      </c>
    </row>
    <row r="76" spans="1:8" x14ac:dyDescent="0.25">
      <c r="A76">
        <v>75</v>
      </c>
      <c r="B76" t="str">
        <f>Table2[[#This Row],[Propinsi]]&amp;"_"&amp;Table2[[#This Row],[Dati 2]]&amp;"_"&amp;Table2[[#This Row],[Tanggal]]</f>
        <v>JAWA TIMUR_LAMONGAN_44256</v>
      </c>
      <c r="C76" t="s">
        <v>6</v>
      </c>
      <c r="D76" t="s">
        <v>49</v>
      </c>
      <c r="E76">
        <v>3</v>
      </c>
      <c r="F76">
        <v>2021</v>
      </c>
      <c r="G76" s="1">
        <f>DATE(Table2[[#This Row],[Tahun]],Table2[[#This Row],[Bulan]],1)</f>
        <v>44256</v>
      </c>
      <c r="H76">
        <v>128</v>
      </c>
    </row>
    <row r="77" spans="1:8" x14ac:dyDescent="0.25">
      <c r="A77">
        <v>76</v>
      </c>
      <c r="B77" t="str">
        <f>Table2[[#This Row],[Propinsi]]&amp;"_"&amp;Table2[[#This Row],[Dati 2]]&amp;"_"&amp;Table2[[#This Row],[Tanggal]]</f>
        <v>JAWA TIMUR_LAMONGAN_44287</v>
      </c>
      <c r="C77" t="s">
        <v>6</v>
      </c>
      <c r="D77" t="s">
        <v>49</v>
      </c>
      <c r="E77">
        <v>4</v>
      </c>
      <c r="F77">
        <v>2021</v>
      </c>
      <c r="G77" s="1">
        <f>DATE(Table2[[#This Row],[Tahun]],Table2[[#This Row],[Bulan]],1)</f>
        <v>44287</v>
      </c>
      <c r="H77">
        <v>129</v>
      </c>
    </row>
    <row r="78" spans="1:8" x14ac:dyDescent="0.25">
      <c r="A78">
        <v>77</v>
      </c>
      <c r="B78" t="str">
        <f>Table2[[#This Row],[Propinsi]]&amp;"_"&amp;Table2[[#This Row],[Dati 2]]&amp;"_"&amp;Table2[[#This Row],[Tanggal]]</f>
        <v>JAWA TIMUR_LAMONGAN_44317</v>
      </c>
      <c r="C78" t="s">
        <v>6</v>
      </c>
      <c r="D78" t="s">
        <v>49</v>
      </c>
      <c r="E78">
        <v>5</v>
      </c>
      <c r="F78">
        <v>2021</v>
      </c>
      <c r="G78" s="1">
        <f>DATE(Table2[[#This Row],[Tahun]],Table2[[#This Row],[Bulan]],1)</f>
        <v>44317</v>
      </c>
      <c r="H78">
        <v>134</v>
      </c>
    </row>
    <row r="79" spans="1:8" x14ac:dyDescent="0.25">
      <c r="A79">
        <v>78</v>
      </c>
      <c r="B79" t="str">
        <f>Table2[[#This Row],[Propinsi]]&amp;"_"&amp;Table2[[#This Row],[Dati 2]]&amp;"_"&amp;Table2[[#This Row],[Tanggal]]</f>
        <v>JAWA TIMUR_LAMONGAN_44348</v>
      </c>
      <c r="C79" t="s">
        <v>6</v>
      </c>
      <c r="D79" t="s">
        <v>49</v>
      </c>
      <c r="E79">
        <v>6</v>
      </c>
      <c r="F79">
        <v>2021</v>
      </c>
      <c r="G79" s="1">
        <f>DATE(Table2[[#This Row],[Tahun]],Table2[[#This Row],[Bulan]],1)</f>
        <v>44348</v>
      </c>
      <c r="H79">
        <v>140</v>
      </c>
    </row>
    <row r="80" spans="1:8" x14ac:dyDescent="0.25">
      <c r="A80">
        <v>79</v>
      </c>
      <c r="B80" t="str">
        <f>Table2[[#This Row],[Propinsi]]&amp;"_"&amp;Table2[[#This Row],[Dati 2]]&amp;"_"&amp;Table2[[#This Row],[Tanggal]]</f>
        <v>JAWA TIMUR_LAMONGAN_44378</v>
      </c>
      <c r="C80" t="s">
        <v>6</v>
      </c>
      <c r="D80" t="s">
        <v>49</v>
      </c>
      <c r="E80">
        <v>7</v>
      </c>
      <c r="F80">
        <v>2021</v>
      </c>
      <c r="G80" s="1">
        <f>DATE(Table2[[#This Row],[Tahun]],Table2[[#This Row],[Bulan]],1)</f>
        <v>44378</v>
      </c>
      <c r="H80">
        <v>145</v>
      </c>
    </row>
    <row r="81" spans="1:8" x14ac:dyDescent="0.25">
      <c r="A81">
        <v>80</v>
      </c>
      <c r="B81" t="str">
        <f>Table2[[#This Row],[Propinsi]]&amp;"_"&amp;Table2[[#This Row],[Dati 2]]&amp;"_"&amp;Table2[[#This Row],[Tanggal]]</f>
        <v>JAWA TIMUR_LAMONGAN_44409</v>
      </c>
      <c r="C81" t="s">
        <v>6</v>
      </c>
      <c r="D81" t="s">
        <v>49</v>
      </c>
      <c r="E81">
        <v>8</v>
      </c>
      <c r="F81">
        <v>2021</v>
      </c>
      <c r="G81" s="1">
        <f>DATE(Table2[[#This Row],[Tahun]],Table2[[#This Row],[Bulan]],1)</f>
        <v>44409</v>
      </c>
      <c r="H81">
        <v>146</v>
      </c>
    </row>
    <row r="82" spans="1:8" x14ac:dyDescent="0.25">
      <c r="A82">
        <v>81</v>
      </c>
      <c r="B82" t="str">
        <f>Table2[[#This Row],[Propinsi]]&amp;"_"&amp;Table2[[#This Row],[Dati 2]]&amp;"_"&amp;Table2[[#This Row],[Tanggal]]</f>
        <v>JAWA TIMUR_LAMONGAN_44440</v>
      </c>
      <c r="C82" t="s">
        <v>6</v>
      </c>
      <c r="D82" t="s">
        <v>49</v>
      </c>
      <c r="E82">
        <v>9</v>
      </c>
      <c r="F82">
        <v>2021</v>
      </c>
      <c r="G82" s="1">
        <f>DATE(Table2[[#This Row],[Tahun]],Table2[[#This Row],[Bulan]],1)</f>
        <v>44440</v>
      </c>
      <c r="H82">
        <v>148</v>
      </c>
    </row>
    <row r="83" spans="1:8" x14ac:dyDescent="0.25">
      <c r="A83">
        <v>82</v>
      </c>
      <c r="B83" t="str">
        <f>Table2[[#This Row],[Propinsi]]&amp;"_"&amp;Table2[[#This Row],[Dati 2]]&amp;"_"&amp;Table2[[#This Row],[Tanggal]]</f>
        <v>JAWA TIMUR_LAMONGAN_44470</v>
      </c>
      <c r="C83" t="s">
        <v>6</v>
      </c>
      <c r="D83" t="s">
        <v>49</v>
      </c>
      <c r="E83">
        <v>10</v>
      </c>
      <c r="F83">
        <v>2021</v>
      </c>
      <c r="G83" s="1">
        <f>DATE(Table2[[#This Row],[Tahun]],Table2[[#This Row],[Bulan]],1)</f>
        <v>44470</v>
      </c>
      <c r="H83">
        <v>153</v>
      </c>
    </row>
    <row r="84" spans="1:8" x14ac:dyDescent="0.25">
      <c r="A84">
        <v>83</v>
      </c>
      <c r="B84" t="str">
        <f>Table2[[#This Row],[Propinsi]]&amp;"_"&amp;Table2[[#This Row],[Dati 2]]&amp;"_"&amp;Table2[[#This Row],[Tanggal]]</f>
        <v>JAWA TIMUR_LAMONGAN_44501</v>
      </c>
      <c r="C84" t="s">
        <v>6</v>
      </c>
      <c r="D84" t="s">
        <v>49</v>
      </c>
      <c r="E84">
        <v>11</v>
      </c>
      <c r="F84">
        <v>2021</v>
      </c>
      <c r="G84" s="1">
        <f>DATE(Table2[[#This Row],[Tahun]],Table2[[#This Row],[Bulan]],1)</f>
        <v>44501</v>
      </c>
      <c r="H84">
        <v>154</v>
      </c>
    </row>
    <row r="85" spans="1:8" x14ac:dyDescent="0.25">
      <c r="A85">
        <v>84</v>
      </c>
      <c r="B85" t="str">
        <f>Table2[[#This Row],[Propinsi]]&amp;"_"&amp;Table2[[#This Row],[Dati 2]]&amp;"_"&amp;Table2[[#This Row],[Tanggal]]</f>
        <v>JAWA TIMUR_LAMONGAN_44531</v>
      </c>
      <c r="C85" t="s">
        <v>6</v>
      </c>
      <c r="D85" t="s">
        <v>49</v>
      </c>
      <c r="E85">
        <v>12</v>
      </c>
      <c r="F85">
        <v>2021</v>
      </c>
      <c r="G85" s="1">
        <f>DATE(Table2[[#This Row],[Tahun]],Table2[[#This Row],[Bulan]],1)</f>
        <v>44531</v>
      </c>
      <c r="H85">
        <v>159</v>
      </c>
    </row>
    <row r="86" spans="1:8" x14ac:dyDescent="0.25">
      <c r="A86">
        <v>85</v>
      </c>
      <c r="B86" t="str">
        <f>Table2[[#This Row],[Propinsi]]&amp;"_"&amp;Table2[[#This Row],[Dati 2]]&amp;"_"&amp;Table2[[#This Row],[Tanggal]]</f>
        <v>JAWA TIMUR_TUBAN_44197</v>
      </c>
      <c r="C86" t="s">
        <v>6</v>
      </c>
      <c r="D86" t="s">
        <v>50</v>
      </c>
      <c r="E86">
        <v>1</v>
      </c>
      <c r="F86">
        <v>2021</v>
      </c>
      <c r="G86" s="1">
        <f>DATE(Table2[[#This Row],[Tahun]],Table2[[#This Row],[Bulan]],1)</f>
        <v>44197</v>
      </c>
      <c r="H86">
        <v>96</v>
      </c>
    </row>
    <row r="87" spans="1:8" x14ac:dyDescent="0.25">
      <c r="A87">
        <v>86</v>
      </c>
      <c r="B87" t="str">
        <f>Table2[[#This Row],[Propinsi]]&amp;"_"&amp;Table2[[#This Row],[Dati 2]]&amp;"_"&amp;Table2[[#This Row],[Tanggal]]</f>
        <v>JAWA TIMUR_TUBAN_44228</v>
      </c>
      <c r="C87" t="s">
        <v>6</v>
      </c>
      <c r="D87" t="s">
        <v>50</v>
      </c>
      <c r="E87">
        <v>2</v>
      </c>
      <c r="F87">
        <v>2021</v>
      </c>
      <c r="G87" s="1">
        <f>DATE(Table2[[#This Row],[Tahun]],Table2[[#This Row],[Bulan]],1)</f>
        <v>44228</v>
      </c>
      <c r="H87">
        <v>97</v>
      </c>
    </row>
    <row r="88" spans="1:8" x14ac:dyDescent="0.25">
      <c r="A88">
        <v>87</v>
      </c>
      <c r="B88" t="str">
        <f>Table2[[#This Row],[Propinsi]]&amp;"_"&amp;Table2[[#This Row],[Dati 2]]&amp;"_"&amp;Table2[[#This Row],[Tanggal]]</f>
        <v>JAWA TIMUR_TUBAN_44256</v>
      </c>
      <c r="C88" t="s">
        <v>6</v>
      </c>
      <c r="D88" t="s">
        <v>50</v>
      </c>
      <c r="E88">
        <v>3</v>
      </c>
      <c r="F88">
        <v>2021</v>
      </c>
      <c r="G88" s="1">
        <f>DATE(Table2[[#This Row],[Tahun]],Table2[[#This Row],[Bulan]],1)</f>
        <v>44256</v>
      </c>
      <c r="H88">
        <v>100</v>
      </c>
    </row>
    <row r="89" spans="1:8" x14ac:dyDescent="0.25">
      <c r="A89">
        <v>88</v>
      </c>
      <c r="B89" t="str">
        <f>Table2[[#This Row],[Propinsi]]&amp;"_"&amp;Table2[[#This Row],[Dati 2]]&amp;"_"&amp;Table2[[#This Row],[Tanggal]]</f>
        <v>JAWA TIMUR_TUBAN_44287</v>
      </c>
      <c r="C89" t="s">
        <v>6</v>
      </c>
      <c r="D89" t="s">
        <v>50</v>
      </c>
      <c r="E89">
        <v>4</v>
      </c>
      <c r="F89">
        <v>2021</v>
      </c>
      <c r="G89" s="1">
        <f>DATE(Table2[[#This Row],[Tahun]],Table2[[#This Row],[Bulan]],1)</f>
        <v>44287</v>
      </c>
      <c r="H89">
        <v>105</v>
      </c>
    </row>
    <row r="90" spans="1:8" x14ac:dyDescent="0.25">
      <c r="A90">
        <v>89</v>
      </c>
      <c r="B90" t="str">
        <f>Table2[[#This Row],[Propinsi]]&amp;"_"&amp;Table2[[#This Row],[Dati 2]]&amp;"_"&amp;Table2[[#This Row],[Tanggal]]</f>
        <v>JAWA TIMUR_TUBAN_44317</v>
      </c>
      <c r="C90" t="s">
        <v>6</v>
      </c>
      <c r="D90" t="s">
        <v>50</v>
      </c>
      <c r="E90">
        <v>5</v>
      </c>
      <c r="F90">
        <v>2021</v>
      </c>
      <c r="G90" s="1">
        <f>DATE(Table2[[#This Row],[Tahun]],Table2[[#This Row],[Bulan]],1)</f>
        <v>44317</v>
      </c>
      <c r="H90">
        <v>108</v>
      </c>
    </row>
    <row r="91" spans="1:8" x14ac:dyDescent="0.25">
      <c r="A91">
        <v>90</v>
      </c>
      <c r="B91" t="str">
        <f>Table2[[#This Row],[Propinsi]]&amp;"_"&amp;Table2[[#This Row],[Dati 2]]&amp;"_"&amp;Table2[[#This Row],[Tanggal]]</f>
        <v>JAWA TIMUR_TUBAN_44348</v>
      </c>
      <c r="C91" t="s">
        <v>6</v>
      </c>
      <c r="D91" t="s">
        <v>50</v>
      </c>
      <c r="E91">
        <v>6</v>
      </c>
      <c r="F91">
        <v>2021</v>
      </c>
      <c r="G91" s="1">
        <f>DATE(Table2[[#This Row],[Tahun]],Table2[[#This Row],[Bulan]],1)</f>
        <v>44348</v>
      </c>
      <c r="H91">
        <v>110</v>
      </c>
    </row>
    <row r="92" spans="1:8" x14ac:dyDescent="0.25">
      <c r="A92">
        <v>91</v>
      </c>
      <c r="B92" t="str">
        <f>Table2[[#This Row],[Propinsi]]&amp;"_"&amp;Table2[[#This Row],[Dati 2]]&amp;"_"&amp;Table2[[#This Row],[Tanggal]]</f>
        <v>JAWA TIMUR_TUBAN_44378</v>
      </c>
      <c r="C92" t="s">
        <v>6</v>
      </c>
      <c r="D92" t="s">
        <v>50</v>
      </c>
      <c r="E92">
        <v>7</v>
      </c>
      <c r="F92">
        <v>2021</v>
      </c>
      <c r="G92" s="1">
        <f>DATE(Table2[[#This Row],[Tahun]],Table2[[#This Row],[Bulan]],1)</f>
        <v>44378</v>
      </c>
      <c r="H92">
        <v>108</v>
      </c>
    </row>
    <row r="93" spans="1:8" x14ac:dyDescent="0.25">
      <c r="A93">
        <v>92</v>
      </c>
      <c r="B93" t="str">
        <f>Table2[[#This Row],[Propinsi]]&amp;"_"&amp;Table2[[#This Row],[Dati 2]]&amp;"_"&amp;Table2[[#This Row],[Tanggal]]</f>
        <v>JAWA TIMUR_TUBAN_44409</v>
      </c>
      <c r="C93" t="s">
        <v>6</v>
      </c>
      <c r="D93" t="s">
        <v>50</v>
      </c>
      <c r="E93">
        <v>8</v>
      </c>
      <c r="F93">
        <v>2021</v>
      </c>
      <c r="G93" s="1">
        <f>DATE(Table2[[#This Row],[Tahun]],Table2[[#This Row],[Bulan]],1)</f>
        <v>44409</v>
      </c>
      <c r="H93">
        <v>113</v>
      </c>
    </row>
    <row r="94" spans="1:8" x14ac:dyDescent="0.25">
      <c r="A94">
        <v>93</v>
      </c>
      <c r="B94" t="str">
        <f>Table2[[#This Row],[Propinsi]]&amp;"_"&amp;Table2[[#This Row],[Dati 2]]&amp;"_"&amp;Table2[[#This Row],[Tanggal]]</f>
        <v>JAWA TIMUR_TUBAN_44440</v>
      </c>
      <c r="C94" t="s">
        <v>6</v>
      </c>
      <c r="D94" t="s">
        <v>50</v>
      </c>
      <c r="E94">
        <v>9</v>
      </c>
      <c r="F94">
        <v>2021</v>
      </c>
      <c r="G94" s="1">
        <f>DATE(Table2[[#This Row],[Tahun]],Table2[[#This Row],[Bulan]],1)</f>
        <v>44440</v>
      </c>
      <c r="H94">
        <v>117</v>
      </c>
    </row>
    <row r="95" spans="1:8" x14ac:dyDescent="0.25">
      <c r="A95">
        <v>94</v>
      </c>
      <c r="B95" t="str">
        <f>Table2[[#This Row],[Propinsi]]&amp;"_"&amp;Table2[[#This Row],[Dati 2]]&amp;"_"&amp;Table2[[#This Row],[Tanggal]]</f>
        <v>JAWA TIMUR_TUBAN_44470</v>
      </c>
      <c r="C95" t="s">
        <v>6</v>
      </c>
      <c r="D95" t="s">
        <v>50</v>
      </c>
      <c r="E95">
        <v>10</v>
      </c>
      <c r="F95">
        <v>2021</v>
      </c>
      <c r="G95" s="1">
        <f>DATE(Table2[[#This Row],[Tahun]],Table2[[#This Row],[Bulan]],1)</f>
        <v>44470</v>
      </c>
      <c r="H95">
        <v>115</v>
      </c>
    </row>
    <row r="96" spans="1:8" x14ac:dyDescent="0.25">
      <c r="A96">
        <v>95</v>
      </c>
      <c r="B96" t="str">
        <f>Table2[[#This Row],[Propinsi]]&amp;"_"&amp;Table2[[#This Row],[Dati 2]]&amp;"_"&amp;Table2[[#This Row],[Tanggal]]</f>
        <v>JAWA TIMUR_TUBAN_44501</v>
      </c>
      <c r="C96" t="s">
        <v>6</v>
      </c>
      <c r="D96" t="s">
        <v>50</v>
      </c>
      <c r="E96">
        <v>11</v>
      </c>
      <c r="F96">
        <v>2021</v>
      </c>
      <c r="G96" s="1">
        <f>DATE(Table2[[#This Row],[Tahun]],Table2[[#This Row],[Bulan]],1)</f>
        <v>44501</v>
      </c>
      <c r="H96">
        <v>116</v>
      </c>
    </row>
    <row r="97" spans="1:8" x14ac:dyDescent="0.25">
      <c r="A97">
        <v>96</v>
      </c>
      <c r="B97" t="str">
        <f>Table2[[#This Row],[Propinsi]]&amp;"_"&amp;Table2[[#This Row],[Dati 2]]&amp;"_"&amp;Table2[[#This Row],[Tanggal]]</f>
        <v>JAWA TIMUR_TUBAN_44531</v>
      </c>
      <c r="C97" t="s">
        <v>6</v>
      </c>
      <c r="D97" t="s">
        <v>50</v>
      </c>
      <c r="E97">
        <v>12</v>
      </c>
      <c r="F97">
        <v>2021</v>
      </c>
      <c r="G97" s="1">
        <f>DATE(Table2[[#This Row],[Tahun]],Table2[[#This Row],[Bulan]],1)</f>
        <v>44531</v>
      </c>
      <c r="H97">
        <v>118</v>
      </c>
    </row>
    <row r="98" spans="1:8" x14ac:dyDescent="0.25">
      <c r="A98">
        <v>97</v>
      </c>
      <c r="B98" t="str">
        <f>Table2[[#This Row],[Propinsi]]&amp;"_"&amp;Table2[[#This Row],[Dati 2]]&amp;"_"&amp;Table2[[#This Row],[Tanggal]]</f>
        <v>JAWA TIMUR_MADIUN_44197</v>
      </c>
      <c r="C98" t="s">
        <v>6</v>
      </c>
      <c r="D98" t="s">
        <v>51</v>
      </c>
      <c r="E98">
        <v>1</v>
      </c>
      <c r="F98">
        <v>2021</v>
      </c>
      <c r="G98" s="1">
        <f>DATE(Table2[[#This Row],[Tahun]],Table2[[#This Row],[Bulan]],1)</f>
        <v>44197</v>
      </c>
      <c r="H98">
        <v>102</v>
      </c>
    </row>
    <row r="99" spans="1:8" x14ac:dyDescent="0.25">
      <c r="A99">
        <v>98</v>
      </c>
      <c r="B99" t="str">
        <f>Table2[[#This Row],[Propinsi]]&amp;"_"&amp;Table2[[#This Row],[Dati 2]]&amp;"_"&amp;Table2[[#This Row],[Tanggal]]</f>
        <v>JAWA TIMUR_MADIUN_44228</v>
      </c>
      <c r="C99" t="s">
        <v>6</v>
      </c>
      <c r="D99" t="s">
        <v>51</v>
      </c>
      <c r="E99">
        <v>2</v>
      </c>
      <c r="F99">
        <v>2021</v>
      </c>
      <c r="G99" s="1">
        <f>DATE(Table2[[#This Row],[Tahun]],Table2[[#This Row],[Bulan]],1)</f>
        <v>44228</v>
      </c>
      <c r="H99">
        <v>101</v>
      </c>
    </row>
    <row r="100" spans="1:8" x14ac:dyDescent="0.25">
      <c r="A100">
        <v>99</v>
      </c>
      <c r="B100" t="str">
        <f>Table2[[#This Row],[Propinsi]]&amp;"_"&amp;Table2[[#This Row],[Dati 2]]&amp;"_"&amp;Table2[[#This Row],[Tanggal]]</f>
        <v>JAWA TIMUR_MADIUN_44256</v>
      </c>
      <c r="C100" t="s">
        <v>6</v>
      </c>
      <c r="D100" t="s">
        <v>51</v>
      </c>
      <c r="E100">
        <v>3</v>
      </c>
      <c r="F100">
        <v>2021</v>
      </c>
      <c r="G100" s="1">
        <f>DATE(Table2[[#This Row],[Tahun]],Table2[[#This Row],[Bulan]],1)</f>
        <v>44256</v>
      </c>
      <c r="H100">
        <v>103</v>
      </c>
    </row>
    <row r="101" spans="1:8" x14ac:dyDescent="0.25">
      <c r="A101">
        <v>100</v>
      </c>
      <c r="B101" t="str">
        <f>Table2[[#This Row],[Propinsi]]&amp;"_"&amp;Table2[[#This Row],[Dati 2]]&amp;"_"&amp;Table2[[#This Row],[Tanggal]]</f>
        <v>JAWA TIMUR_MADIUN_44287</v>
      </c>
      <c r="C101" t="s">
        <v>6</v>
      </c>
      <c r="D101" t="s">
        <v>51</v>
      </c>
      <c r="E101">
        <v>4</v>
      </c>
      <c r="F101">
        <v>2021</v>
      </c>
      <c r="G101" s="1">
        <f>DATE(Table2[[#This Row],[Tahun]],Table2[[#This Row],[Bulan]],1)</f>
        <v>44287</v>
      </c>
      <c r="H101">
        <v>104</v>
      </c>
    </row>
    <row r="102" spans="1:8" x14ac:dyDescent="0.25">
      <c r="A102">
        <v>101</v>
      </c>
      <c r="B102" t="str">
        <f>Table2[[#This Row],[Propinsi]]&amp;"_"&amp;Table2[[#This Row],[Dati 2]]&amp;"_"&amp;Table2[[#This Row],[Tanggal]]</f>
        <v>JAWA TIMUR_MADIUN_44317</v>
      </c>
      <c r="C102" t="s">
        <v>6</v>
      </c>
      <c r="D102" t="s">
        <v>51</v>
      </c>
      <c r="E102">
        <v>5</v>
      </c>
      <c r="F102">
        <v>2021</v>
      </c>
      <c r="G102" s="1">
        <f>DATE(Table2[[#This Row],[Tahun]],Table2[[#This Row],[Bulan]],1)</f>
        <v>44317</v>
      </c>
      <c r="H102">
        <v>102</v>
      </c>
    </row>
    <row r="103" spans="1:8" x14ac:dyDescent="0.25">
      <c r="A103">
        <v>102</v>
      </c>
      <c r="B103" t="str">
        <f>Table2[[#This Row],[Propinsi]]&amp;"_"&amp;Table2[[#This Row],[Dati 2]]&amp;"_"&amp;Table2[[#This Row],[Tanggal]]</f>
        <v>JAWA TIMUR_MADIUN_44348</v>
      </c>
      <c r="C103" t="s">
        <v>6</v>
      </c>
      <c r="D103" t="s">
        <v>51</v>
      </c>
      <c r="E103">
        <v>6</v>
      </c>
      <c r="F103">
        <v>2021</v>
      </c>
      <c r="G103" s="1">
        <f>DATE(Table2[[#This Row],[Tahun]],Table2[[#This Row],[Bulan]],1)</f>
        <v>44348</v>
      </c>
      <c r="H103">
        <v>104</v>
      </c>
    </row>
    <row r="104" spans="1:8" x14ac:dyDescent="0.25">
      <c r="A104">
        <v>103</v>
      </c>
      <c r="B104" t="str">
        <f>Table2[[#This Row],[Propinsi]]&amp;"_"&amp;Table2[[#This Row],[Dati 2]]&amp;"_"&amp;Table2[[#This Row],[Tanggal]]</f>
        <v>JAWA TIMUR_MADIUN_44378</v>
      </c>
      <c r="C104" t="s">
        <v>6</v>
      </c>
      <c r="D104" t="s">
        <v>51</v>
      </c>
      <c r="E104">
        <v>7</v>
      </c>
      <c r="F104">
        <v>2021</v>
      </c>
      <c r="G104" s="1">
        <f>DATE(Table2[[#This Row],[Tahun]],Table2[[#This Row],[Bulan]],1)</f>
        <v>44378</v>
      </c>
      <c r="H104">
        <v>110</v>
      </c>
    </row>
    <row r="105" spans="1:8" x14ac:dyDescent="0.25">
      <c r="A105">
        <v>104</v>
      </c>
      <c r="B105" t="str">
        <f>Table2[[#This Row],[Propinsi]]&amp;"_"&amp;Table2[[#This Row],[Dati 2]]&amp;"_"&amp;Table2[[#This Row],[Tanggal]]</f>
        <v>JAWA TIMUR_MADIUN_44409</v>
      </c>
      <c r="C105" t="s">
        <v>6</v>
      </c>
      <c r="D105" t="s">
        <v>51</v>
      </c>
      <c r="E105">
        <v>8</v>
      </c>
      <c r="F105">
        <v>2021</v>
      </c>
      <c r="G105" s="1">
        <f>DATE(Table2[[#This Row],[Tahun]],Table2[[#This Row],[Bulan]],1)</f>
        <v>44409</v>
      </c>
      <c r="H105">
        <v>108</v>
      </c>
    </row>
    <row r="106" spans="1:8" x14ac:dyDescent="0.25">
      <c r="A106">
        <v>105</v>
      </c>
      <c r="B106" t="str">
        <f>Table2[[#This Row],[Propinsi]]&amp;"_"&amp;Table2[[#This Row],[Dati 2]]&amp;"_"&amp;Table2[[#This Row],[Tanggal]]</f>
        <v>JAWA TIMUR_MADIUN_44440</v>
      </c>
      <c r="C106" t="s">
        <v>6</v>
      </c>
      <c r="D106" t="s">
        <v>51</v>
      </c>
      <c r="E106">
        <v>9</v>
      </c>
      <c r="F106">
        <v>2021</v>
      </c>
      <c r="G106" s="1">
        <f>DATE(Table2[[#This Row],[Tahun]],Table2[[#This Row],[Bulan]],1)</f>
        <v>44440</v>
      </c>
      <c r="H106">
        <v>115</v>
      </c>
    </row>
    <row r="107" spans="1:8" x14ac:dyDescent="0.25">
      <c r="A107">
        <v>106</v>
      </c>
      <c r="B107" t="str">
        <f>Table2[[#This Row],[Propinsi]]&amp;"_"&amp;Table2[[#This Row],[Dati 2]]&amp;"_"&amp;Table2[[#This Row],[Tanggal]]</f>
        <v>JAWA TIMUR_MADIUN_44470</v>
      </c>
      <c r="C107" t="s">
        <v>6</v>
      </c>
      <c r="D107" t="s">
        <v>51</v>
      </c>
      <c r="E107">
        <v>10</v>
      </c>
      <c r="F107">
        <v>2021</v>
      </c>
      <c r="G107" s="1">
        <f>DATE(Table2[[#This Row],[Tahun]],Table2[[#This Row],[Bulan]],1)</f>
        <v>44470</v>
      </c>
      <c r="H107">
        <v>115</v>
      </c>
    </row>
    <row r="108" spans="1:8" x14ac:dyDescent="0.25">
      <c r="A108">
        <v>107</v>
      </c>
      <c r="B108" t="str">
        <f>Table2[[#This Row],[Propinsi]]&amp;"_"&amp;Table2[[#This Row],[Dati 2]]&amp;"_"&amp;Table2[[#This Row],[Tanggal]]</f>
        <v>JAWA TIMUR_MADIUN_44501</v>
      </c>
      <c r="C108" t="s">
        <v>6</v>
      </c>
      <c r="D108" t="s">
        <v>51</v>
      </c>
      <c r="E108">
        <v>11</v>
      </c>
      <c r="F108">
        <v>2021</v>
      </c>
      <c r="G108" s="1">
        <f>DATE(Table2[[#This Row],[Tahun]],Table2[[#This Row],[Bulan]],1)</f>
        <v>44501</v>
      </c>
      <c r="H108">
        <v>116</v>
      </c>
    </row>
    <row r="109" spans="1:8" x14ac:dyDescent="0.25">
      <c r="A109">
        <v>108</v>
      </c>
      <c r="B109" t="str">
        <f>Table2[[#This Row],[Propinsi]]&amp;"_"&amp;Table2[[#This Row],[Dati 2]]&amp;"_"&amp;Table2[[#This Row],[Tanggal]]</f>
        <v>JAWA TIMUR_MADIUN_44531</v>
      </c>
      <c r="C109" t="s">
        <v>6</v>
      </c>
      <c r="D109" t="s">
        <v>51</v>
      </c>
      <c r="E109">
        <v>12</v>
      </c>
      <c r="F109">
        <v>2021</v>
      </c>
      <c r="G109" s="1">
        <f>DATE(Table2[[#This Row],[Tahun]],Table2[[#This Row],[Bulan]],1)</f>
        <v>44531</v>
      </c>
      <c r="H109">
        <v>119</v>
      </c>
    </row>
    <row r="110" spans="1:8" x14ac:dyDescent="0.25">
      <c r="A110">
        <v>109</v>
      </c>
      <c r="B110" t="str">
        <f>Table2[[#This Row],[Propinsi]]&amp;"_"&amp;Table2[[#This Row],[Dati 2]]&amp;"_"&amp;Table2[[#This Row],[Tanggal]]</f>
        <v>JAWA TIMUR_MAGETAN_44197</v>
      </c>
      <c r="C110" t="s">
        <v>6</v>
      </c>
      <c r="D110" t="s">
        <v>52</v>
      </c>
      <c r="E110">
        <v>1</v>
      </c>
      <c r="F110">
        <v>2021</v>
      </c>
      <c r="G110" s="1">
        <f>DATE(Table2[[#This Row],[Tahun]],Table2[[#This Row],[Bulan]],1)</f>
        <v>44197</v>
      </c>
      <c r="H110">
        <v>101</v>
      </c>
    </row>
    <row r="111" spans="1:8" x14ac:dyDescent="0.25">
      <c r="A111">
        <v>110</v>
      </c>
      <c r="B111" t="str">
        <f>Table2[[#This Row],[Propinsi]]&amp;"_"&amp;Table2[[#This Row],[Dati 2]]&amp;"_"&amp;Table2[[#This Row],[Tanggal]]</f>
        <v>JAWA TIMUR_MAGETAN_44228</v>
      </c>
      <c r="C111" t="s">
        <v>6</v>
      </c>
      <c r="D111" t="s">
        <v>52</v>
      </c>
      <c r="E111">
        <v>2</v>
      </c>
      <c r="F111">
        <v>2021</v>
      </c>
      <c r="G111" s="1">
        <f>DATE(Table2[[#This Row],[Tahun]],Table2[[#This Row],[Bulan]],1)</f>
        <v>44228</v>
      </c>
      <c r="H111">
        <v>103</v>
      </c>
    </row>
    <row r="112" spans="1:8" x14ac:dyDescent="0.25">
      <c r="A112">
        <v>111</v>
      </c>
      <c r="B112" t="str">
        <f>Table2[[#This Row],[Propinsi]]&amp;"_"&amp;Table2[[#This Row],[Dati 2]]&amp;"_"&amp;Table2[[#This Row],[Tanggal]]</f>
        <v>JAWA TIMUR_MAGETAN_44256</v>
      </c>
      <c r="C112" t="s">
        <v>6</v>
      </c>
      <c r="D112" t="s">
        <v>52</v>
      </c>
      <c r="E112">
        <v>3</v>
      </c>
      <c r="F112">
        <v>2021</v>
      </c>
      <c r="G112" s="1">
        <f>DATE(Table2[[#This Row],[Tahun]],Table2[[#This Row],[Bulan]],1)</f>
        <v>44256</v>
      </c>
      <c r="H112">
        <v>110</v>
      </c>
    </row>
    <row r="113" spans="1:8" x14ac:dyDescent="0.25">
      <c r="A113">
        <v>112</v>
      </c>
      <c r="B113" t="str">
        <f>Table2[[#This Row],[Propinsi]]&amp;"_"&amp;Table2[[#This Row],[Dati 2]]&amp;"_"&amp;Table2[[#This Row],[Tanggal]]</f>
        <v>JAWA TIMUR_MAGETAN_44287</v>
      </c>
      <c r="C113" t="s">
        <v>6</v>
      </c>
      <c r="D113" t="s">
        <v>52</v>
      </c>
      <c r="E113">
        <v>4</v>
      </c>
      <c r="F113">
        <v>2021</v>
      </c>
      <c r="G113" s="1">
        <f>DATE(Table2[[#This Row],[Tahun]],Table2[[#This Row],[Bulan]],1)</f>
        <v>44287</v>
      </c>
      <c r="H113">
        <v>114</v>
      </c>
    </row>
    <row r="114" spans="1:8" x14ac:dyDescent="0.25">
      <c r="A114">
        <v>113</v>
      </c>
      <c r="B114" t="str">
        <f>Table2[[#This Row],[Propinsi]]&amp;"_"&amp;Table2[[#This Row],[Dati 2]]&amp;"_"&amp;Table2[[#This Row],[Tanggal]]</f>
        <v>JAWA TIMUR_MAGETAN_44317</v>
      </c>
      <c r="C114" t="s">
        <v>6</v>
      </c>
      <c r="D114" t="s">
        <v>52</v>
      </c>
      <c r="E114">
        <v>5</v>
      </c>
      <c r="F114">
        <v>2021</v>
      </c>
      <c r="G114" s="1">
        <f>DATE(Table2[[#This Row],[Tahun]],Table2[[#This Row],[Bulan]],1)</f>
        <v>44317</v>
      </c>
      <c r="H114">
        <v>119</v>
      </c>
    </row>
    <row r="115" spans="1:8" x14ac:dyDescent="0.25">
      <c r="A115">
        <v>114</v>
      </c>
      <c r="B115" t="str">
        <f>Table2[[#This Row],[Propinsi]]&amp;"_"&amp;Table2[[#This Row],[Dati 2]]&amp;"_"&amp;Table2[[#This Row],[Tanggal]]</f>
        <v>JAWA TIMUR_MAGETAN_44348</v>
      </c>
      <c r="C115" t="s">
        <v>6</v>
      </c>
      <c r="D115" t="s">
        <v>52</v>
      </c>
      <c r="E115">
        <v>6</v>
      </c>
      <c r="F115">
        <v>2021</v>
      </c>
      <c r="G115" s="1">
        <f>DATE(Table2[[#This Row],[Tahun]],Table2[[#This Row],[Bulan]],1)</f>
        <v>44348</v>
      </c>
      <c r="H115">
        <v>117</v>
      </c>
    </row>
    <row r="116" spans="1:8" x14ac:dyDescent="0.25">
      <c r="A116">
        <v>115</v>
      </c>
      <c r="B116" t="str">
        <f>Table2[[#This Row],[Propinsi]]&amp;"_"&amp;Table2[[#This Row],[Dati 2]]&amp;"_"&amp;Table2[[#This Row],[Tanggal]]</f>
        <v>JAWA TIMUR_MAGETAN_44378</v>
      </c>
      <c r="C116" t="s">
        <v>6</v>
      </c>
      <c r="D116" t="s">
        <v>52</v>
      </c>
      <c r="E116">
        <v>7</v>
      </c>
      <c r="F116">
        <v>2021</v>
      </c>
      <c r="G116" s="1">
        <f>DATE(Table2[[#This Row],[Tahun]],Table2[[#This Row],[Bulan]],1)</f>
        <v>44378</v>
      </c>
      <c r="H116">
        <v>120</v>
      </c>
    </row>
    <row r="117" spans="1:8" x14ac:dyDescent="0.25">
      <c r="A117">
        <v>116</v>
      </c>
      <c r="B117" t="str">
        <f>Table2[[#This Row],[Propinsi]]&amp;"_"&amp;Table2[[#This Row],[Dati 2]]&amp;"_"&amp;Table2[[#This Row],[Tanggal]]</f>
        <v>JAWA TIMUR_MAGETAN_44409</v>
      </c>
      <c r="C117" t="s">
        <v>6</v>
      </c>
      <c r="D117" t="s">
        <v>52</v>
      </c>
      <c r="E117">
        <v>8</v>
      </c>
      <c r="F117">
        <v>2021</v>
      </c>
      <c r="G117" s="1">
        <f>DATE(Table2[[#This Row],[Tahun]],Table2[[#This Row],[Bulan]],1)</f>
        <v>44409</v>
      </c>
      <c r="H117">
        <v>120</v>
      </c>
    </row>
    <row r="118" spans="1:8" x14ac:dyDescent="0.25">
      <c r="A118">
        <v>117</v>
      </c>
      <c r="B118" t="str">
        <f>Table2[[#This Row],[Propinsi]]&amp;"_"&amp;Table2[[#This Row],[Dati 2]]&amp;"_"&amp;Table2[[#This Row],[Tanggal]]</f>
        <v>JAWA TIMUR_MAGETAN_44440</v>
      </c>
      <c r="C118" t="s">
        <v>6</v>
      </c>
      <c r="D118" t="s">
        <v>52</v>
      </c>
      <c r="E118">
        <v>9</v>
      </c>
      <c r="F118">
        <v>2021</v>
      </c>
      <c r="G118" s="1">
        <f>DATE(Table2[[#This Row],[Tahun]],Table2[[#This Row],[Bulan]],1)</f>
        <v>44440</v>
      </c>
      <c r="H118">
        <v>123</v>
      </c>
    </row>
    <row r="119" spans="1:8" x14ac:dyDescent="0.25">
      <c r="A119">
        <v>118</v>
      </c>
      <c r="B119" t="str">
        <f>Table2[[#This Row],[Propinsi]]&amp;"_"&amp;Table2[[#This Row],[Dati 2]]&amp;"_"&amp;Table2[[#This Row],[Tanggal]]</f>
        <v>JAWA TIMUR_MAGETAN_44470</v>
      </c>
      <c r="C119" t="s">
        <v>6</v>
      </c>
      <c r="D119" t="s">
        <v>52</v>
      </c>
      <c r="E119">
        <v>10</v>
      </c>
      <c r="F119">
        <v>2021</v>
      </c>
      <c r="G119" s="1">
        <f>DATE(Table2[[#This Row],[Tahun]],Table2[[#This Row],[Bulan]],1)</f>
        <v>44470</v>
      </c>
      <c r="H119">
        <v>125</v>
      </c>
    </row>
    <row r="120" spans="1:8" x14ac:dyDescent="0.25">
      <c r="A120">
        <v>119</v>
      </c>
      <c r="B120" t="str">
        <f>Table2[[#This Row],[Propinsi]]&amp;"_"&amp;Table2[[#This Row],[Dati 2]]&amp;"_"&amp;Table2[[#This Row],[Tanggal]]</f>
        <v>JAWA TIMUR_MAGETAN_44501</v>
      </c>
      <c r="C120" t="s">
        <v>6</v>
      </c>
      <c r="D120" t="s">
        <v>52</v>
      </c>
      <c r="E120">
        <v>11</v>
      </c>
      <c r="F120">
        <v>2021</v>
      </c>
      <c r="G120" s="1">
        <f>DATE(Table2[[#This Row],[Tahun]],Table2[[#This Row],[Bulan]],1)</f>
        <v>44501</v>
      </c>
      <c r="H120">
        <v>124</v>
      </c>
    </row>
    <row r="121" spans="1:8" x14ac:dyDescent="0.25">
      <c r="A121">
        <v>120</v>
      </c>
      <c r="B121" t="str">
        <f>Table2[[#This Row],[Propinsi]]&amp;"_"&amp;Table2[[#This Row],[Dati 2]]&amp;"_"&amp;Table2[[#This Row],[Tanggal]]</f>
        <v>JAWA TIMUR_MAGETAN_44531</v>
      </c>
      <c r="C121" t="s">
        <v>6</v>
      </c>
      <c r="D121" t="s">
        <v>52</v>
      </c>
      <c r="E121">
        <v>12</v>
      </c>
      <c r="F121">
        <v>2021</v>
      </c>
      <c r="G121" s="1">
        <f>DATE(Table2[[#This Row],[Tahun]],Table2[[#This Row],[Bulan]],1)</f>
        <v>44531</v>
      </c>
      <c r="H121">
        <v>128</v>
      </c>
    </row>
    <row r="122" spans="1:8" x14ac:dyDescent="0.25">
      <c r="A122">
        <v>121</v>
      </c>
      <c r="B122" t="str">
        <f>Table2[[#This Row],[Propinsi]]&amp;"_"&amp;Table2[[#This Row],[Dati 2]]&amp;"_"&amp;Table2[[#This Row],[Tanggal]]</f>
        <v>JAWA TIMUR_NGAWI_44197</v>
      </c>
      <c r="C122" t="s">
        <v>6</v>
      </c>
      <c r="D122" t="s">
        <v>53</v>
      </c>
      <c r="E122">
        <v>1</v>
      </c>
      <c r="F122">
        <v>2021</v>
      </c>
      <c r="G122" s="1">
        <f>DATE(Table2[[#This Row],[Tahun]],Table2[[#This Row],[Bulan]],1)</f>
        <v>44197</v>
      </c>
      <c r="H122">
        <v>220</v>
      </c>
    </row>
    <row r="123" spans="1:8" x14ac:dyDescent="0.25">
      <c r="A123">
        <v>122</v>
      </c>
      <c r="B123" t="str">
        <f>Table2[[#This Row],[Propinsi]]&amp;"_"&amp;Table2[[#This Row],[Dati 2]]&amp;"_"&amp;Table2[[#This Row],[Tanggal]]</f>
        <v>JAWA TIMUR_NGAWI_44228</v>
      </c>
      <c r="C123" t="s">
        <v>6</v>
      </c>
      <c r="D123" t="s">
        <v>53</v>
      </c>
      <c r="E123">
        <v>2</v>
      </c>
      <c r="F123">
        <v>2021</v>
      </c>
      <c r="G123" s="1">
        <f>DATE(Table2[[#This Row],[Tahun]],Table2[[#This Row],[Bulan]],1)</f>
        <v>44228</v>
      </c>
      <c r="H123">
        <v>220</v>
      </c>
    </row>
    <row r="124" spans="1:8" x14ac:dyDescent="0.25">
      <c r="A124">
        <v>123</v>
      </c>
      <c r="B124" t="str">
        <f>Table2[[#This Row],[Propinsi]]&amp;"_"&amp;Table2[[#This Row],[Dati 2]]&amp;"_"&amp;Table2[[#This Row],[Tanggal]]</f>
        <v>JAWA TIMUR_NGAWI_44256</v>
      </c>
      <c r="C124" t="s">
        <v>6</v>
      </c>
      <c r="D124" t="s">
        <v>53</v>
      </c>
      <c r="E124">
        <v>3</v>
      </c>
      <c r="F124">
        <v>2021</v>
      </c>
      <c r="G124" s="1">
        <f>DATE(Table2[[#This Row],[Tahun]],Table2[[#This Row],[Bulan]],1)</f>
        <v>44256</v>
      </c>
      <c r="H124">
        <v>225</v>
      </c>
    </row>
    <row r="125" spans="1:8" x14ac:dyDescent="0.25">
      <c r="A125">
        <v>124</v>
      </c>
      <c r="B125" t="str">
        <f>Table2[[#This Row],[Propinsi]]&amp;"_"&amp;Table2[[#This Row],[Dati 2]]&amp;"_"&amp;Table2[[#This Row],[Tanggal]]</f>
        <v>JAWA TIMUR_NGAWI_44287</v>
      </c>
      <c r="C125" t="s">
        <v>6</v>
      </c>
      <c r="D125" t="s">
        <v>53</v>
      </c>
      <c r="E125">
        <v>4</v>
      </c>
      <c r="F125">
        <v>2021</v>
      </c>
      <c r="G125" s="1">
        <f>DATE(Table2[[#This Row],[Tahun]],Table2[[#This Row],[Bulan]],1)</f>
        <v>44287</v>
      </c>
      <c r="H125">
        <v>226</v>
      </c>
    </row>
    <row r="126" spans="1:8" x14ac:dyDescent="0.25">
      <c r="A126">
        <v>125</v>
      </c>
      <c r="B126" t="str">
        <f>Table2[[#This Row],[Propinsi]]&amp;"_"&amp;Table2[[#This Row],[Dati 2]]&amp;"_"&amp;Table2[[#This Row],[Tanggal]]</f>
        <v>JAWA TIMUR_NGAWI_44317</v>
      </c>
      <c r="C126" t="s">
        <v>6</v>
      </c>
      <c r="D126" t="s">
        <v>53</v>
      </c>
      <c r="E126">
        <v>5</v>
      </c>
      <c r="F126">
        <v>2021</v>
      </c>
      <c r="G126" s="1">
        <f>DATE(Table2[[#This Row],[Tahun]],Table2[[#This Row],[Bulan]],1)</f>
        <v>44317</v>
      </c>
      <c r="H126">
        <v>228</v>
      </c>
    </row>
    <row r="127" spans="1:8" x14ac:dyDescent="0.25">
      <c r="A127">
        <v>126</v>
      </c>
      <c r="B127" t="str">
        <f>Table2[[#This Row],[Propinsi]]&amp;"_"&amp;Table2[[#This Row],[Dati 2]]&amp;"_"&amp;Table2[[#This Row],[Tanggal]]</f>
        <v>JAWA TIMUR_NGAWI_44348</v>
      </c>
      <c r="C127" t="s">
        <v>6</v>
      </c>
      <c r="D127" t="s">
        <v>53</v>
      </c>
      <c r="E127">
        <v>6</v>
      </c>
      <c r="F127">
        <v>2021</v>
      </c>
      <c r="G127" s="1">
        <f>DATE(Table2[[#This Row],[Tahun]],Table2[[#This Row],[Bulan]],1)</f>
        <v>44348</v>
      </c>
      <c r="H127">
        <v>231</v>
      </c>
    </row>
    <row r="128" spans="1:8" x14ac:dyDescent="0.25">
      <c r="A128">
        <v>127</v>
      </c>
      <c r="B128" t="str">
        <f>Table2[[#This Row],[Propinsi]]&amp;"_"&amp;Table2[[#This Row],[Dati 2]]&amp;"_"&amp;Table2[[#This Row],[Tanggal]]</f>
        <v>JAWA TIMUR_NGAWI_44378</v>
      </c>
      <c r="C128" t="s">
        <v>6</v>
      </c>
      <c r="D128" t="s">
        <v>53</v>
      </c>
      <c r="E128">
        <v>7</v>
      </c>
      <c r="F128">
        <v>2021</v>
      </c>
      <c r="G128" s="1">
        <f>DATE(Table2[[#This Row],[Tahun]],Table2[[#This Row],[Bulan]],1)</f>
        <v>44378</v>
      </c>
      <c r="H128">
        <v>230</v>
      </c>
    </row>
    <row r="129" spans="1:8" x14ac:dyDescent="0.25">
      <c r="A129">
        <v>128</v>
      </c>
      <c r="B129" t="str">
        <f>Table2[[#This Row],[Propinsi]]&amp;"_"&amp;Table2[[#This Row],[Dati 2]]&amp;"_"&amp;Table2[[#This Row],[Tanggal]]</f>
        <v>JAWA TIMUR_NGAWI_44409</v>
      </c>
      <c r="C129" t="s">
        <v>6</v>
      </c>
      <c r="D129" t="s">
        <v>53</v>
      </c>
      <c r="E129">
        <v>8</v>
      </c>
      <c r="F129">
        <v>2021</v>
      </c>
      <c r="G129" s="1">
        <f>DATE(Table2[[#This Row],[Tahun]],Table2[[#This Row],[Bulan]],1)</f>
        <v>44409</v>
      </c>
      <c r="H129">
        <v>235</v>
      </c>
    </row>
    <row r="130" spans="1:8" x14ac:dyDescent="0.25">
      <c r="A130">
        <v>129</v>
      </c>
      <c r="B130" t="str">
        <f>Table2[[#This Row],[Propinsi]]&amp;"_"&amp;Table2[[#This Row],[Dati 2]]&amp;"_"&amp;Table2[[#This Row],[Tanggal]]</f>
        <v>JAWA TIMUR_NGAWI_44440</v>
      </c>
      <c r="C130" t="s">
        <v>6</v>
      </c>
      <c r="D130" t="s">
        <v>53</v>
      </c>
      <c r="E130">
        <v>9</v>
      </c>
      <c r="F130">
        <v>2021</v>
      </c>
      <c r="G130" s="1">
        <f>DATE(Table2[[#This Row],[Tahun]],Table2[[#This Row],[Bulan]],1)</f>
        <v>44440</v>
      </c>
      <c r="H130">
        <v>242</v>
      </c>
    </row>
    <row r="131" spans="1:8" x14ac:dyDescent="0.25">
      <c r="A131">
        <v>130</v>
      </c>
      <c r="B131" t="str">
        <f>Table2[[#This Row],[Propinsi]]&amp;"_"&amp;Table2[[#This Row],[Dati 2]]&amp;"_"&amp;Table2[[#This Row],[Tanggal]]</f>
        <v>JAWA TIMUR_NGAWI_44470</v>
      </c>
      <c r="C131" t="s">
        <v>6</v>
      </c>
      <c r="D131" t="s">
        <v>53</v>
      </c>
      <c r="E131">
        <v>10</v>
      </c>
      <c r="F131">
        <v>2021</v>
      </c>
      <c r="G131" s="1">
        <f>DATE(Table2[[#This Row],[Tahun]],Table2[[#This Row],[Bulan]],1)</f>
        <v>44470</v>
      </c>
      <c r="H131">
        <v>243</v>
      </c>
    </row>
    <row r="132" spans="1:8" x14ac:dyDescent="0.25">
      <c r="A132">
        <v>131</v>
      </c>
      <c r="B132" t="str">
        <f>Table2[[#This Row],[Propinsi]]&amp;"_"&amp;Table2[[#This Row],[Dati 2]]&amp;"_"&amp;Table2[[#This Row],[Tanggal]]</f>
        <v>JAWA TIMUR_NGAWI_44501</v>
      </c>
      <c r="C132" t="s">
        <v>6</v>
      </c>
      <c r="D132" t="s">
        <v>53</v>
      </c>
      <c r="E132">
        <v>11</v>
      </c>
      <c r="F132">
        <v>2021</v>
      </c>
      <c r="G132" s="1">
        <f>DATE(Table2[[#This Row],[Tahun]],Table2[[#This Row],[Bulan]],1)</f>
        <v>44501</v>
      </c>
      <c r="H132">
        <v>249</v>
      </c>
    </row>
    <row r="133" spans="1:8" x14ac:dyDescent="0.25">
      <c r="A133">
        <v>132</v>
      </c>
      <c r="B133" t="str">
        <f>Table2[[#This Row],[Propinsi]]&amp;"_"&amp;Table2[[#This Row],[Dati 2]]&amp;"_"&amp;Table2[[#This Row],[Tanggal]]</f>
        <v>JAWA TIMUR_NGAWI_44531</v>
      </c>
      <c r="C133" t="s">
        <v>6</v>
      </c>
      <c r="D133" t="s">
        <v>53</v>
      </c>
      <c r="E133">
        <v>12</v>
      </c>
      <c r="F133">
        <v>2021</v>
      </c>
      <c r="G133" s="1">
        <f>DATE(Table2[[#This Row],[Tahun]],Table2[[#This Row],[Bulan]],1)</f>
        <v>44531</v>
      </c>
      <c r="H133">
        <v>248</v>
      </c>
    </row>
    <row r="134" spans="1:8" x14ac:dyDescent="0.25">
      <c r="A134">
        <v>133</v>
      </c>
      <c r="B134" t="str">
        <f>Table2[[#This Row],[Propinsi]]&amp;"_"&amp;Table2[[#This Row],[Dati 2]]&amp;"_"&amp;Table2[[#This Row],[Tanggal]]</f>
        <v>JAWA TIMUR_PONOROGO_44197</v>
      </c>
      <c r="C134" t="s">
        <v>6</v>
      </c>
      <c r="D134" t="s">
        <v>54</v>
      </c>
      <c r="E134">
        <v>1</v>
      </c>
      <c r="F134">
        <v>2021</v>
      </c>
      <c r="G134" s="1">
        <f>DATE(Table2[[#This Row],[Tahun]],Table2[[#This Row],[Bulan]],1)</f>
        <v>44197</v>
      </c>
      <c r="H134">
        <v>257</v>
      </c>
    </row>
    <row r="135" spans="1:8" x14ac:dyDescent="0.25">
      <c r="A135">
        <v>134</v>
      </c>
      <c r="B135" t="str">
        <f>Table2[[#This Row],[Propinsi]]&amp;"_"&amp;Table2[[#This Row],[Dati 2]]&amp;"_"&amp;Table2[[#This Row],[Tanggal]]</f>
        <v>JAWA TIMUR_PONOROGO_44228</v>
      </c>
      <c r="C135" t="s">
        <v>6</v>
      </c>
      <c r="D135" t="s">
        <v>54</v>
      </c>
      <c r="E135">
        <v>2</v>
      </c>
      <c r="F135">
        <v>2021</v>
      </c>
      <c r="G135" s="1">
        <f>DATE(Table2[[#This Row],[Tahun]],Table2[[#This Row],[Bulan]],1)</f>
        <v>44228</v>
      </c>
      <c r="H135">
        <v>257</v>
      </c>
    </row>
    <row r="136" spans="1:8" x14ac:dyDescent="0.25">
      <c r="A136">
        <v>135</v>
      </c>
      <c r="B136" t="str">
        <f>Table2[[#This Row],[Propinsi]]&amp;"_"&amp;Table2[[#This Row],[Dati 2]]&amp;"_"&amp;Table2[[#This Row],[Tanggal]]</f>
        <v>JAWA TIMUR_PONOROGO_44256</v>
      </c>
      <c r="C136" t="s">
        <v>6</v>
      </c>
      <c r="D136" t="s">
        <v>54</v>
      </c>
      <c r="E136">
        <v>3</v>
      </c>
      <c r="F136">
        <v>2021</v>
      </c>
      <c r="G136" s="1">
        <f>DATE(Table2[[#This Row],[Tahun]],Table2[[#This Row],[Bulan]],1)</f>
        <v>44256</v>
      </c>
      <c r="H136">
        <v>262</v>
      </c>
    </row>
    <row r="137" spans="1:8" x14ac:dyDescent="0.25">
      <c r="A137">
        <v>136</v>
      </c>
      <c r="B137" t="str">
        <f>Table2[[#This Row],[Propinsi]]&amp;"_"&amp;Table2[[#This Row],[Dati 2]]&amp;"_"&amp;Table2[[#This Row],[Tanggal]]</f>
        <v>JAWA TIMUR_PONOROGO_44287</v>
      </c>
      <c r="C137" t="s">
        <v>6</v>
      </c>
      <c r="D137" t="s">
        <v>54</v>
      </c>
      <c r="E137">
        <v>4</v>
      </c>
      <c r="F137">
        <v>2021</v>
      </c>
      <c r="G137" s="1">
        <f>DATE(Table2[[#This Row],[Tahun]],Table2[[#This Row],[Bulan]],1)</f>
        <v>44287</v>
      </c>
      <c r="H137">
        <v>262</v>
      </c>
    </row>
    <row r="138" spans="1:8" x14ac:dyDescent="0.25">
      <c r="A138">
        <v>137</v>
      </c>
      <c r="B138" t="str">
        <f>Table2[[#This Row],[Propinsi]]&amp;"_"&amp;Table2[[#This Row],[Dati 2]]&amp;"_"&amp;Table2[[#This Row],[Tanggal]]</f>
        <v>JAWA TIMUR_PONOROGO_44317</v>
      </c>
      <c r="C138" t="s">
        <v>6</v>
      </c>
      <c r="D138" t="s">
        <v>54</v>
      </c>
      <c r="E138">
        <v>5</v>
      </c>
      <c r="F138">
        <v>2021</v>
      </c>
      <c r="G138" s="1">
        <f>DATE(Table2[[#This Row],[Tahun]],Table2[[#This Row],[Bulan]],1)</f>
        <v>44317</v>
      </c>
      <c r="H138">
        <v>267</v>
      </c>
    </row>
    <row r="139" spans="1:8" x14ac:dyDescent="0.25">
      <c r="A139">
        <v>138</v>
      </c>
      <c r="B139" t="str">
        <f>Table2[[#This Row],[Propinsi]]&amp;"_"&amp;Table2[[#This Row],[Dati 2]]&amp;"_"&amp;Table2[[#This Row],[Tanggal]]</f>
        <v>JAWA TIMUR_PONOROGO_44348</v>
      </c>
      <c r="C139" t="s">
        <v>6</v>
      </c>
      <c r="D139" t="s">
        <v>54</v>
      </c>
      <c r="E139">
        <v>6</v>
      </c>
      <c r="F139">
        <v>2021</v>
      </c>
      <c r="G139" s="1">
        <f>DATE(Table2[[#This Row],[Tahun]],Table2[[#This Row],[Bulan]],1)</f>
        <v>44348</v>
      </c>
      <c r="H139">
        <v>267</v>
      </c>
    </row>
    <row r="140" spans="1:8" x14ac:dyDescent="0.25">
      <c r="A140">
        <v>139</v>
      </c>
      <c r="B140" t="str">
        <f>Table2[[#This Row],[Propinsi]]&amp;"_"&amp;Table2[[#This Row],[Dati 2]]&amp;"_"&amp;Table2[[#This Row],[Tanggal]]</f>
        <v>JAWA TIMUR_PONOROGO_44378</v>
      </c>
      <c r="C140" t="s">
        <v>6</v>
      </c>
      <c r="D140" t="s">
        <v>54</v>
      </c>
      <c r="E140">
        <v>7</v>
      </c>
      <c r="F140">
        <v>2021</v>
      </c>
      <c r="G140" s="1">
        <f>DATE(Table2[[#This Row],[Tahun]],Table2[[#This Row],[Bulan]],1)</f>
        <v>44378</v>
      </c>
      <c r="H140">
        <v>268</v>
      </c>
    </row>
    <row r="141" spans="1:8" x14ac:dyDescent="0.25">
      <c r="A141">
        <v>140</v>
      </c>
      <c r="B141" t="str">
        <f>Table2[[#This Row],[Propinsi]]&amp;"_"&amp;Table2[[#This Row],[Dati 2]]&amp;"_"&amp;Table2[[#This Row],[Tanggal]]</f>
        <v>JAWA TIMUR_PONOROGO_44409</v>
      </c>
      <c r="C141" t="s">
        <v>6</v>
      </c>
      <c r="D141" t="s">
        <v>54</v>
      </c>
      <c r="E141">
        <v>8</v>
      </c>
      <c r="F141">
        <v>2021</v>
      </c>
      <c r="G141" s="1">
        <f>DATE(Table2[[#This Row],[Tahun]],Table2[[#This Row],[Bulan]],1)</f>
        <v>44409</v>
      </c>
      <c r="H141">
        <v>271</v>
      </c>
    </row>
    <row r="142" spans="1:8" x14ac:dyDescent="0.25">
      <c r="A142">
        <v>141</v>
      </c>
      <c r="B142" t="str">
        <f>Table2[[#This Row],[Propinsi]]&amp;"_"&amp;Table2[[#This Row],[Dati 2]]&amp;"_"&amp;Table2[[#This Row],[Tanggal]]</f>
        <v>JAWA TIMUR_PONOROGO_44440</v>
      </c>
      <c r="C142" t="s">
        <v>6</v>
      </c>
      <c r="D142" t="s">
        <v>54</v>
      </c>
      <c r="E142">
        <v>9</v>
      </c>
      <c r="F142">
        <v>2021</v>
      </c>
      <c r="G142" s="1">
        <f>DATE(Table2[[#This Row],[Tahun]],Table2[[#This Row],[Bulan]],1)</f>
        <v>44440</v>
      </c>
      <c r="H142">
        <v>273</v>
      </c>
    </row>
    <row r="143" spans="1:8" x14ac:dyDescent="0.25">
      <c r="A143">
        <v>142</v>
      </c>
      <c r="B143" t="str">
        <f>Table2[[#This Row],[Propinsi]]&amp;"_"&amp;Table2[[#This Row],[Dati 2]]&amp;"_"&amp;Table2[[#This Row],[Tanggal]]</f>
        <v>JAWA TIMUR_PONOROGO_44470</v>
      </c>
      <c r="C143" t="s">
        <v>6</v>
      </c>
      <c r="D143" t="s">
        <v>54</v>
      </c>
      <c r="E143">
        <v>10</v>
      </c>
      <c r="F143">
        <v>2021</v>
      </c>
      <c r="G143" s="1">
        <f>DATE(Table2[[#This Row],[Tahun]],Table2[[#This Row],[Bulan]],1)</f>
        <v>44470</v>
      </c>
      <c r="H143">
        <v>274</v>
      </c>
    </row>
    <row r="144" spans="1:8" x14ac:dyDescent="0.25">
      <c r="A144">
        <v>143</v>
      </c>
      <c r="B144" t="str">
        <f>Table2[[#This Row],[Propinsi]]&amp;"_"&amp;Table2[[#This Row],[Dati 2]]&amp;"_"&amp;Table2[[#This Row],[Tanggal]]</f>
        <v>JAWA TIMUR_PONOROGO_44501</v>
      </c>
      <c r="C144" t="s">
        <v>6</v>
      </c>
      <c r="D144" t="s">
        <v>54</v>
      </c>
      <c r="E144">
        <v>11</v>
      </c>
      <c r="F144">
        <v>2021</v>
      </c>
      <c r="G144" s="1">
        <f>DATE(Table2[[#This Row],[Tahun]],Table2[[#This Row],[Bulan]],1)</f>
        <v>44501</v>
      </c>
      <c r="H144">
        <v>274</v>
      </c>
    </row>
    <row r="145" spans="1:8" x14ac:dyDescent="0.25">
      <c r="A145">
        <v>144</v>
      </c>
      <c r="B145" t="str">
        <f>Table2[[#This Row],[Propinsi]]&amp;"_"&amp;Table2[[#This Row],[Dati 2]]&amp;"_"&amp;Table2[[#This Row],[Tanggal]]</f>
        <v>JAWA TIMUR_PONOROGO_44531</v>
      </c>
      <c r="C145" t="s">
        <v>6</v>
      </c>
      <c r="D145" t="s">
        <v>54</v>
      </c>
      <c r="E145">
        <v>12</v>
      </c>
      <c r="F145">
        <v>2021</v>
      </c>
      <c r="G145" s="1">
        <f>DATE(Table2[[#This Row],[Tahun]],Table2[[#This Row],[Bulan]],1)</f>
        <v>44531</v>
      </c>
      <c r="H145">
        <v>278</v>
      </c>
    </row>
    <row r="146" spans="1:8" x14ac:dyDescent="0.25">
      <c r="A146">
        <v>145</v>
      </c>
      <c r="B146" t="str">
        <f>Table2[[#This Row],[Propinsi]]&amp;"_"&amp;Table2[[#This Row],[Dati 2]]&amp;"_"&amp;Table2[[#This Row],[Tanggal]]</f>
        <v>JAWA TIMUR_PACITAN_44197</v>
      </c>
      <c r="C146" t="s">
        <v>6</v>
      </c>
      <c r="D146" t="s">
        <v>55</v>
      </c>
      <c r="E146">
        <v>1</v>
      </c>
      <c r="F146">
        <v>2021</v>
      </c>
      <c r="G146" s="1">
        <f>DATE(Table2[[#This Row],[Tahun]],Table2[[#This Row],[Bulan]],1)</f>
        <v>44197</v>
      </c>
      <c r="H146">
        <v>206</v>
      </c>
    </row>
    <row r="147" spans="1:8" x14ac:dyDescent="0.25">
      <c r="A147">
        <v>146</v>
      </c>
      <c r="B147" t="str">
        <f>Table2[[#This Row],[Propinsi]]&amp;"_"&amp;Table2[[#This Row],[Dati 2]]&amp;"_"&amp;Table2[[#This Row],[Tanggal]]</f>
        <v>JAWA TIMUR_PACITAN_44228</v>
      </c>
      <c r="C147" t="s">
        <v>6</v>
      </c>
      <c r="D147" t="s">
        <v>55</v>
      </c>
      <c r="E147">
        <v>2</v>
      </c>
      <c r="F147">
        <v>2021</v>
      </c>
      <c r="G147" s="1">
        <f>DATE(Table2[[#This Row],[Tahun]],Table2[[#This Row],[Bulan]],1)</f>
        <v>44228</v>
      </c>
      <c r="H147">
        <v>213</v>
      </c>
    </row>
    <row r="148" spans="1:8" x14ac:dyDescent="0.25">
      <c r="A148">
        <v>147</v>
      </c>
      <c r="B148" t="str">
        <f>Table2[[#This Row],[Propinsi]]&amp;"_"&amp;Table2[[#This Row],[Dati 2]]&amp;"_"&amp;Table2[[#This Row],[Tanggal]]</f>
        <v>JAWA TIMUR_PACITAN_44256</v>
      </c>
      <c r="C148" t="s">
        <v>6</v>
      </c>
      <c r="D148" t="s">
        <v>55</v>
      </c>
      <c r="E148">
        <v>3</v>
      </c>
      <c r="F148">
        <v>2021</v>
      </c>
      <c r="G148" s="1">
        <f>DATE(Table2[[#This Row],[Tahun]],Table2[[#This Row],[Bulan]],1)</f>
        <v>44256</v>
      </c>
      <c r="H148">
        <v>218</v>
      </c>
    </row>
    <row r="149" spans="1:8" x14ac:dyDescent="0.25">
      <c r="A149">
        <v>148</v>
      </c>
      <c r="B149" t="str">
        <f>Table2[[#This Row],[Propinsi]]&amp;"_"&amp;Table2[[#This Row],[Dati 2]]&amp;"_"&amp;Table2[[#This Row],[Tanggal]]</f>
        <v>JAWA TIMUR_PACITAN_44287</v>
      </c>
      <c r="C149" t="s">
        <v>6</v>
      </c>
      <c r="D149" t="s">
        <v>55</v>
      </c>
      <c r="E149">
        <v>4</v>
      </c>
      <c r="F149">
        <v>2021</v>
      </c>
      <c r="G149" s="1">
        <f>DATE(Table2[[#This Row],[Tahun]],Table2[[#This Row],[Bulan]],1)</f>
        <v>44287</v>
      </c>
      <c r="H149">
        <v>216</v>
      </c>
    </row>
    <row r="150" spans="1:8" x14ac:dyDescent="0.25">
      <c r="A150">
        <v>149</v>
      </c>
      <c r="B150" t="str">
        <f>Table2[[#This Row],[Propinsi]]&amp;"_"&amp;Table2[[#This Row],[Dati 2]]&amp;"_"&amp;Table2[[#This Row],[Tanggal]]</f>
        <v>JAWA TIMUR_PACITAN_44317</v>
      </c>
      <c r="C150" t="s">
        <v>6</v>
      </c>
      <c r="D150" t="s">
        <v>55</v>
      </c>
      <c r="E150">
        <v>5</v>
      </c>
      <c r="F150">
        <v>2021</v>
      </c>
      <c r="G150" s="1">
        <f>DATE(Table2[[#This Row],[Tahun]],Table2[[#This Row],[Bulan]],1)</f>
        <v>44317</v>
      </c>
      <c r="H150">
        <v>218</v>
      </c>
    </row>
    <row r="151" spans="1:8" x14ac:dyDescent="0.25">
      <c r="A151">
        <v>150</v>
      </c>
      <c r="B151" t="str">
        <f>Table2[[#This Row],[Propinsi]]&amp;"_"&amp;Table2[[#This Row],[Dati 2]]&amp;"_"&amp;Table2[[#This Row],[Tanggal]]</f>
        <v>JAWA TIMUR_PACITAN_44348</v>
      </c>
      <c r="C151" t="s">
        <v>6</v>
      </c>
      <c r="D151" t="s">
        <v>55</v>
      </c>
      <c r="E151">
        <v>6</v>
      </c>
      <c r="F151">
        <v>2021</v>
      </c>
      <c r="G151" s="1">
        <f>DATE(Table2[[#This Row],[Tahun]],Table2[[#This Row],[Bulan]],1)</f>
        <v>44348</v>
      </c>
      <c r="H151">
        <v>219</v>
      </c>
    </row>
    <row r="152" spans="1:8" x14ac:dyDescent="0.25">
      <c r="A152">
        <v>151</v>
      </c>
      <c r="B152" t="str">
        <f>Table2[[#This Row],[Propinsi]]&amp;"_"&amp;Table2[[#This Row],[Dati 2]]&amp;"_"&amp;Table2[[#This Row],[Tanggal]]</f>
        <v>JAWA TIMUR_PACITAN_44378</v>
      </c>
      <c r="C152" t="s">
        <v>6</v>
      </c>
      <c r="D152" t="s">
        <v>55</v>
      </c>
      <c r="E152">
        <v>7</v>
      </c>
      <c r="F152">
        <v>2021</v>
      </c>
      <c r="G152" s="1">
        <f>DATE(Table2[[#This Row],[Tahun]],Table2[[#This Row],[Bulan]],1)</f>
        <v>44378</v>
      </c>
      <c r="H152">
        <v>219</v>
      </c>
    </row>
    <row r="153" spans="1:8" x14ac:dyDescent="0.25">
      <c r="A153">
        <v>152</v>
      </c>
      <c r="B153" t="str">
        <f>Table2[[#This Row],[Propinsi]]&amp;"_"&amp;Table2[[#This Row],[Dati 2]]&amp;"_"&amp;Table2[[#This Row],[Tanggal]]</f>
        <v>JAWA TIMUR_PACITAN_44409</v>
      </c>
      <c r="C153" t="s">
        <v>6</v>
      </c>
      <c r="D153" t="s">
        <v>55</v>
      </c>
      <c r="E153">
        <v>8</v>
      </c>
      <c r="F153">
        <v>2021</v>
      </c>
      <c r="G153" s="1">
        <f>DATE(Table2[[#This Row],[Tahun]],Table2[[#This Row],[Bulan]],1)</f>
        <v>44409</v>
      </c>
      <c r="H153">
        <v>226</v>
      </c>
    </row>
    <row r="154" spans="1:8" x14ac:dyDescent="0.25">
      <c r="A154">
        <v>153</v>
      </c>
      <c r="B154" t="str">
        <f>Table2[[#This Row],[Propinsi]]&amp;"_"&amp;Table2[[#This Row],[Dati 2]]&amp;"_"&amp;Table2[[#This Row],[Tanggal]]</f>
        <v>JAWA TIMUR_PACITAN_44440</v>
      </c>
      <c r="C154" t="s">
        <v>6</v>
      </c>
      <c r="D154" t="s">
        <v>55</v>
      </c>
      <c r="E154">
        <v>9</v>
      </c>
      <c r="F154">
        <v>2021</v>
      </c>
      <c r="G154" s="1">
        <f>DATE(Table2[[#This Row],[Tahun]],Table2[[#This Row],[Bulan]],1)</f>
        <v>44440</v>
      </c>
      <c r="H154">
        <v>226</v>
      </c>
    </row>
    <row r="155" spans="1:8" x14ac:dyDescent="0.25">
      <c r="A155">
        <v>154</v>
      </c>
      <c r="B155" t="str">
        <f>Table2[[#This Row],[Propinsi]]&amp;"_"&amp;Table2[[#This Row],[Dati 2]]&amp;"_"&amp;Table2[[#This Row],[Tanggal]]</f>
        <v>JAWA TIMUR_PACITAN_44470</v>
      </c>
      <c r="C155" t="s">
        <v>6</v>
      </c>
      <c r="D155" t="s">
        <v>55</v>
      </c>
      <c r="E155">
        <v>10</v>
      </c>
      <c r="F155">
        <v>2021</v>
      </c>
      <c r="G155" s="1">
        <f>DATE(Table2[[#This Row],[Tahun]],Table2[[#This Row],[Bulan]],1)</f>
        <v>44470</v>
      </c>
      <c r="H155">
        <v>227</v>
      </c>
    </row>
    <row r="156" spans="1:8" x14ac:dyDescent="0.25">
      <c r="A156">
        <v>155</v>
      </c>
      <c r="B156" t="str">
        <f>Table2[[#This Row],[Propinsi]]&amp;"_"&amp;Table2[[#This Row],[Dati 2]]&amp;"_"&amp;Table2[[#This Row],[Tanggal]]</f>
        <v>JAWA TIMUR_PACITAN_44501</v>
      </c>
      <c r="C156" t="s">
        <v>6</v>
      </c>
      <c r="D156" t="s">
        <v>55</v>
      </c>
      <c r="E156">
        <v>11</v>
      </c>
      <c r="F156">
        <v>2021</v>
      </c>
      <c r="G156" s="1">
        <f>DATE(Table2[[#This Row],[Tahun]],Table2[[#This Row],[Bulan]],1)</f>
        <v>44501</v>
      </c>
      <c r="H156">
        <v>230</v>
      </c>
    </row>
    <row r="157" spans="1:8" x14ac:dyDescent="0.25">
      <c r="A157">
        <v>156</v>
      </c>
      <c r="B157" t="str">
        <f>Table2[[#This Row],[Propinsi]]&amp;"_"&amp;Table2[[#This Row],[Dati 2]]&amp;"_"&amp;Table2[[#This Row],[Tanggal]]</f>
        <v>JAWA TIMUR_PACITAN_44531</v>
      </c>
      <c r="C157" t="s">
        <v>6</v>
      </c>
      <c r="D157" t="s">
        <v>55</v>
      </c>
      <c r="E157">
        <v>12</v>
      </c>
      <c r="F157">
        <v>2021</v>
      </c>
      <c r="G157" s="1">
        <f>DATE(Table2[[#This Row],[Tahun]],Table2[[#This Row],[Bulan]],1)</f>
        <v>44531</v>
      </c>
      <c r="H157">
        <v>231</v>
      </c>
    </row>
    <row r="158" spans="1:8" x14ac:dyDescent="0.25">
      <c r="A158">
        <v>157</v>
      </c>
      <c r="B158" t="str">
        <f>Table2[[#This Row],[Propinsi]]&amp;"_"&amp;Table2[[#This Row],[Dati 2]]&amp;"_"&amp;Table2[[#This Row],[Tanggal]]</f>
        <v>JAWA TIMUR_KEDIRI_44197</v>
      </c>
      <c r="C158" t="s">
        <v>6</v>
      </c>
      <c r="D158" t="s">
        <v>56</v>
      </c>
      <c r="E158">
        <v>1</v>
      </c>
      <c r="F158">
        <v>2021</v>
      </c>
      <c r="G158" s="1">
        <f>DATE(Table2[[#This Row],[Tahun]],Table2[[#This Row],[Bulan]],1)</f>
        <v>44197</v>
      </c>
      <c r="H158">
        <v>138</v>
      </c>
    </row>
    <row r="159" spans="1:8" x14ac:dyDescent="0.25">
      <c r="A159">
        <v>158</v>
      </c>
      <c r="B159" t="str">
        <f>Table2[[#This Row],[Propinsi]]&amp;"_"&amp;Table2[[#This Row],[Dati 2]]&amp;"_"&amp;Table2[[#This Row],[Tanggal]]</f>
        <v>JAWA TIMUR_KEDIRI_44228</v>
      </c>
      <c r="C159" t="s">
        <v>6</v>
      </c>
      <c r="D159" t="s">
        <v>56</v>
      </c>
      <c r="E159">
        <v>2</v>
      </c>
      <c r="F159">
        <v>2021</v>
      </c>
      <c r="G159" s="1">
        <f>DATE(Table2[[#This Row],[Tahun]],Table2[[#This Row],[Bulan]],1)</f>
        <v>44228</v>
      </c>
      <c r="H159">
        <v>139</v>
      </c>
    </row>
    <row r="160" spans="1:8" x14ac:dyDescent="0.25">
      <c r="A160">
        <v>159</v>
      </c>
      <c r="B160" t="str">
        <f>Table2[[#This Row],[Propinsi]]&amp;"_"&amp;Table2[[#This Row],[Dati 2]]&amp;"_"&amp;Table2[[#This Row],[Tanggal]]</f>
        <v>JAWA TIMUR_KEDIRI_44256</v>
      </c>
      <c r="C160" t="s">
        <v>6</v>
      </c>
      <c r="D160" t="s">
        <v>56</v>
      </c>
      <c r="E160">
        <v>3</v>
      </c>
      <c r="F160">
        <v>2021</v>
      </c>
      <c r="G160" s="1">
        <f>DATE(Table2[[#This Row],[Tahun]],Table2[[#This Row],[Bulan]],1)</f>
        <v>44256</v>
      </c>
      <c r="H160">
        <v>140</v>
      </c>
    </row>
    <row r="161" spans="1:8" x14ac:dyDescent="0.25">
      <c r="A161">
        <v>160</v>
      </c>
      <c r="B161" t="str">
        <f>Table2[[#This Row],[Propinsi]]&amp;"_"&amp;Table2[[#This Row],[Dati 2]]&amp;"_"&amp;Table2[[#This Row],[Tanggal]]</f>
        <v>JAWA TIMUR_KEDIRI_44287</v>
      </c>
      <c r="C161" t="s">
        <v>6</v>
      </c>
      <c r="D161" t="s">
        <v>56</v>
      </c>
      <c r="E161">
        <v>4</v>
      </c>
      <c r="F161">
        <v>2021</v>
      </c>
      <c r="G161" s="1">
        <f>DATE(Table2[[#This Row],[Tahun]],Table2[[#This Row],[Bulan]],1)</f>
        <v>44287</v>
      </c>
      <c r="H161">
        <v>143</v>
      </c>
    </row>
    <row r="162" spans="1:8" x14ac:dyDescent="0.25">
      <c r="A162">
        <v>161</v>
      </c>
      <c r="B162" t="str">
        <f>Table2[[#This Row],[Propinsi]]&amp;"_"&amp;Table2[[#This Row],[Dati 2]]&amp;"_"&amp;Table2[[#This Row],[Tanggal]]</f>
        <v>JAWA TIMUR_KEDIRI_44317</v>
      </c>
      <c r="C162" t="s">
        <v>6</v>
      </c>
      <c r="D162" t="s">
        <v>56</v>
      </c>
      <c r="E162">
        <v>5</v>
      </c>
      <c r="F162">
        <v>2021</v>
      </c>
      <c r="G162" s="1">
        <f>DATE(Table2[[#This Row],[Tahun]],Table2[[#This Row],[Bulan]],1)</f>
        <v>44317</v>
      </c>
      <c r="H162">
        <v>149</v>
      </c>
    </row>
    <row r="163" spans="1:8" x14ac:dyDescent="0.25">
      <c r="A163">
        <v>162</v>
      </c>
      <c r="B163" t="str">
        <f>Table2[[#This Row],[Propinsi]]&amp;"_"&amp;Table2[[#This Row],[Dati 2]]&amp;"_"&amp;Table2[[#This Row],[Tanggal]]</f>
        <v>JAWA TIMUR_KEDIRI_44348</v>
      </c>
      <c r="C163" t="s">
        <v>6</v>
      </c>
      <c r="D163" t="s">
        <v>56</v>
      </c>
      <c r="E163">
        <v>6</v>
      </c>
      <c r="F163">
        <v>2021</v>
      </c>
      <c r="G163" s="1">
        <f>DATE(Table2[[#This Row],[Tahun]],Table2[[#This Row],[Bulan]],1)</f>
        <v>44348</v>
      </c>
      <c r="H163">
        <v>151</v>
      </c>
    </row>
    <row r="164" spans="1:8" x14ac:dyDescent="0.25">
      <c r="A164">
        <v>163</v>
      </c>
      <c r="B164" t="str">
        <f>Table2[[#This Row],[Propinsi]]&amp;"_"&amp;Table2[[#This Row],[Dati 2]]&amp;"_"&amp;Table2[[#This Row],[Tanggal]]</f>
        <v>JAWA TIMUR_KEDIRI_44378</v>
      </c>
      <c r="C164" t="s">
        <v>6</v>
      </c>
      <c r="D164" t="s">
        <v>56</v>
      </c>
      <c r="E164">
        <v>7</v>
      </c>
      <c r="F164">
        <v>2021</v>
      </c>
      <c r="G164" s="1">
        <f>DATE(Table2[[#This Row],[Tahun]],Table2[[#This Row],[Bulan]],1)</f>
        <v>44378</v>
      </c>
      <c r="H164">
        <v>153</v>
      </c>
    </row>
    <row r="165" spans="1:8" x14ac:dyDescent="0.25">
      <c r="A165">
        <v>164</v>
      </c>
      <c r="B165" t="str">
        <f>Table2[[#This Row],[Propinsi]]&amp;"_"&amp;Table2[[#This Row],[Dati 2]]&amp;"_"&amp;Table2[[#This Row],[Tanggal]]</f>
        <v>JAWA TIMUR_KEDIRI_44409</v>
      </c>
      <c r="C165" t="s">
        <v>6</v>
      </c>
      <c r="D165" t="s">
        <v>56</v>
      </c>
      <c r="E165">
        <v>8</v>
      </c>
      <c r="F165">
        <v>2021</v>
      </c>
      <c r="G165" s="1">
        <f>DATE(Table2[[#This Row],[Tahun]],Table2[[#This Row],[Bulan]],1)</f>
        <v>44409</v>
      </c>
      <c r="H165">
        <v>157</v>
      </c>
    </row>
    <row r="166" spans="1:8" x14ac:dyDescent="0.25">
      <c r="A166">
        <v>165</v>
      </c>
      <c r="B166" t="str">
        <f>Table2[[#This Row],[Propinsi]]&amp;"_"&amp;Table2[[#This Row],[Dati 2]]&amp;"_"&amp;Table2[[#This Row],[Tanggal]]</f>
        <v>JAWA TIMUR_KEDIRI_44440</v>
      </c>
      <c r="C166" t="s">
        <v>6</v>
      </c>
      <c r="D166" t="s">
        <v>56</v>
      </c>
      <c r="E166">
        <v>9</v>
      </c>
      <c r="F166">
        <v>2021</v>
      </c>
      <c r="G166" s="1">
        <f>DATE(Table2[[#This Row],[Tahun]],Table2[[#This Row],[Bulan]],1)</f>
        <v>44440</v>
      </c>
      <c r="H166">
        <v>158</v>
      </c>
    </row>
    <row r="167" spans="1:8" x14ac:dyDescent="0.25">
      <c r="A167">
        <v>166</v>
      </c>
      <c r="B167" t="str">
        <f>Table2[[#This Row],[Propinsi]]&amp;"_"&amp;Table2[[#This Row],[Dati 2]]&amp;"_"&amp;Table2[[#This Row],[Tanggal]]</f>
        <v>JAWA TIMUR_KEDIRI_44470</v>
      </c>
      <c r="C167" t="s">
        <v>6</v>
      </c>
      <c r="D167" t="s">
        <v>56</v>
      </c>
      <c r="E167">
        <v>10</v>
      </c>
      <c r="F167">
        <v>2021</v>
      </c>
      <c r="G167" s="1">
        <f>DATE(Table2[[#This Row],[Tahun]],Table2[[#This Row],[Bulan]],1)</f>
        <v>44470</v>
      </c>
      <c r="H167">
        <v>162</v>
      </c>
    </row>
    <row r="168" spans="1:8" x14ac:dyDescent="0.25">
      <c r="A168">
        <v>167</v>
      </c>
      <c r="B168" t="str">
        <f>Table2[[#This Row],[Propinsi]]&amp;"_"&amp;Table2[[#This Row],[Dati 2]]&amp;"_"&amp;Table2[[#This Row],[Tanggal]]</f>
        <v>JAWA TIMUR_KEDIRI_44501</v>
      </c>
      <c r="C168" t="s">
        <v>6</v>
      </c>
      <c r="D168" t="s">
        <v>56</v>
      </c>
      <c r="E168">
        <v>11</v>
      </c>
      <c r="F168">
        <v>2021</v>
      </c>
      <c r="G168" s="1">
        <f>DATE(Table2[[#This Row],[Tahun]],Table2[[#This Row],[Bulan]],1)</f>
        <v>44501</v>
      </c>
      <c r="H168">
        <v>162</v>
      </c>
    </row>
    <row r="169" spans="1:8" x14ac:dyDescent="0.25">
      <c r="A169">
        <v>168</v>
      </c>
      <c r="B169" t="str">
        <f>Table2[[#This Row],[Propinsi]]&amp;"_"&amp;Table2[[#This Row],[Dati 2]]&amp;"_"&amp;Table2[[#This Row],[Tanggal]]</f>
        <v>JAWA TIMUR_KEDIRI_44531</v>
      </c>
      <c r="C169" t="s">
        <v>6</v>
      </c>
      <c r="D169" t="s">
        <v>56</v>
      </c>
      <c r="E169">
        <v>12</v>
      </c>
      <c r="F169">
        <v>2021</v>
      </c>
      <c r="G169" s="1">
        <f>DATE(Table2[[#This Row],[Tahun]],Table2[[#This Row],[Bulan]],1)</f>
        <v>44531</v>
      </c>
      <c r="H169">
        <v>161</v>
      </c>
    </row>
    <row r="170" spans="1:8" x14ac:dyDescent="0.25">
      <c r="A170">
        <v>169</v>
      </c>
      <c r="B170" t="str">
        <f>Table2[[#This Row],[Propinsi]]&amp;"_"&amp;Table2[[#This Row],[Dati 2]]&amp;"_"&amp;Table2[[#This Row],[Tanggal]]</f>
        <v>JAWA TIMUR_NGANJUK_44197</v>
      </c>
      <c r="C170" t="s">
        <v>6</v>
      </c>
      <c r="D170" t="s">
        <v>57</v>
      </c>
      <c r="E170">
        <v>1</v>
      </c>
      <c r="F170">
        <v>2021</v>
      </c>
      <c r="G170" s="1">
        <f>DATE(Table2[[#This Row],[Tahun]],Table2[[#This Row],[Bulan]],1)</f>
        <v>44197</v>
      </c>
      <c r="H170">
        <v>3</v>
      </c>
    </row>
    <row r="171" spans="1:8" x14ac:dyDescent="0.25">
      <c r="A171">
        <v>170</v>
      </c>
      <c r="B171" t="str">
        <f>Table2[[#This Row],[Propinsi]]&amp;"_"&amp;Table2[[#This Row],[Dati 2]]&amp;"_"&amp;Table2[[#This Row],[Tanggal]]</f>
        <v>JAWA TIMUR_NGANJUK_44228</v>
      </c>
      <c r="C171" t="s">
        <v>6</v>
      </c>
      <c r="D171" t="s">
        <v>57</v>
      </c>
      <c r="E171">
        <v>2</v>
      </c>
      <c r="F171">
        <v>2021</v>
      </c>
      <c r="G171" s="1">
        <f>DATE(Table2[[#This Row],[Tahun]],Table2[[#This Row],[Bulan]],1)</f>
        <v>44228</v>
      </c>
      <c r="H171">
        <v>5</v>
      </c>
    </row>
    <row r="172" spans="1:8" x14ac:dyDescent="0.25">
      <c r="A172">
        <v>171</v>
      </c>
      <c r="B172" t="str">
        <f>Table2[[#This Row],[Propinsi]]&amp;"_"&amp;Table2[[#This Row],[Dati 2]]&amp;"_"&amp;Table2[[#This Row],[Tanggal]]</f>
        <v>JAWA TIMUR_NGANJUK_44256</v>
      </c>
      <c r="C172" t="s">
        <v>6</v>
      </c>
      <c r="D172" t="s">
        <v>57</v>
      </c>
      <c r="E172">
        <v>3</v>
      </c>
      <c r="F172">
        <v>2021</v>
      </c>
      <c r="G172" s="1">
        <f>DATE(Table2[[#This Row],[Tahun]],Table2[[#This Row],[Bulan]],1)</f>
        <v>44256</v>
      </c>
      <c r="H172">
        <v>8</v>
      </c>
    </row>
    <row r="173" spans="1:8" x14ac:dyDescent="0.25">
      <c r="A173">
        <v>172</v>
      </c>
      <c r="B173" t="str">
        <f>Table2[[#This Row],[Propinsi]]&amp;"_"&amp;Table2[[#This Row],[Dati 2]]&amp;"_"&amp;Table2[[#This Row],[Tanggal]]</f>
        <v>JAWA TIMUR_NGANJUK_44287</v>
      </c>
      <c r="C173" t="s">
        <v>6</v>
      </c>
      <c r="D173" t="s">
        <v>57</v>
      </c>
      <c r="E173">
        <v>4</v>
      </c>
      <c r="F173">
        <v>2021</v>
      </c>
      <c r="G173" s="1">
        <f>DATE(Table2[[#This Row],[Tahun]],Table2[[#This Row],[Bulan]],1)</f>
        <v>44287</v>
      </c>
      <c r="H173">
        <v>13</v>
      </c>
    </row>
    <row r="174" spans="1:8" x14ac:dyDescent="0.25">
      <c r="A174">
        <v>173</v>
      </c>
      <c r="B174" t="str">
        <f>Table2[[#This Row],[Propinsi]]&amp;"_"&amp;Table2[[#This Row],[Dati 2]]&amp;"_"&amp;Table2[[#This Row],[Tanggal]]</f>
        <v>JAWA TIMUR_NGANJUK_44317</v>
      </c>
      <c r="C174" t="s">
        <v>6</v>
      </c>
      <c r="D174" t="s">
        <v>57</v>
      </c>
      <c r="E174">
        <v>5</v>
      </c>
      <c r="F174">
        <v>2021</v>
      </c>
      <c r="G174" s="1">
        <f>DATE(Table2[[#This Row],[Tahun]],Table2[[#This Row],[Bulan]],1)</f>
        <v>44317</v>
      </c>
      <c r="H174">
        <v>20</v>
      </c>
    </row>
    <row r="175" spans="1:8" x14ac:dyDescent="0.25">
      <c r="A175">
        <v>174</v>
      </c>
      <c r="B175" t="str">
        <f>Table2[[#This Row],[Propinsi]]&amp;"_"&amp;Table2[[#This Row],[Dati 2]]&amp;"_"&amp;Table2[[#This Row],[Tanggal]]</f>
        <v>JAWA TIMUR_NGANJUK_44348</v>
      </c>
      <c r="C175" t="s">
        <v>6</v>
      </c>
      <c r="D175" t="s">
        <v>57</v>
      </c>
      <c r="E175">
        <v>6</v>
      </c>
      <c r="F175">
        <v>2021</v>
      </c>
      <c r="G175" s="1">
        <f>DATE(Table2[[#This Row],[Tahun]],Table2[[#This Row],[Bulan]],1)</f>
        <v>44348</v>
      </c>
      <c r="H175">
        <v>26</v>
      </c>
    </row>
    <row r="176" spans="1:8" x14ac:dyDescent="0.25">
      <c r="A176">
        <v>175</v>
      </c>
      <c r="B176" t="str">
        <f>Table2[[#This Row],[Propinsi]]&amp;"_"&amp;Table2[[#This Row],[Dati 2]]&amp;"_"&amp;Table2[[#This Row],[Tanggal]]</f>
        <v>JAWA TIMUR_NGANJUK_44378</v>
      </c>
      <c r="C176" t="s">
        <v>6</v>
      </c>
      <c r="D176" t="s">
        <v>57</v>
      </c>
      <c r="E176">
        <v>7</v>
      </c>
      <c r="F176">
        <v>2021</v>
      </c>
      <c r="G176" s="1">
        <f>DATE(Table2[[#This Row],[Tahun]],Table2[[#This Row],[Bulan]],1)</f>
        <v>44378</v>
      </c>
      <c r="H176">
        <v>28</v>
      </c>
    </row>
    <row r="177" spans="1:8" x14ac:dyDescent="0.25">
      <c r="A177">
        <v>176</v>
      </c>
      <c r="B177" t="str">
        <f>Table2[[#This Row],[Propinsi]]&amp;"_"&amp;Table2[[#This Row],[Dati 2]]&amp;"_"&amp;Table2[[#This Row],[Tanggal]]</f>
        <v>JAWA TIMUR_NGANJUK_44409</v>
      </c>
      <c r="C177" t="s">
        <v>6</v>
      </c>
      <c r="D177" t="s">
        <v>57</v>
      </c>
      <c r="E177">
        <v>8</v>
      </c>
      <c r="F177">
        <v>2021</v>
      </c>
      <c r="G177" s="1">
        <f>DATE(Table2[[#This Row],[Tahun]],Table2[[#This Row],[Bulan]],1)</f>
        <v>44409</v>
      </c>
      <c r="H177">
        <v>33</v>
      </c>
    </row>
    <row r="178" spans="1:8" x14ac:dyDescent="0.25">
      <c r="A178">
        <v>177</v>
      </c>
      <c r="B178" t="str">
        <f>Table2[[#This Row],[Propinsi]]&amp;"_"&amp;Table2[[#This Row],[Dati 2]]&amp;"_"&amp;Table2[[#This Row],[Tanggal]]</f>
        <v>JAWA TIMUR_NGANJUK_44440</v>
      </c>
      <c r="C178" t="s">
        <v>6</v>
      </c>
      <c r="D178" t="s">
        <v>57</v>
      </c>
      <c r="E178">
        <v>9</v>
      </c>
      <c r="F178">
        <v>2021</v>
      </c>
      <c r="G178" s="1">
        <f>DATE(Table2[[#This Row],[Tahun]],Table2[[#This Row],[Bulan]],1)</f>
        <v>44440</v>
      </c>
      <c r="H178">
        <v>36</v>
      </c>
    </row>
    <row r="179" spans="1:8" x14ac:dyDescent="0.25">
      <c r="A179">
        <v>178</v>
      </c>
      <c r="B179" t="str">
        <f>Table2[[#This Row],[Propinsi]]&amp;"_"&amp;Table2[[#This Row],[Dati 2]]&amp;"_"&amp;Table2[[#This Row],[Tanggal]]</f>
        <v>JAWA TIMUR_NGANJUK_44470</v>
      </c>
      <c r="C179" t="s">
        <v>6</v>
      </c>
      <c r="D179" t="s">
        <v>57</v>
      </c>
      <c r="E179">
        <v>10</v>
      </c>
      <c r="F179">
        <v>2021</v>
      </c>
      <c r="G179" s="1">
        <f>DATE(Table2[[#This Row],[Tahun]],Table2[[#This Row],[Bulan]],1)</f>
        <v>44470</v>
      </c>
      <c r="H179">
        <v>42</v>
      </c>
    </row>
    <row r="180" spans="1:8" x14ac:dyDescent="0.25">
      <c r="A180">
        <v>179</v>
      </c>
      <c r="B180" t="str">
        <f>Table2[[#This Row],[Propinsi]]&amp;"_"&amp;Table2[[#This Row],[Dati 2]]&amp;"_"&amp;Table2[[#This Row],[Tanggal]]</f>
        <v>JAWA TIMUR_NGANJUK_44501</v>
      </c>
      <c r="C180" t="s">
        <v>6</v>
      </c>
      <c r="D180" t="s">
        <v>57</v>
      </c>
      <c r="E180">
        <v>11</v>
      </c>
      <c r="F180">
        <v>2021</v>
      </c>
      <c r="G180" s="1">
        <f>DATE(Table2[[#This Row],[Tahun]],Table2[[#This Row],[Bulan]],1)</f>
        <v>44501</v>
      </c>
      <c r="H180">
        <v>41</v>
      </c>
    </row>
    <row r="181" spans="1:8" x14ac:dyDescent="0.25">
      <c r="A181">
        <v>180</v>
      </c>
      <c r="B181" t="str">
        <f>Table2[[#This Row],[Propinsi]]&amp;"_"&amp;Table2[[#This Row],[Dati 2]]&amp;"_"&amp;Table2[[#This Row],[Tanggal]]</f>
        <v>JAWA TIMUR_NGANJUK_44531</v>
      </c>
      <c r="C181" t="s">
        <v>6</v>
      </c>
      <c r="D181" t="s">
        <v>57</v>
      </c>
      <c r="E181">
        <v>12</v>
      </c>
      <c r="F181">
        <v>2021</v>
      </c>
      <c r="G181" s="1">
        <f>DATE(Table2[[#This Row],[Tahun]],Table2[[#This Row],[Bulan]],1)</f>
        <v>44531</v>
      </c>
      <c r="H181">
        <v>46</v>
      </c>
    </row>
    <row r="182" spans="1:8" x14ac:dyDescent="0.25">
      <c r="A182">
        <v>181</v>
      </c>
      <c r="B182" t="str">
        <f>Table2[[#This Row],[Propinsi]]&amp;"_"&amp;Table2[[#This Row],[Dati 2]]&amp;"_"&amp;Table2[[#This Row],[Tanggal]]</f>
        <v>JAWA TIMUR_MALANG_44197</v>
      </c>
      <c r="C182" t="s">
        <v>6</v>
      </c>
      <c r="D182" t="s">
        <v>58</v>
      </c>
      <c r="E182">
        <v>1</v>
      </c>
      <c r="F182">
        <v>2021</v>
      </c>
      <c r="G182" s="1">
        <f>DATE(Table2[[#This Row],[Tahun]],Table2[[#This Row],[Bulan]],1)</f>
        <v>44197</v>
      </c>
      <c r="H182">
        <v>103</v>
      </c>
    </row>
    <row r="183" spans="1:8" x14ac:dyDescent="0.25">
      <c r="A183">
        <v>182</v>
      </c>
      <c r="B183" t="str">
        <f>Table2[[#This Row],[Propinsi]]&amp;"_"&amp;Table2[[#This Row],[Dati 2]]&amp;"_"&amp;Table2[[#This Row],[Tanggal]]</f>
        <v>JAWA TIMUR_MALANG_44228</v>
      </c>
      <c r="C183" t="s">
        <v>6</v>
      </c>
      <c r="D183" t="s">
        <v>58</v>
      </c>
      <c r="E183">
        <v>2</v>
      </c>
      <c r="F183">
        <v>2021</v>
      </c>
      <c r="G183" s="1">
        <f>DATE(Table2[[#This Row],[Tahun]],Table2[[#This Row],[Bulan]],1)</f>
        <v>44228</v>
      </c>
      <c r="H183">
        <v>108</v>
      </c>
    </row>
    <row r="184" spans="1:8" x14ac:dyDescent="0.25">
      <c r="A184">
        <v>183</v>
      </c>
      <c r="B184" t="str">
        <f>Table2[[#This Row],[Propinsi]]&amp;"_"&amp;Table2[[#This Row],[Dati 2]]&amp;"_"&amp;Table2[[#This Row],[Tanggal]]</f>
        <v>JAWA TIMUR_MALANG_44256</v>
      </c>
      <c r="C184" t="s">
        <v>6</v>
      </c>
      <c r="D184" t="s">
        <v>58</v>
      </c>
      <c r="E184">
        <v>3</v>
      </c>
      <c r="F184">
        <v>2021</v>
      </c>
      <c r="G184" s="1">
        <f>DATE(Table2[[#This Row],[Tahun]],Table2[[#This Row],[Bulan]],1)</f>
        <v>44256</v>
      </c>
      <c r="H184">
        <v>108</v>
      </c>
    </row>
    <row r="185" spans="1:8" x14ac:dyDescent="0.25">
      <c r="A185">
        <v>184</v>
      </c>
      <c r="B185" t="str">
        <f>Table2[[#This Row],[Propinsi]]&amp;"_"&amp;Table2[[#This Row],[Dati 2]]&amp;"_"&amp;Table2[[#This Row],[Tanggal]]</f>
        <v>JAWA TIMUR_MALANG_44287</v>
      </c>
      <c r="C185" t="s">
        <v>6</v>
      </c>
      <c r="D185" t="s">
        <v>58</v>
      </c>
      <c r="E185">
        <v>4</v>
      </c>
      <c r="F185">
        <v>2021</v>
      </c>
      <c r="G185" s="1">
        <f>DATE(Table2[[#This Row],[Tahun]],Table2[[#This Row],[Bulan]],1)</f>
        <v>44287</v>
      </c>
      <c r="H185">
        <v>114</v>
      </c>
    </row>
    <row r="186" spans="1:8" x14ac:dyDescent="0.25">
      <c r="A186">
        <v>185</v>
      </c>
      <c r="B186" t="str">
        <f>Table2[[#This Row],[Propinsi]]&amp;"_"&amp;Table2[[#This Row],[Dati 2]]&amp;"_"&amp;Table2[[#This Row],[Tanggal]]</f>
        <v>JAWA TIMUR_MALANG_44317</v>
      </c>
      <c r="C186" t="s">
        <v>6</v>
      </c>
      <c r="D186" t="s">
        <v>58</v>
      </c>
      <c r="E186">
        <v>5</v>
      </c>
      <c r="F186">
        <v>2021</v>
      </c>
      <c r="G186" s="1">
        <f>DATE(Table2[[#This Row],[Tahun]],Table2[[#This Row],[Bulan]],1)</f>
        <v>44317</v>
      </c>
      <c r="H186">
        <v>112</v>
      </c>
    </row>
    <row r="187" spans="1:8" x14ac:dyDescent="0.25">
      <c r="A187">
        <v>186</v>
      </c>
      <c r="B187" t="str">
        <f>Table2[[#This Row],[Propinsi]]&amp;"_"&amp;Table2[[#This Row],[Dati 2]]&amp;"_"&amp;Table2[[#This Row],[Tanggal]]</f>
        <v>JAWA TIMUR_MALANG_44348</v>
      </c>
      <c r="C187" t="s">
        <v>6</v>
      </c>
      <c r="D187" t="s">
        <v>58</v>
      </c>
      <c r="E187">
        <v>6</v>
      </c>
      <c r="F187">
        <v>2021</v>
      </c>
      <c r="G187" s="1">
        <f>DATE(Table2[[#This Row],[Tahun]],Table2[[#This Row],[Bulan]],1)</f>
        <v>44348</v>
      </c>
      <c r="H187">
        <v>118</v>
      </c>
    </row>
    <row r="188" spans="1:8" x14ac:dyDescent="0.25">
      <c r="A188">
        <v>187</v>
      </c>
      <c r="B188" t="str">
        <f>Table2[[#This Row],[Propinsi]]&amp;"_"&amp;Table2[[#This Row],[Dati 2]]&amp;"_"&amp;Table2[[#This Row],[Tanggal]]</f>
        <v>JAWA TIMUR_MALANG_44378</v>
      </c>
      <c r="C188" t="s">
        <v>6</v>
      </c>
      <c r="D188" t="s">
        <v>58</v>
      </c>
      <c r="E188">
        <v>7</v>
      </c>
      <c r="F188">
        <v>2021</v>
      </c>
      <c r="G188" s="1">
        <f>DATE(Table2[[#This Row],[Tahun]],Table2[[#This Row],[Bulan]],1)</f>
        <v>44378</v>
      </c>
      <c r="H188">
        <v>120</v>
      </c>
    </row>
    <row r="189" spans="1:8" x14ac:dyDescent="0.25">
      <c r="A189">
        <v>188</v>
      </c>
      <c r="B189" t="str">
        <f>Table2[[#This Row],[Propinsi]]&amp;"_"&amp;Table2[[#This Row],[Dati 2]]&amp;"_"&amp;Table2[[#This Row],[Tanggal]]</f>
        <v>JAWA TIMUR_MALANG_44409</v>
      </c>
      <c r="C189" t="s">
        <v>6</v>
      </c>
      <c r="D189" t="s">
        <v>58</v>
      </c>
      <c r="E189">
        <v>8</v>
      </c>
      <c r="F189">
        <v>2021</v>
      </c>
      <c r="G189" s="1">
        <f>DATE(Table2[[#This Row],[Tahun]],Table2[[#This Row],[Bulan]],1)</f>
        <v>44409</v>
      </c>
      <c r="H189">
        <v>124</v>
      </c>
    </row>
    <row r="190" spans="1:8" x14ac:dyDescent="0.25">
      <c r="A190">
        <v>189</v>
      </c>
      <c r="B190" t="str">
        <f>Table2[[#This Row],[Propinsi]]&amp;"_"&amp;Table2[[#This Row],[Dati 2]]&amp;"_"&amp;Table2[[#This Row],[Tanggal]]</f>
        <v>JAWA TIMUR_MALANG_44440</v>
      </c>
      <c r="C190" t="s">
        <v>6</v>
      </c>
      <c r="D190" t="s">
        <v>58</v>
      </c>
      <c r="E190">
        <v>9</v>
      </c>
      <c r="F190">
        <v>2021</v>
      </c>
      <c r="G190" s="1">
        <f>DATE(Table2[[#This Row],[Tahun]],Table2[[#This Row],[Bulan]],1)</f>
        <v>44440</v>
      </c>
      <c r="H190">
        <v>124</v>
      </c>
    </row>
    <row r="191" spans="1:8" x14ac:dyDescent="0.25">
      <c r="A191">
        <v>190</v>
      </c>
      <c r="B191" t="str">
        <f>Table2[[#This Row],[Propinsi]]&amp;"_"&amp;Table2[[#This Row],[Dati 2]]&amp;"_"&amp;Table2[[#This Row],[Tanggal]]</f>
        <v>JAWA TIMUR_MALANG_44470</v>
      </c>
      <c r="C191" t="s">
        <v>6</v>
      </c>
      <c r="D191" t="s">
        <v>58</v>
      </c>
      <c r="E191">
        <v>10</v>
      </c>
      <c r="F191">
        <v>2021</v>
      </c>
      <c r="G191" s="1">
        <f>DATE(Table2[[#This Row],[Tahun]],Table2[[#This Row],[Bulan]],1)</f>
        <v>44470</v>
      </c>
      <c r="H191">
        <v>127</v>
      </c>
    </row>
    <row r="192" spans="1:8" x14ac:dyDescent="0.25">
      <c r="A192">
        <v>191</v>
      </c>
      <c r="B192" t="str">
        <f>Table2[[#This Row],[Propinsi]]&amp;"_"&amp;Table2[[#This Row],[Dati 2]]&amp;"_"&amp;Table2[[#This Row],[Tanggal]]</f>
        <v>JAWA TIMUR_MALANG_44501</v>
      </c>
      <c r="C192" t="s">
        <v>6</v>
      </c>
      <c r="D192" t="s">
        <v>58</v>
      </c>
      <c r="E192">
        <v>11</v>
      </c>
      <c r="F192">
        <v>2021</v>
      </c>
      <c r="G192" s="1">
        <f>DATE(Table2[[#This Row],[Tahun]],Table2[[#This Row],[Bulan]],1)</f>
        <v>44501</v>
      </c>
      <c r="H192">
        <v>129</v>
      </c>
    </row>
    <row r="193" spans="1:8" x14ac:dyDescent="0.25">
      <c r="A193">
        <v>192</v>
      </c>
      <c r="B193" t="str">
        <f>Table2[[#This Row],[Propinsi]]&amp;"_"&amp;Table2[[#This Row],[Dati 2]]&amp;"_"&amp;Table2[[#This Row],[Tanggal]]</f>
        <v>JAWA TIMUR_MALANG_44531</v>
      </c>
      <c r="C193" t="s">
        <v>6</v>
      </c>
      <c r="D193" t="s">
        <v>58</v>
      </c>
      <c r="E193">
        <v>12</v>
      </c>
      <c r="F193">
        <v>2021</v>
      </c>
      <c r="G193" s="1">
        <f>DATE(Table2[[#This Row],[Tahun]],Table2[[#This Row],[Bulan]],1)</f>
        <v>44531</v>
      </c>
      <c r="H193">
        <v>133</v>
      </c>
    </row>
    <row r="194" spans="1:8" x14ac:dyDescent="0.25">
      <c r="A194">
        <v>193</v>
      </c>
      <c r="B194" t="str">
        <f>Table2[[#This Row],[Propinsi]]&amp;"_"&amp;Table2[[#This Row],[Dati 2]]&amp;"_"&amp;Table2[[#This Row],[Tanggal]]</f>
        <v>JAWA TIMUR_BATU_44197</v>
      </c>
      <c r="C194" t="s">
        <v>6</v>
      </c>
      <c r="D194" t="s">
        <v>59</v>
      </c>
      <c r="E194">
        <v>1</v>
      </c>
      <c r="F194">
        <v>2021</v>
      </c>
      <c r="G194" s="1">
        <f>DATE(Table2[[#This Row],[Tahun]],Table2[[#This Row],[Bulan]],1)</f>
        <v>44197</v>
      </c>
      <c r="H194">
        <v>128</v>
      </c>
    </row>
    <row r="195" spans="1:8" x14ac:dyDescent="0.25">
      <c r="A195">
        <v>194</v>
      </c>
      <c r="B195" t="str">
        <f>Table2[[#This Row],[Propinsi]]&amp;"_"&amp;Table2[[#This Row],[Dati 2]]&amp;"_"&amp;Table2[[#This Row],[Tanggal]]</f>
        <v>JAWA TIMUR_BATU_44228</v>
      </c>
      <c r="C195" t="s">
        <v>6</v>
      </c>
      <c r="D195" t="s">
        <v>59</v>
      </c>
      <c r="E195">
        <v>2</v>
      </c>
      <c r="F195">
        <v>2021</v>
      </c>
      <c r="G195" s="1">
        <f>DATE(Table2[[#This Row],[Tahun]],Table2[[#This Row],[Bulan]],1)</f>
        <v>44228</v>
      </c>
      <c r="H195">
        <v>126</v>
      </c>
    </row>
    <row r="196" spans="1:8" x14ac:dyDescent="0.25">
      <c r="A196">
        <v>195</v>
      </c>
      <c r="B196" t="str">
        <f>Table2[[#This Row],[Propinsi]]&amp;"_"&amp;Table2[[#This Row],[Dati 2]]&amp;"_"&amp;Table2[[#This Row],[Tanggal]]</f>
        <v>JAWA TIMUR_BATU_44256</v>
      </c>
      <c r="C196" t="s">
        <v>6</v>
      </c>
      <c r="D196" t="s">
        <v>59</v>
      </c>
      <c r="E196">
        <v>3</v>
      </c>
      <c r="F196">
        <v>2021</v>
      </c>
      <c r="G196" s="1">
        <f>DATE(Table2[[#This Row],[Tahun]],Table2[[#This Row],[Bulan]],1)</f>
        <v>44256</v>
      </c>
      <c r="H196">
        <v>131</v>
      </c>
    </row>
    <row r="197" spans="1:8" x14ac:dyDescent="0.25">
      <c r="A197">
        <v>196</v>
      </c>
      <c r="B197" t="str">
        <f>Table2[[#This Row],[Propinsi]]&amp;"_"&amp;Table2[[#This Row],[Dati 2]]&amp;"_"&amp;Table2[[#This Row],[Tanggal]]</f>
        <v>JAWA TIMUR_BATU_44287</v>
      </c>
      <c r="C197" t="s">
        <v>6</v>
      </c>
      <c r="D197" t="s">
        <v>59</v>
      </c>
      <c r="E197">
        <v>4</v>
      </c>
      <c r="F197">
        <v>2021</v>
      </c>
      <c r="G197" s="1">
        <f>DATE(Table2[[#This Row],[Tahun]],Table2[[#This Row],[Bulan]],1)</f>
        <v>44287</v>
      </c>
      <c r="H197">
        <v>131</v>
      </c>
    </row>
    <row r="198" spans="1:8" x14ac:dyDescent="0.25">
      <c r="A198">
        <v>197</v>
      </c>
      <c r="B198" t="str">
        <f>Table2[[#This Row],[Propinsi]]&amp;"_"&amp;Table2[[#This Row],[Dati 2]]&amp;"_"&amp;Table2[[#This Row],[Tanggal]]</f>
        <v>JAWA TIMUR_BATU_44317</v>
      </c>
      <c r="C198" t="s">
        <v>6</v>
      </c>
      <c r="D198" t="s">
        <v>59</v>
      </c>
      <c r="E198">
        <v>5</v>
      </c>
      <c r="F198">
        <v>2021</v>
      </c>
      <c r="G198" s="1">
        <f>DATE(Table2[[#This Row],[Tahun]],Table2[[#This Row],[Bulan]],1)</f>
        <v>44317</v>
      </c>
      <c r="H198">
        <v>131</v>
      </c>
    </row>
    <row r="199" spans="1:8" x14ac:dyDescent="0.25">
      <c r="A199">
        <v>198</v>
      </c>
      <c r="B199" t="str">
        <f>Table2[[#This Row],[Propinsi]]&amp;"_"&amp;Table2[[#This Row],[Dati 2]]&amp;"_"&amp;Table2[[#This Row],[Tanggal]]</f>
        <v>JAWA TIMUR_BATU_44348</v>
      </c>
      <c r="C199" t="s">
        <v>6</v>
      </c>
      <c r="D199" t="s">
        <v>59</v>
      </c>
      <c r="E199">
        <v>6</v>
      </c>
      <c r="F199">
        <v>2021</v>
      </c>
      <c r="G199" s="1">
        <f>DATE(Table2[[#This Row],[Tahun]],Table2[[#This Row],[Bulan]],1)</f>
        <v>44348</v>
      </c>
      <c r="H199">
        <v>133</v>
      </c>
    </row>
    <row r="200" spans="1:8" x14ac:dyDescent="0.25">
      <c r="A200">
        <v>199</v>
      </c>
      <c r="B200" t="str">
        <f>Table2[[#This Row],[Propinsi]]&amp;"_"&amp;Table2[[#This Row],[Dati 2]]&amp;"_"&amp;Table2[[#This Row],[Tanggal]]</f>
        <v>JAWA TIMUR_BATU_44378</v>
      </c>
      <c r="C200" t="s">
        <v>6</v>
      </c>
      <c r="D200" t="s">
        <v>59</v>
      </c>
      <c r="E200">
        <v>7</v>
      </c>
      <c r="F200">
        <v>2021</v>
      </c>
      <c r="G200" s="1">
        <f>DATE(Table2[[#This Row],[Tahun]],Table2[[#This Row],[Bulan]],1)</f>
        <v>44378</v>
      </c>
      <c r="H200">
        <v>139</v>
      </c>
    </row>
    <row r="201" spans="1:8" x14ac:dyDescent="0.25">
      <c r="A201">
        <v>200</v>
      </c>
      <c r="B201" t="str">
        <f>Table2[[#This Row],[Propinsi]]&amp;"_"&amp;Table2[[#This Row],[Dati 2]]&amp;"_"&amp;Table2[[#This Row],[Tanggal]]</f>
        <v>JAWA TIMUR_BATU_44409</v>
      </c>
      <c r="C201" t="s">
        <v>6</v>
      </c>
      <c r="D201" t="s">
        <v>59</v>
      </c>
      <c r="E201">
        <v>8</v>
      </c>
      <c r="F201">
        <v>2021</v>
      </c>
      <c r="G201" s="1">
        <f>DATE(Table2[[#This Row],[Tahun]],Table2[[#This Row],[Bulan]],1)</f>
        <v>44409</v>
      </c>
      <c r="H201">
        <v>141</v>
      </c>
    </row>
    <row r="202" spans="1:8" x14ac:dyDescent="0.25">
      <c r="A202">
        <v>201</v>
      </c>
      <c r="B202" t="str">
        <f>Table2[[#This Row],[Propinsi]]&amp;"_"&amp;Table2[[#This Row],[Dati 2]]&amp;"_"&amp;Table2[[#This Row],[Tanggal]]</f>
        <v>JAWA TIMUR_BATU_44440</v>
      </c>
      <c r="C202" t="s">
        <v>6</v>
      </c>
      <c r="D202" t="s">
        <v>59</v>
      </c>
      <c r="E202">
        <v>9</v>
      </c>
      <c r="F202">
        <v>2021</v>
      </c>
      <c r="G202" s="1">
        <f>DATE(Table2[[#This Row],[Tahun]],Table2[[#This Row],[Bulan]],1)</f>
        <v>44440</v>
      </c>
      <c r="H202">
        <v>144</v>
      </c>
    </row>
    <row r="203" spans="1:8" x14ac:dyDescent="0.25">
      <c r="A203">
        <v>202</v>
      </c>
      <c r="B203" t="str">
        <f>Table2[[#This Row],[Propinsi]]&amp;"_"&amp;Table2[[#This Row],[Dati 2]]&amp;"_"&amp;Table2[[#This Row],[Tanggal]]</f>
        <v>JAWA TIMUR_BATU_44470</v>
      </c>
      <c r="C203" t="s">
        <v>6</v>
      </c>
      <c r="D203" t="s">
        <v>59</v>
      </c>
      <c r="E203">
        <v>10</v>
      </c>
      <c r="F203">
        <v>2021</v>
      </c>
      <c r="G203" s="1">
        <f>DATE(Table2[[#This Row],[Tahun]],Table2[[#This Row],[Bulan]],1)</f>
        <v>44470</v>
      </c>
      <c r="H203">
        <v>142</v>
      </c>
    </row>
    <row r="204" spans="1:8" x14ac:dyDescent="0.25">
      <c r="A204">
        <v>203</v>
      </c>
      <c r="B204" t="str">
        <f>Table2[[#This Row],[Propinsi]]&amp;"_"&amp;Table2[[#This Row],[Dati 2]]&amp;"_"&amp;Table2[[#This Row],[Tanggal]]</f>
        <v>JAWA TIMUR_BATU_44501</v>
      </c>
      <c r="C204" t="s">
        <v>6</v>
      </c>
      <c r="D204" t="s">
        <v>59</v>
      </c>
      <c r="E204">
        <v>11</v>
      </c>
      <c r="F204">
        <v>2021</v>
      </c>
      <c r="G204" s="1">
        <f>DATE(Table2[[#This Row],[Tahun]],Table2[[#This Row],[Bulan]],1)</f>
        <v>44501</v>
      </c>
      <c r="H204">
        <v>149</v>
      </c>
    </row>
    <row r="205" spans="1:8" x14ac:dyDescent="0.25">
      <c r="A205">
        <v>204</v>
      </c>
      <c r="B205" t="str">
        <f>Table2[[#This Row],[Propinsi]]&amp;"_"&amp;Table2[[#This Row],[Dati 2]]&amp;"_"&amp;Table2[[#This Row],[Tanggal]]</f>
        <v>JAWA TIMUR_BATU_44531</v>
      </c>
      <c r="C205" t="s">
        <v>6</v>
      </c>
      <c r="D205" t="s">
        <v>59</v>
      </c>
      <c r="E205">
        <v>12</v>
      </c>
      <c r="F205">
        <v>2021</v>
      </c>
      <c r="G205" s="1">
        <f>DATE(Table2[[#This Row],[Tahun]],Table2[[#This Row],[Bulan]],1)</f>
        <v>44531</v>
      </c>
      <c r="H205">
        <v>151</v>
      </c>
    </row>
    <row r="206" spans="1:8" x14ac:dyDescent="0.25">
      <c r="A206">
        <v>205</v>
      </c>
      <c r="B206" t="str">
        <f>Table2[[#This Row],[Propinsi]]&amp;"_"&amp;Table2[[#This Row],[Dati 2]]&amp;"_"&amp;Table2[[#This Row],[Tanggal]]</f>
        <v>JAWA TIMUR_BLITAR_44197</v>
      </c>
      <c r="C206" t="s">
        <v>6</v>
      </c>
      <c r="D206" t="s">
        <v>60</v>
      </c>
      <c r="E206">
        <v>1</v>
      </c>
      <c r="F206">
        <v>2021</v>
      </c>
      <c r="G206" s="1">
        <f>DATE(Table2[[#This Row],[Tahun]],Table2[[#This Row],[Bulan]],1)</f>
        <v>44197</v>
      </c>
      <c r="H206">
        <v>86</v>
      </c>
    </row>
    <row r="207" spans="1:8" x14ac:dyDescent="0.25">
      <c r="A207">
        <v>206</v>
      </c>
      <c r="B207" t="str">
        <f>Table2[[#This Row],[Propinsi]]&amp;"_"&amp;Table2[[#This Row],[Dati 2]]&amp;"_"&amp;Table2[[#This Row],[Tanggal]]</f>
        <v>JAWA TIMUR_BLITAR_44228</v>
      </c>
      <c r="C207" t="s">
        <v>6</v>
      </c>
      <c r="D207" t="s">
        <v>60</v>
      </c>
      <c r="E207">
        <v>2</v>
      </c>
      <c r="F207">
        <v>2021</v>
      </c>
      <c r="G207" s="1">
        <f>DATE(Table2[[#This Row],[Tahun]],Table2[[#This Row],[Bulan]],1)</f>
        <v>44228</v>
      </c>
      <c r="H207">
        <v>87</v>
      </c>
    </row>
    <row r="208" spans="1:8" x14ac:dyDescent="0.25">
      <c r="A208">
        <v>207</v>
      </c>
      <c r="B208" t="str">
        <f>Table2[[#This Row],[Propinsi]]&amp;"_"&amp;Table2[[#This Row],[Dati 2]]&amp;"_"&amp;Table2[[#This Row],[Tanggal]]</f>
        <v>JAWA TIMUR_BLITAR_44256</v>
      </c>
      <c r="C208" t="s">
        <v>6</v>
      </c>
      <c r="D208" t="s">
        <v>60</v>
      </c>
      <c r="E208">
        <v>3</v>
      </c>
      <c r="F208">
        <v>2021</v>
      </c>
      <c r="G208" s="1">
        <f>DATE(Table2[[#This Row],[Tahun]],Table2[[#This Row],[Bulan]],1)</f>
        <v>44256</v>
      </c>
      <c r="H208">
        <v>94</v>
      </c>
    </row>
    <row r="209" spans="1:8" x14ac:dyDescent="0.25">
      <c r="A209">
        <v>208</v>
      </c>
      <c r="B209" t="str">
        <f>Table2[[#This Row],[Propinsi]]&amp;"_"&amp;Table2[[#This Row],[Dati 2]]&amp;"_"&amp;Table2[[#This Row],[Tanggal]]</f>
        <v>JAWA TIMUR_BLITAR_44287</v>
      </c>
      <c r="C209" t="s">
        <v>6</v>
      </c>
      <c r="D209" t="s">
        <v>60</v>
      </c>
      <c r="E209">
        <v>4</v>
      </c>
      <c r="F209">
        <v>2021</v>
      </c>
      <c r="G209" s="1">
        <f>DATE(Table2[[#This Row],[Tahun]],Table2[[#This Row],[Bulan]],1)</f>
        <v>44287</v>
      </c>
      <c r="H209">
        <v>98</v>
      </c>
    </row>
    <row r="210" spans="1:8" x14ac:dyDescent="0.25">
      <c r="A210">
        <v>209</v>
      </c>
      <c r="B210" t="str">
        <f>Table2[[#This Row],[Propinsi]]&amp;"_"&amp;Table2[[#This Row],[Dati 2]]&amp;"_"&amp;Table2[[#This Row],[Tanggal]]</f>
        <v>JAWA TIMUR_BLITAR_44317</v>
      </c>
      <c r="C210" t="s">
        <v>6</v>
      </c>
      <c r="D210" t="s">
        <v>60</v>
      </c>
      <c r="E210">
        <v>5</v>
      </c>
      <c r="F210">
        <v>2021</v>
      </c>
      <c r="G210" s="1">
        <f>DATE(Table2[[#This Row],[Tahun]],Table2[[#This Row],[Bulan]],1)</f>
        <v>44317</v>
      </c>
      <c r="H210">
        <v>99</v>
      </c>
    </row>
    <row r="211" spans="1:8" x14ac:dyDescent="0.25">
      <c r="A211">
        <v>210</v>
      </c>
      <c r="B211" t="str">
        <f>Table2[[#This Row],[Propinsi]]&amp;"_"&amp;Table2[[#This Row],[Dati 2]]&amp;"_"&amp;Table2[[#This Row],[Tanggal]]</f>
        <v>JAWA TIMUR_BLITAR_44348</v>
      </c>
      <c r="C211" t="s">
        <v>6</v>
      </c>
      <c r="D211" t="s">
        <v>60</v>
      </c>
      <c r="E211">
        <v>6</v>
      </c>
      <c r="F211">
        <v>2021</v>
      </c>
      <c r="G211" s="1">
        <f>DATE(Table2[[#This Row],[Tahun]],Table2[[#This Row],[Bulan]],1)</f>
        <v>44348</v>
      </c>
      <c r="H211">
        <v>104</v>
      </c>
    </row>
    <row r="212" spans="1:8" x14ac:dyDescent="0.25">
      <c r="A212">
        <v>211</v>
      </c>
      <c r="B212" t="str">
        <f>Table2[[#This Row],[Propinsi]]&amp;"_"&amp;Table2[[#This Row],[Dati 2]]&amp;"_"&amp;Table2[[#This Row],[Tanggal]]</f>
        <v>JAWA TIMUR_BLITAR_44378</v>
      </c>
      <c r="C212" t="s">
        <v>6</v>
      </c>
      <c r="D212" t="s">
        <v>60</v>
      </c>
      <c r="E212">
        <v>7</v>
      </c>
      <c r="F212">
        <v>2021</v>
      </c>
      <c r="G212" s="1">
        <f>DATE(Table2[[#This Row],[Tahun]],Table2[[#This Row],[Bulan]],1)</f>
        <v>44378</v>
      </c>
      <c r="H212">
        <v>110</v>
      </c>
    </row>
    <row r="213" spans="1:8" x14ac:dyDescent="0.25">
      <c r="A213">
        <v>212</v>
      </c>
      <c r="B213" t="str">
        <f>Table2[[#This Row],[Propinsi]]&amp;"_"&amp;Table2[[#This Row],[Dati 2]]&amp;"_"&amp;Table2[[#This Row],[Tanggal]]</f>
        <v>JAWA TIMUR_BLITAR_44409</v>
      </c>
      <c r="C213" t="s">
        <v>6</v>
      </c>
      <c r="D213" t="s">
        <v>60</v>
      </c>
      <c r="E213">
        <v>8</v>
      </c>
      <c r="F213">
        <v>2021</v>
      </c>
      <c r="G213" s="1">
        <f>DATE(Table2[[#This Row],[Tahun]],Table2[[#This Row],[Bulan]],1)</f>
        <v>44409</v>
      </c>
      <c r="H213">
        <v>115</v>
      </c>
    </row>
    <row r="214" spans="1:8" x14ac:dyDescent="0.25">
      <c r="A214">
        <v>213</v>
      </c>
      <c r="B214" t="str">
        <f>Table2[[#This Row],[Propinsi]]&amp;"_"&amp;Table2[[#This Row],[Dati 2]]&amp;"_"&amp;Table2[[#This Row],[Tanggal]]</f>
        <v>JAWA TIMUR_BLITAR_44440</v>
      </c>
      <c r="C214" t="s">
        <v>6</v>
      </c>
      <c r="D214" t="s">
        <v>60</v>
      </c>
      <c r="E214">
        <v>9</v>
      </c>
      <c r="F214">
        <v>2021</v>
      </c>
      <c r="G214" s="1">
        <f>DATE(Table2[[#This Row],[Tahun]],Table2[[#This Row],[Bulan]],1)</f>
        <v>44440</v>
      </c>
      <c r="H214">
        <v>118</v>
      </c>
    </row>
    <row r="215" spans="1:8" x14ac:dyDescent="0.25">
      <c r="A215">
        <v>214</v>
      </c>
      <c r="B215" t="str">
        <f>Table2[[#This Row],[Propinsi]]&amp;"_"&amp;Table2[[#This Row],[Dati 2]]&amp;"_"&amp;Table2[[#This Row],[Tanggal]]</f>
        <v>JAWA TIMUR_BLITAR_44470</v>
      </c>
      <c r="C215" t="s">
        <v>6</v>
      </c>
      <c r="D215" t="s">
        <v>60</v>
      </c>
      <c r="E215">
        <v>10</v>
      </c>
      <c r="F215">
        <v>2021</v>
      </c>
      <c r="G215" s="1">
        <f>DATE(Table2[[#This Row],[Tahun]],Table2[[#This Row],[Bulan]],1)</f>
        <v>44470</v>
      </c>
      <c r="H215">
        <v>119</v>
      </c>
    </row>
    <row r="216" spans="1:8" x14ac:dyDescent="0.25">
      <c r="A216">
        <v>215</v>
      </c>
      <c r="B216" t="str">
        <f>Table2[[#This Row],[Propinsi]]&amp;"_"&amp;Table2[[#This Row],[Dati 2]]&amp;"_"&amp;Table2[[#This Row],[Tanggal]]</f>
        <v>JAWA TIMUR_BLITAR_44501</v>
      </c>
      <c r="C216" t="s">
        <v>6</v>
      </c>
      <c r="D216" t="s">
        <v>60</v>
      </c>
      <c r="E216">
        <v>11</v>
      </c>
      <c r="F216">
        <v>2021</v>
      </c>
      <c r="G216" s="1">
        <f>DATE(Table2[[#This Row],[Tahun]],Table2[[#This Row],[Bulan]],1)</f>
        <v>44501</v>
      </c>
      <c r="H216">
        <v>123</v>
      </c>
    </row>
    <row r="217" spans="1:8" x14ac:dyDescent="0.25">
      <c r="A217">
        <v>216</v>
      </c>
      <c r="B217" t="str">
        <f>Table2[[#This Row],[Propinsi]]&amp;"_"&amp;Table2[[#This Row],[Dati 2]]&amp;"_"&amp;Table2[[#This Row],[Tanggal]]</f>
        <v>JAWA TIMUR_BLITAR_44531</v>
      </c>
      <c r="C217" t="s">
        <v>6</v>
      </c>
      <c r="D217" t="s">
        <v>60</v>
      </c>
      <c r="E217">
        <v>12</v>
      </c>
      <c r="F217">
        <v>2021</v>
      </c>
      <c r="G217" s="1">
        <f>DATE(Table2[[#This Row],[Tahun]],Table2[[#This Row],[Bulan]],1)</f>
        <v>44531</v>
      </c>
      <c r="H217">
        <v>127</v>
      </c>
    </row>
    <row r="218" spans="1:8" x14ac:dyDescent="0.25">
      <c r="A218">
        <v>217</v>
      </c>
      <c r="B218" t="str">
        <f>Table2[[#This Row],[Propinsi]]&amp;"_"&amp;Table2[[#This Row],[Dati 2]]&amp;"_"&amp;Table2[[#This Row],[Tanggal]]</f>
        <v>JAWA TIMUR_TULUNGAGUNG_44197</v>
      </c>
      <c r="C218" t="s">
        <v>6</v>
      </c>
      <c r="D218" t="s">
        <v>61</v>
      </c>
      <c r="E218">
        <v>1</v>
      </c>
      <c r="F218">
        <v>2021</v>
      </c>
      <c r="G218" s="1">
        <f>DATE(Table2[[#This Row],[Tahun]],Table2[[#This Row],[Bulan]],1)</f>
        <v>44197</v>
      </c>
      <c r="H218">
        <v>151</v>
      </c>
    </row>
    <row r="219" spans="1:8" x14ac:dyDescent="0.25">
      <c r="A219">
        <v>218</v>
      </c>
      <c r="B219" t="str">
        <f>Table2[[#This Row],[Propinsi]]&amp;"_"&amp;Table2[[#This Row],[Dati 2]]&amp;"_"&amp;Table2[[#This Row],[Tanggal]]</f>
        <v>JAWA TIMUR_TULUNGAGUNG_44228</v>
      </c>
      <c r="C219" t="s">
        <v>6</v>
      </c>
      <c r="D219" t="s">
        <v>61</v>
      </c>
      <c r="E219">
        <v>2</v>
      </c>
      <c r="F219">
        <v>2021</v>
      </c>
      <c r="G219" s="1">
        <f>DATE(Table2[[#This Row],[Tahun]],Table2[[#This Row],[Bulan]],1)</f>
        <v>44228</v>
      </c>
      <c r="H219">
        <v>155</v>
      </c>
    </row>
    <row r="220" spans="1:8" x14ac:dyDescent="0.25">
      <c r="A220">
        <v>219</v>
      </c>
      <c r="B220" t="str">
        <f>Table2[[#This Row],[Propinsi]]&amp;"_"&amp;Table2[[#This Row],[Dati 2]]&amp;"_"&amp;Table2[[#This Row],[Tanggal]]</f>
        <v>JAWA TIMUR_TULUNGAGUNG_44256</v>
      </c>
      <c r="C220" t="s">
        <v>6</v>
      </c>
      <c r="D220" t="s">
        <v>61</v>
      </c>
      <c r="E220">
        <v>3</v>
      </c>
      <c r="F220">
        <v>2021</v>
      </c>
      <c r="G220" s="1">
        <f>DATE(Table2[[#This Row],[Tahun]],Table2[[#This Row],[Bulan]],1)</f>
        <v>44256</v>
      </c>
      <c r="H220">
        <v>159</v>
      </c>
    </row>
    <row r="221" spans="1:8" x14ac:dyDescent="0.25">
      <c r="A221">
        <v>220</v>
      </c>
      <c r="B221" t="str">
        <f>Table2[[#This Row],[Propinsi]]&amp;"_"&amp;Table2[[#This Row],[Dati 2]]&amp;"_"&amp;Table2[[#This Row],[Tanggal]]</f>
        <v>JAWA TIMUR_TULUNGAGUNG_44287</v>
      </c>
      <c r="C221" t="s">
        <v>6</v>
      </c>
      <c r="D221" t="s">
        <v>61</v>
      </c>
      <c r="E221">
        <v>4</v>
      </c>
      <c r="F221">
        <v>2021</v>
      </c>
      <c r="G221" s="1">
        <f>DATE(Table2[[#This Row],[Tahun]],Table2[[#This Row],[Bulan]],1)</f>
        <v>44287</v>
      </c>
      <c r="H221">
        <v>165</v>
      </c>
    </row>
    <row r="222" spans="1:8" x14ac:dyDescent="0.25">
      <c r="A222">
        <v>221</v>
      </c>
      <c r="B222" t="str">
        <f>Table2[[#This Row],[Propinsi]]&amp;"_"&amp;Table2[[#This Row],[Dati 2]]&amp;"_"&amp;Table2[[#This Row],[Tanggal]]</f>
        <v>JAWA TIMUR_TULUNGAGUNG_44317</v>
      </c>
      <c r="C222" t="s">
        <v>6</v>
      </c>
      <c r="D222" t="s">
        <v>61</v>
      </c>
      <c r="E222">
        <v>5</v>
      </c>
      <c r="F222">
        <v>2021</v>
      </c>
      <c r="G222" s="1">
        <f>DATE(Table2[[#This Row],[Tahun]],Table2[[#This Row],[Bulan]],1)</f>
        <v>44317</v>
      </c>
      <c r="H222">
        <v>164</v>
      </c>
    </row>
    <row r="223" spans="1:8" x14ac:dyDescent="0.25">
      <c r="A223">
        <v>222</v>
      </c>
      <c r="B223" t="str">
        <f>Table2[[#This Row],[Propinsi]]&amp;"_"&amp;Table2[[#This Row],[Dati 2]]&amp;"_"&amp;Table2[[#This Row],[Tanggal]]</f>
        <v>JAWA TIMUR_TULUNGAGUNG_44348</v>
      </c>
      <c r="C223" t="s">
        <v>6</v>
      </c>
      <c r="D223" t="s">
        <v>61</v>
      </c>
      <c r="E223">
        <v>6</v>
      </c>
      <c r="F223">
        <v>2021</v>
      </c>
      <c r="G223" s="1">
        <f>DATE(Table2[[#This Row],[Tahun]],Table2[[#This Row],[Bulan]],1)</f>
        <v>44348</v>
      </c>
      <c r="H223">
        <v>170</v>
      </c>
    </row>
    <row r="224" spans="1:8" x14ac:dyDescent="0.25">
      <c r="A224">
        <v>223</v>
      </c>
      <c r="B224" t="str">
        <f>Table2[[#This Row],[Propinsi]]&amp;"_"&amp;Table2[[#This Row],[Dati 2]]&amp;"_"&amp;Table2[[#This Row],[Tanggal]]</f>
        <v>JAWA TIMUR_TULUNGAGUNG_44378</v>
      </c>
      <c r="C224" t="s">
        <v>6</v>
      </c>
      <c r="D224" t="s">
        <v>61</v>
      </c>
      <c r="E224">
        <v>7</v>
      </c>
      <c r="F224">
        <v>2021</v>
      </c>
      <c r="G224" s="1">
        <f>DATE(Table2[[#This Row],[Tahun]],Table2[[#This Row],[Bulan]],1)</f>
        <v>44378</v>
      </c>
      <c r="H224">
        <v>170</v>
      </c>
    </row>
    <row r="225" spans="1:8" x14ac:dyDescent="0.25">
      <c r="A225">
        <v>224</v>
      </c>
      <c r="B225" t="str">
        <f>Table2[[#This Row],[Propinsi]]&amp;"_"&amp;Table2[[#This Row],[Dati 2]]&amp;"_"&amp;Table2[[#This Row],[Tanggal]]</f>
        <v>JAWA TIMUR_TULUNGAGUNG_44409</v>
      </c>
      <c r="C225" t="s">
        <v>6</v>
      </c>
      <c r="D225" t="s">
        <v>61</v>
      </c>
      <c r="E225">
        <v>8</v>
      </c>
      <c r="F225">
        <v>2021</v>
      </c>
      <c r="G225" s="1">
        <f>DATE(Table2[[#This Row],[Tahun]],Table2[[#This Row],[Bulan]],1)</f>
        <v>44409</v>
      </c>
      <c r="H225">
        <v>169</v>
      </c>
    </row>
    <row r="226" spans="1:8" x14ac:dyDescent="0.25">
      <c r="A226">
        <v>225</v>
      </c>
      <c r="B226" t="str">
        <f>Table2[[#This Row],[Propinsi]]&amp;"_"&amp;Table2[[#This Row],[Dati 2]]&amp;"_"&amp;Table2[[#This Row],[Tanggal]]</f>
        <v>JAWA TIMUR_TULUNGAGUNG_44440</v>
      </c>
      <c r="C226" t="s">
        <v>6</v>
      </c>
      <c r="D226" t="s">
        <v>61</v>
      </c>
      <c r="E226">
        <v>9</v>
      </c>
      <c r="F226">
        <v>2021</v>
      </c>
      <c r="G226" s="1">
        <f>DATE(Table2[[#This Row],[Tahun]],Table2[[#This Row],[Bulan]],1)</f>
        <v>44440</v>
      </c>
      <c r="H226">
        <v>174</v>
      </c>
    </row>
    <row r="227" spans="1:8" x14ac:dyDescent="0.25">
      <c r="A227">
        <v>226</v>
      </c>
      <c r="B227" t="str">
        <f>Table2[[#This Row],[Propinsi]]&amp;"_"&amp;Table2[[#This Row],[Dati 2]]&amp;"_"&amp;Table2[[#This Row],[Tanggal]]</f>
        <v>JAWA TIMUR_TULUNGAGUNG_44470</v>
      </c>
      <c r="C227" t="s">
        <v>6</v>
      </c>
      <c r="D227" t="s">
        <v>61</v>
      </c>
      <c r="E227">
        <v>10</v>
      </c>
      <c r="F227">
        <v>2021</v>
      </c>
      <c r="G227" s="1">
        <f>DATE(Table2[[#This Row],[Tahun]],Table2[[#This Row],[Bulan]],1)</f>
        <v>44470</v>
      </c>
      <c r="H227">
        <v>179</v>
      </c>
    </row>
    <row r="228" spans="1:8" x14ac:dyDescent="0.25">
      <c r="A228">
        <v>227</v>
      </c>
      <c r="B228" t="str">
        <f>Table2[[#This Row],[Propinsi]]&amp;"_"&amp;Table2[[#This Row],[Dati 2]]&amp;"_"&amp;Table2[[#This Row],[Tanggal]]</f>
        <v>JAWA TIMUR_TULUNGAGUNG_44501</v>
      </c>
      <c r="C228" t="s">
        <v>6</v>
      </c>
      <c r="D228" t="s">
        <v>61</v>
      </c>
      <c r="E228">
        <v>11</v>
      </c>
      <c r="F228">
        <v>2021</v>
      </c>
      <c r="G228" s="1">
        <f>DATE(Table2[[#This Row],[Tahun]],Table2[[#This Row],[Bulan]],1)</f>
        <v>44501</v>
      </c>
      <c r="H228">
        <v>184</v>
      </c>
    </row>
    <row r="229" spans="1:8" x14ac:dyDescent="0.25">
      <c r="A229">
        <v>228</v>
      </c>
      <c r="B229" t="str">
        <f>Table2[[#This Row],[Propinsi]]&amp;"_"&amp;Table2[[#This Row],[Dati 2]]&amp;"_"&amp;Table2[[#This Row],[Tanggal]]</f>
        <v>JAWA TIMUR_TULUNGAGUNG_44531</v>
      </c>
      <c r="C229" t="s">
        <v>6</v>
      </c>
      <c r="D229" t="s">
        <v>61</v>
      </c>
      <c r="E229">
        <v>12</v>
      </c>
      <c r="F229">
        <v>2021</v>
      </c>
      <c r="G229" s="1">
        <f>DATE(Table2[[#This Row],[Tahun]],Table2[[#This Row],[Bulan]],1)</f>
        <v>44531</v>
      </c>
      <c r="H229">
        <v>183</v>
      </c>
    </row>
    <row r="230" spans="1:8" x14ac:dyDescent="0.25">
      <c r="A230">
        <v>229</v>
      </c>
      <c r="B230" t="str">
        <f>Table2[[#This Row],[Propinsi]]&amp;"_"&amp;Table2[[#This Row],[Dati 2]]&amp;"_"&amp;Table2[[#This Row],[Tanggal]]</f>
        <v>DKI JAKARTA_JAKARTA PUSAT_44197</v>
      </c>
      <c r="C230" t="s">
        <v>3</v>
      </c>
      <c r="D230" t="s">
        <v>62</v>
      </c>
      <c r="E230">
        <v>1</v>
      </c>
      <c r="F230">
        <v>2021</v>
      </c>
      <c r="G230" s="1">
        <f>DATE(Table2[[#This Row],[Tahun]],Table2[[#This Row],[Bulan]],1)</f>
        <v>44197</v>
      </c>
      <c r="H230">
        <v>267</v>
      </c>
    </row>
    <row r="231" spans="1:8" x14ac:dyDescent="0.25">
      <c r="A231">
        <v>230</v>
      </c>
      <c r="B231" t="str">
        <f>Table2[[#This Row],[Propinsi]]&amp;"_"&amp;Table2[[#This Row],[Dati 2]]&amp;"_"&amp;Table2[[#This Row],[Tanggal]]</f>
        <v>DKI JAKARTA_JAKARTA PUSAT_44228</v>
      </c>
      <c r="C231" t="s">
        <v>3</v>
      </c>
      <c r="D231" t="s">
        <v>62</v>
      </c>
      <c r="E231">
        <v>2</v>
      </c>
      <c r="F231">
        <v>2021</v>
      </c>
      <c r="G231" s="1">
        <f>DATE(Table2[[#This Row],[Tahun]],Table2[[#This Row],[Bulan]],1)</f>
        <v>44228</v>
      </c>
      <c r="H231">
        <v>269</v>
      </c>
    </row>
    <row r="232" spans="1:8" x14ac:dyDescent="0.25">
      <c r="A232">
        <v>231</v>
      </c>
      <c r="B232" t="str">
        <f>Table2[[#This Row],[Propinsi]]&amp;"_"&amp;Table2[[#This Row],[Dati 2]]&amp;"_"&amp;Table2[[#This Row],[Tanggal]]</f>
        <v>DKI JAKARTA_JAKARTA PUSAT_44256</v>
      </c>
      <c r="C232" t="s">
        <v>3</v>
      </c>
      <c r="D232" t="s">
        <v>62</v>
      </c>
      <c r="E232">
        <v>3</v>
      </c>
      <c r="F232">
        <v>2021</v>
      </c>
      <c r="G232" s="1">
        <f>DATE(Table2[[#This Row],[Tahun]],Table2[[#This Row],[Bulan]],1)</f>
        <v>44256</v>
      </c>
      <c r="H232">
        <v>273</v>
      </c>
    </row>
    <row r="233" spans="1:8" x14ac:dyDescent="0.25">
      <c r="A233">
        <v>232</v>
      </c>
      <c r="B233" t="str">
        <f>Table2[[#This Row],[Propinsi]]&amp;"_"&amp;Table2[[#This Row],[Dati 2]]&amp;"_"&amp;Table2[[#This Row],[Tanggal]]</f>
        <v>DKI JAKARTA_JAKARTA PUSAT_44287</v>
      </c>
      <c r="C233" t="s">
        <v>3</v>
      </c>
      <c r="D233" t="s">
        <v>62</v>
      </c>
      <c r="E233">
        <v>4</v>
      </c>
      <c r="F233">
        <v>2021</v>
      </c>
      <c r="G233" s="1">
        <f>DATE(Table2[[#This Row],[Tahun]],Table2[[#This Row],[Bulan]],1)</f>
        <v>44287</v>
      </c>
      <c r="H233">
        <v>274</v>
      </c>
    </row>
    <row r="234" spans="1:8" x14ac:dyDescent="0.25">
      <c r="A234">
        <v>233</v>
      </c>
      <c r="B234" t="str">
        <f>Table2[[#This Row],[Propinsi]]&amp;"_"&amp;Table2[[#This Row],[Dati 2]]&amp;"_"&amp;Table2[[#This Row],[Tanggal]]</f>
        <v>DKI JAKARTA_JAKARTA PUSAT_44317</v>
      </c>
      <c r="C234" t="s">
        <v>3</v>
      </c>
      <c r="D234" t="s">
        <v>62</v>
      </c>
      <c r="E234">
        <v>5</v>
      </c>
      <c r="F234">
        <v>2021</v>
      </c>
      <c r="G234" s="1">
        <f>DATE(Table2[[#This Row],[Tahun]],Table2[[#This Row],[Bulan]],1)</f>
        <v>44317</v>
      </c>
      <c r="H234">
        <v>279</v>
      </c>
    </row>
    <row r="235" spans="1:8" x14ac:dyDescent="0.25">
      <c r="A235">
        <v>234</v>
      </c>
      <c r="B235" t="str">
        <f>Table2[[#This Row],[Propinsi]]&amp;"_"&amp;Table2[[#This Row],[Dati 2]]&amp;"_"&amp;Table2[[#This Row],[Tanggal]]</f>
        <v>DKI JAKARTA_JAKARTA PUSAT_44348</v>
      </c>
      <c r="C235" t="s">
        <v>3</v>
      </c>
      <c r="D235" t="s">
        <v>62</v>
      </c>
      <c r="E235">
        <v>6</v>
      </c>
      <c r="F235">
        <v>2021</v>
      </c>
      <c r="G235" s="1">
        <f>DATE(Table2[[#This Row],[Tahun]],Table2[[#This Row],[Bulan]],1)</f>
        <v>44348</v>
      </c>
      <c r="H235">
        <v>283</v>
      </c>
    </row>
    <row r="236" spans="1:8" x14ac:dyDescent="0.25">
      <c r="A236">
        <v>235</v>
      </c>
      <c r="B236" t="str">
        <f>Table2[[#This Row],[Propinsi]]&amp;"_"&amp;Table2[[#This Row],[Dati 2]]&amp;"_"&amp;Table2[[#This Row],[Tanggal]]</f>
        <v>DKI JAKARTA_JAKARTA PUSAT_44378</v>
      </c>
      <c r="C236" t="s">
        <v>3</v>
      </c>
      <c r="D236" t="s">
        <v>62</v>
      </c>
      <c r="E236">
        <v>7</v>
      </c>
      <c r="F236">
        <v>2021</v>
      </c>
      <c r="G236" s="1">
        <f>DATE(Table2[[#This Row],[Tahun]],Table2[[#This Row],[Bulan]],1)</f>
        <v>44378</v>
      </c>
      <c r="H236">
        <v>287</v>
      </c>
    </row>
    <row r="237" spans="1:8" x14ac:dyDescent="0.25">
      <c r="A237">
        <v>236</v>
      </c>
      <c r="B237" t="str">
        <f>Table2[[#This Row],[Propinsi]]&amp;"_"&amp;Table2[[#This Row],[Dati 2]]&amp;"_"&amp;Table2[[#This Row],[Tanggal]]</f>
        <v>DKI JAKARTA_JAKARTA PUSAT_44409</v>
      </c>
      <c r="C237" t="s">
        <v>3</v>
      </c>
      <c r="D237" t="s">
        <v>62</v>
      </c>
      <c r="E237">
        <v>8</v>
      </c>
      <c r="F237">
        <v>2021</v>
      </c>
      <c r="G237" s="1">
        <f>DATE(Table2[[#This Row],[Tahun]],Table2[[#This Row],[Bulan]],1)</f>
        <v>44409</v>
      </c>
      <c r="H237">
        <v>292</v>
      </c>
    </row>
    <row r="238" spans="1:8" x14ac:dyDescent="0.25">
      <c r="A238">
        <v>237</v>
      </c>
      <c r="B238" t="str">
        <f>Table2[[#This Row],[Propinsi]]&amp;"_"&amp;Table2[[#This Row],[Dati 2]]&amp;"_"&amp;Table2[[#This Row],[Tanggal]]</f>
        <v>DKI JAKARTA_JAKARTA PUSAT_44440</v>
      </c>
      <c r="C238" t="s">
        <v>3</v>
      </c>
      <c r="D238" t="s">
        <v>62</v>
      </c>
      <c r="E238">
        <v>9</v>
      </c>
      <c r="F238">
        <v>2021</v>
      </c>
      <c r="G238" s="1">
        <f>DATE(Table2[[#This Row],[Tahun]],Table2[[#This Row],[Bulan]],1)</f>
        <v>44440</v>
      </c>
      <c r="H238">
        <v>297</v>
      </c>
    </row>
    <row r="239" spans="1:8" x14ac:dyDescent="0.25">
      <c r="A239">
        <v>238</v>
      </c>
      <c r="B239" t="str">
        <f>Table2[[#This Row],[Propinsi]]&amp;"_"&amp;Table2[[#This Row],[Dati 2]]&amp;"_"&amp;Table2[[#This Row],[Tanggal]]</f>
        <v>DKI JAKARTA_JAKARTA PUSAT_44470</v>
      </c>
      <c r="C239" t="s">
        <v>3</v>
      </c>
      <c r="D239" t="s">
        <v>62</v>
      </c>
      <c r="E239">
        <v>10</v>
      </c>
      <c r="F239">
        <v>2021</v>
      </c>
      <c r="G239" s="1">
        <f>DATE(Table2[[#This Row],[Tahun]],Table2[[#This Row],[Bulan]],1)</f>
        <v>44470</v>
      </c>
      <c r="H239">
        <v>296</v>
      </c>
    </row>
    <row r="240" spans="1:8" x14ac:dyDescent="0.25">
      <c r="A240">
        <v>239</v>
      </c>
      <c r="B240" t="str">
        <f>Table2[[#This Row],[Propinsi]]&amp;"_"&amp;Table2[[#This Row],[Dati 2]]&amp;"_"&amp;Table2[[#This Row],[Tanggal]]</f>
        <v>DKI JAKARTA_JAKARTA PUSAT_44501</v>
      </c>
      <c r="C240" t="s">
        <v>3</v>
      </c>
      <c r="D240" t="s">
        <v>62</v>
      </c>
      <c r="E240">
        <v>11</v>
      </c>
      <c r="F240">
        <v>2021</v>
      </c>
      <c r="G240" s="1">
        <f>DATE(Table2[[#This Row],[Tahun]],Table2[[#This Row],[Bulan]],1)</f>
        <v>44501</v>
      </c>
      <c r="H240">
        <v>302</v>
      </c>
    </row>
    <row r="241" spans="1:8" x14ac:dyDescent="0.25">
      <c r="A241">
        <v>240</v>
      </c>
      <c r="B241" t="str">
        <f>Table2[[#This Row],[Propinsi]]&amp;"_"&amp;Table2[[#This Row],[Dati 2]]&amp;"_"&amp;Table2[[#This Row],[Tanggal]]</f>
        <v>DKI JAKARTA_JAKARTA PUSAT_44531</v>
      </c>
      <c r="C241" t="s">
        <v>3</v>
      </c>
      <c r="D241" t="s">
        <v>62</v>
      </c>
      <c r="E241">
        <v>12</v>
      </c>
      <c r="F241">
        <v>2021</v>
      </c>
      <c r="G241" s="1">
        <f>DATE(Table2[[#This Row],[Tahun]],Table2[[#This Row],[Bulan]],1)</f>
        <v>44531</v>
      </c>
      <c r="H241">
        <v>308</v>
      </c>
    </row>
    <row r="242" spans="1:8" x14ac:dyDescent="0.25">
      <c r="A242">
        <v>241</v>
      </c>
      <c r="B242" t="str">
        <f>Table2[[#This Row],[Propinsi]]&amp;"_"&amp;Table2[[#This Row],[Dati 2]]&amp;"_"&amp;Table2[[#This Row],[Tanggal]]</f>
        <v>DKI JAKARTA_JAKARTA BARAT_44197</v>
      </c>
      <c r="C242" t="s">
        <v>3</v>
      </c>
      <c r="D242" t="s">
        <v>63</v>
      </c>
      <c r="E242">
        <v>1</v>
      </c>
      <c r="F242">
        <v>2021</v>
      </c>
      <c r="G242" s="1">
        <f>DATE(Table2[[#This Row],[Tahun]],Table2[[#This Row],[Bulan]],1)</f>
        <v>44197</v>
      </c>
      <c r="H242">
        <v>292</v>
      </c>
    </row>
    <row r="243" spans="1:8" x14ac:dyDescent="0.25">
      <c r="A243">
        <v>242</v>
      </c>
      <c r="B243" t="str">
        <f>Table2[[#This Row],[Propinsi]]&amp;"_"&amp;Table2[[#This Row],[Dati 2]]&amp;"_"&amp;Table2[[#This Row],[Tanggal]]</f>
        <v>DKI JAKARTA_JAKARTA BARAT_44228</v>
      </c>
      <c r="C243" t="s">
        <v>3</v>
      </c>
      <c r="D243" t="s">
        <v>63</v>
      </c>
      <c r="E243">
        <v>2</v>
      </c>
      <c r="F243">
        <v>2021</v>
      </c>
      <c r="G243" s="1">
        <f>DATE(Table2[[#This Row],[Tahun]],Table2[[#This Row],[Bulan]],1)</f>
        <v>44228</v>
      </c>
      <c r="H243">
        <v>293</v>
      </c>
    </row>
    <row r="244" spans="1:8" x14ac:dyDescent="0.25">
      <c r="A244">
        <v>243</v>
      </c>
      <c r="B244" t="str">
        <f>Table2[[#This Row],[Propinsi]]&amp;"_"&amp;Table2[[#This Row],[Dati 2]]&amp;"_"&amp;Table2[[#This Row],[Tanggal]]</f>
        <v>DKI JAKARTA_JAKARTA BARAT_44256</v>
      </c>
      <c r="C244" t="s">
        <v>3</v>
      </c>
      <c r="D244" t="s">
        <v>63</v>
      </c>
      <c r="E244">
        <v>3</v>
      </c>
      <c r="F244">
        <v>2021</v>
      </c>
      <c r="G244" s="1">
        <f>DATE(Table2[[#This Row],[Tahun]],Table2[[#This Row],[Bulan]],1)</f>
        <v>44256</v>
      </c>
      <c r="H244">
        <v>295</v>
      </c>
    </row>
    <row r="245" spans="1:8" x14ac:dyDescent="0.25">
      <c r="A245">
        <v>244</v>
      </c>
      <c r="B245" t="str">
        <f>Table2[[#This Row],[Propinsi]]&amp;"_"&amp;Table2[[#This Row],[Dati 2]]&amp;"_"&amp;Table2[[#This Row],[Tanggal]]</f>
        <v>DKI JAKARTA_JAKARTA BARAT_44287</v>
      </c>
      <c r="C245" t="s">
        <v>3</v>
      </c>
      <c r="D245" t="s">
        <v>63</v>
      </c>
      <c r="E245">
        <v>4</v>
      </c>
      <c r="F245">
        <v>2021</v>
      </c>
      <c r="G245" s="1">
        <f>DATE(Table2[[#This Row],[Tahun]],Table2[[#This Row],[Bulan]],1)</f>
        <v>44287</v>
      </c>
      <c r="H245">
        <v>297</v>
      </c>
    </row>
    <row r="246" spans="1:8" x14ac:dyDescent="0.25">
      <c r="A246">
        <v>245</v>
      </c>
      <c r="B246" t="str">
        <f>Table2[[#This Row],[Propinsi]]&amp;"_"&amp;Table2[[#This Row],[Dati 2]]&amp;"_"&amp;Table2[[#This Row],[Tanggal]]</f>
        <v>DKI JAKARTA_JAKARTA BARAT_44317</v>
      </c>
      <c r="C246" t="s">
        <v>3</v>
      </c>
      <c r="D246" t="s">
        <v>63</v>
      </c>
      <c r="E246">
        <v>5</v>
      </c>
      <c r="F246">
        <v>2021</v>
      </c>
      <c r="G246" s="1">
        <f>DATE(Table2[[#This Row],[Tahun]],Table2[[#This Row],[Bulan]],1)</f>
        <v>44317</v>
      </c>
      <c r="H246">
        <v>300</v>
      </c>
    </row>
    <row r="247" spans="1:8" x14ac:dyDescent="0.25">
      <c r="A247">
        <v>246</v>
      </c>
      <c r="B247" t="str">
        <f>Table2[[#This Row],[Propinsi]]&amp;"_"&amp;Table2[[#This Row],[Dati 2]]&amp;"_"&amp;Table2[[#This Row],[Tanggal]]</f>
        <v>DKI JAKARTA_JAKARTA BARAT_44348</v>
      </c>
      <c r="C247" t="s">
        <v>3</v>
      </c>
      <c r="D247" t="s">
        <v>63</v>
      </c>
      <c r="E247">
        <v>6</v>
      </c>
      <c r="F247">
        <v>2021</v>
      </c>
      <c r="G247" s="1">
        <f>DATE(Table2[[#This Row],[Tahun]],Table2[[#This Row],[Bulan]],1)</f>
        <v>44348</v>
      </c>
      <c r="H247">
        <v>299</v>
      </c>
    </row>
    <row r="248" spans="1:8" x14ac:dyDescent="0.25">
      <c r="A248">
        <v>247</v>
      </c>
      <c r="B248" t="str">
        <f>Table2[[#This Row],[Propinsi]]&amp;"_"&amp;Table2[[#This Row],[Dati 2]]&amp;"_"&amp;Table2[[#This Row],[Tanggal]]</f>
        <v>DKI JAKARTA_JAKARTA BARAT_44378</v>
      </c>
      <c r="C248" t="s">
        <v>3</v>
      </c>
      <c r="D248" t="s">
        <v>63</v>
      </c>
      <c r="E248">
        <v>7</v>
      </c>
      <c r="F248">
        <v>2021</v>
      </c>
      <c r="G248" s="1">
        <f>DATE(Table2[[#This Row],[Tahun]],Table2[[#This Row],[Bulan]],1)</f>
        <v>44378</v>
      </c>
      <c r="H248">
        <v>297</v>
      </c>
    </row>
    <row r="249" spans="1:8" x14ac:dyDescent="0.25">
      <c r="A249">
        <v>248</v>
      </c>
      <c r="B249" t="str">
        <f>Table2[[#This Row],[Propinsi]]&amp;"_"&amp;Table2[[#This Row],[Dati 2]]&amp;"_"&amp;Table2[[#This Row],[Tanggal]]</f>
        <v>DKI JAKARTA_JAKARTA BARAT_44409</v>
      </c>
      <c r="C249" t="s">
        <v>3</v>
      </c>
      <c r="D249" t="s">
        <v>63</v>
      </c>
      <c r="E249">
        <v>8</v>
      </c>
      <c r="F249">
        <v>2021</v>
      </c>
      <c r="G249" s="1">
        <f>DATE(Table2[[#This Row],[Tahun]],Table2[[#This Row],[Bulan]],1)</f>
        <v>44409</v>
      </c>
      <c r="H249">
        <v>298</v>
      </c>
    </row>
    <row r="250" spans="1:8" x14ac:dyDescent="0.25">
      <c r="A250">
        <v>249</v>
      </c>
      <c r="B250" t="str">
        <f>Table2[[#This Row],[Propinsi]]&amp;"_"&amp;Table2[[#This Row],[Dati 2]]&amp;"_"&amp;Table2[[#This Row],[Tanggal]]</f>
        <v>DKI JAKARTA_JAKARTA BARAT_44440</v>
      </c>
      <c r="C250" t="s">
        <v>3</v>
      </c>
      <c r="D250" t="s">
        <v>63</v>
      </c>
      <c r="E250">
        <v>9</v>
      </c>
      <c r="F250">
        <v>2021</v>
      </c>
      <c r="G250" s="1">
        <f>DATE(Table2[[#This Row],[Tahun]],Table2[[#This Row],[Bulan]],1)</f>
        <v>44440</v>
      </c>
      <c r="H250">
        <v>303</v>
      </c>
    </row>
    <row r="251" spans="1:8" x14ac:dyDescent="0.25">
      <c r="A251">
        <v>250</v>
      </c>
      <c r="B251" t="str">
        <f>Table2[[#This Row],[Propinsi]]&amp;"_"&amp;Table2[[#This Row],[Dati 2]]&amp;"_"&amp;Table2[[#This Row],[Tanggal]]</f>
        <v>DKI JAKARTA_JAKARTA BARAT_44470</v>
      </c>
      <c r="C251" t="s">
        <v>3</v>
      </c>
      <c r="D251" t="s">
        <v>63</v>
      </c>
      <c r="E251">
        <v>10</v>
      </c>
      <c r="F251">
        <v>2021</v>
      </c>
      <c r="G251" s="1">
        <f>DATE(Table2[[#This Row],[Tahun]],Table2[[#This Row],[Bulan]],1)</f>
        <v>44470</v>
      </c>
      <c r="H251">
        <v>305</v>
      </c>
    </row>
    <row r="252" spans="1:8" x14ac:dyDescent="0.25">
      <c r="A252">
        <v>251</v>
      </c>
      <c r="B252" t="str">
        <f>Table2[[#This Row],[Propinsi]]&amp;"_"&amp;Table2[[#This Row],[Dati 2]]&amp;"_"&amp;Table2[[#This Row],[Tanggal]]</f>
        <v>DKI JAKARTA_JAKARTA BARAT_44501</v>
      </c>
      <c r="C252" t="s">
        <v>3</v>
      </c>
      <c r="D252" t="s">
        <v>63</v>
      </c>
      <c r="E252">
        <v>11</v>
      </c>
      <c r="F252">
        <v>2021</v>
      </c>
      <c r="G252" s="1">
        <f>DATE(Table2[[#This Row],[Tahun]],Table2[[#This Row],[Bulan]],1)</f>
        <v>44501</v>
      </c>
      <c r="H252">
        <v>310</v>
      </c>
    </row>
    <row r="253" spans="1:8" x14ac:dyDescent="0.25">
      <c r="A253">
        <v>252</v>
      </c>
      <c r="B253" t="str">
        <f>Table2[[#This Row],[Propinsi]]&amp;"_"&amp;Table2[[#This Row],[Dati 2]]&amp;"_"&amp;Table2[[#This Row],[Tanggal]]</f>
        <v>DKI JAKARTA_JAKARTA BARAT_44531</v>
      </c>
      <c r="C253" t="s">
        <v>3</v>
      </c>
      <c r="D253" t="s">
        <v>63</v>
      </c>
      <c r="E253">
        <v>12</v>
      </c>
      <c r="F253">
        <v>2021</v>
      </c>
      <c r="G253" s="1">
        <f>DATE(Table2[[#This Row],[Tahun]],Table2[[#This Row],[Bulan]],1)</f>
        <v>44531</v>
      </c>
      <c r="H253">
        <v>311</v>
      </c>
    </row>
    <row r="254" spans="1:8" x14ac:dyDescent="0.25">
      <c r="A254">
        <v>253</v>
      </c>
      <c r="B254" t="str">
        <f>Table2[[#This Row],[Propinsi]]&amp;"_"&amp;Table2[[#This Row],[Dati 2]]&amp;"_"&amp;Table2[[#This Row],[Tanggal]]</f>
        <v>DKI JAKARTA_JAKARTA SELATAN_44197</v>
      </c>
      <c r="C254" t="s">
        <v>3</v>
      </c>
      <c r="D254" t="s">
        <v>64</v>
      </c>
      <c r="E254">
        <v>1</v>
      </c>
      <c r="F254">
        <v>2021</v>
      </c>
      <c r="G254" s="1">
        <f>DATE(Table2[[#This Row],[Tahun]],Table2[[#This Row],[Bulan]],1)</f>
        <v>44197</v>
      </c>
      <c r="H254">
        <v>118</v>
      </c>
    </row>
    <row r="255" spans="1:8" x14ac:dyDescent="0.25">
      <c r="A255">
        <v>254</v>
      </c>
      <c r="B255" t="str">
        <f>Table2[[#This Row],[Propinsi]]&amp;"_"&amp;Table2[[#This Row],[Dati 2]]&amp;"_"&amp;Table2[[#This Row],[Tanggal]]</f>
        <v>DKI JAKARTA_JAKARTA SELATAN_44228</v>
      </c>
      <c r="C255" t="s">
        <v>3</v>
      </c>
      <c r="D255" t="s">
        <v>64</v>
      </c>
      <c r="E255">
        <v>2</v>
      </c>
      <c r="F255">
        <v>2021</v>
      </c>
      <c r="G255" s="1">
        <f>DATE(Table2[[#This Row],[Tahun]],Table2[[#This Row],[Bulan]],1)</f>
        <v>44228</v>
      </c>
      <c r="H255">
        <v>125</v>
      </c>
    </row>
    <row r="256" spans="1:8" x14ac:dyDescent="0.25">
      <c r="A256">
        <v>255</v>
      </c>
      <c r="B256" t="str">
        <f>Table2[[#This Row],[Propinsi]]&amp;"_"&amp;Table2[[#This Row],[Dati 2]]&amp;"_"&amp;Table2[[#This Row],[Tanggal]]</f>
        <v>DKI JAKARTA_JAKARTA SELATAN_44256</v>
      </c>
      <c r="C256" t="s">
        <v>3</v>
      </c>
      <c r="D256" t="s">
        <v>64</v>
      </c>
      <c r="E256">
        <v>3</v>
      </c>
      <c r="F256">
        <v>2021</v>
      </c>
      <c r="G256" s="1">
        <f>DATE(Table2[[#This Row],[Tahun]],Table2[[#This Row],[Bulan]],1)</f>
        <v>44256</v>
      </c>
      <c r="H256">
        <v>129</v>
      </c>
    </row>
    <row r="257" spans="1:8" x14ac:dyDescent="0.25">
      <c r="A257">
        <v>256</v>
      </c>
      <c r="B257" t="str">
        <f>Table2[[#This Row],[Propinsi]]&amp;"_"&amp;Table2[[#This Row],[Dati 2]]&amp;"_"&amp;Table2[[#This Row],[Tanggal]]</f>
        <v>DKI JAKARTA_JAKARTA SELATAN_44287</v>
      </c>
      <c r="C257" t="s">
        <v>3</v>
      </c>
      <c r="D257" t="s">
        <v>64</v>
      </c>
      <c r="E257">
        <v>4</v>
      </c>
      <c r="F257">
        <v>2021</v>
      </c>
      <c r="G257" s="1">
        <f>DATE(Table2[[#This Row],[Tahun]],Table2[[#This Row],[Bulan]],1)</f>
        <v>44287</v>
      </c>
      <c r="H257">
        <v>136</v>
      </c>
    </row>
    <row r="258" spans="1:8" x14ac:dyDescent="0.25">
      <c r="A258">
        <v>257</v>
      </c>
      <c r="B258" t="str">
        <f>Table2[[#This Row],[Propinsi]]&amp;"_"&amp;Table2[[#This Row],[Dati 2]]&amp;"_"&amp;Table2[[#This Row],[Tanggal]]</f>
        <v>DKI JAKARTA_JAKARTA SELATAN_44317</v>
      </c>
      <c r="C258" t="s">
        <v>3</v>
      </c>
      <c r="D258" t="s">
        <v>64</v>
      </c>
      <c r="E258">
        <v>5</v>
      </c>
      <c r="F258">
        <v>2021</v>
      </c>
      <c r="G258" s="1">
        <f>DATE(Table2[[#This Row],[Tahun]],Table2[[#This Row],[Bulan]],1)</f>
        <v>44317</v>
      </c>
      <c r="H258">
        <v>141</v>
      </c>
    </row>
    <row r="259" spans="1:8" x14ac:dyDescent="0.25">
      <c r="A259">
        <v>258</v>
      </c>
      <c r="B259" t="str">
        <f>Table2[[#This Row],[Propinsi]]&amp;"_"&amp;Table2[[#This Row],[Dati 2]]&amp;"_"&amp;Table2[[#This Row],[Tanggal]]</f>
        <v>DKI JAKARTA_JAKARTA SELATAN_44348</v>
      </c>
      <c r="C259" t="s">
        <v>3</v>
      </c>
      <c r="D259" t="s">
        <v>64</v>
      </c>
      <c r="E259">
        <v>6</v>
      </c>
      <c r="F259">
        <v>2021</v>
      </c>
      <c r="G259" s="1">
        <f>DATE(Table2[[#This Row],[Tahun]],Table2[[#This Row],[Bulan]],1)</f>
        <v>44348</v>
      </c>
      <c r="H259">
        <v>141</v>
      </c>
    </row>
    <row r="260" spans="1:8" x14ac:dyDescent="0.25">
      <c r="A260">
        <v>259</v>
      </c>
      <c r="B260" t="str">
        <f>Table2[[#This Row],[Propinsi]]&amp;"_"&amp;Table2[[#This Row],[Dati 2]]&amp;"_"&amp;Table2[[#This Row],[Tanggal]]</f>
        <v>DKI JAKARTA_JAKARTA SELATAN_44378</v>
      </c>
      <c r="C260" t="s">
        <v>3</v>
      </c>
      <c r="D260" t="s">
        <v>64</v>
      </c>
      <c r="E260">
        <v>7</v>
      </c>
      <c r="F260">
        <v>2021</v>
      </c>
      <c r="G260" s="1">
        <f>DATE(Table2[[#This Row],[Tahun]],Table2[[#This Row],[Bulan]],1)</f>
        <v>44378</v>
      </c>
      <c r="H260">
        <v>146</v>
      </c>
    </row>
    <row r="261" spans="1:8" x14ac:dyDescent="0.25">
      <c r="A261">
        <v>260</v>
      </c>
      <c r="B261" t="str">
        <f>Table2[[#This Row],[Propinsi]]&amp;"_"&amp;Table2[[#This Row],[Dati 2]]&amp;"_"&amp;Table2[[#This Row],[Tanggal]]</f>
        <v>DKI JAKARTA_JAKARTA SELATAN_44409</v>
      </c>
      <c r="C261" t="s">
        <v>3</v>
      </c>
      <c r="D261" t="s">
        <v>64</v>
      </c>
      <c r="E261">
        <v>8</v>
      </c>
      <c r="F261">
        <v>2021</v>
      </c>
      <c r="G261" s="1">
        <f>DATE(Table2[[#This Row],[Tahun]],Table2[[#This Row],[Bulan]],1)</f>
        <v>44409</v>
      </c>
      <c r="H261">
        <v>145</v>
      </c>
    </row>
    <row r="262" spans="1:8" x14ac:dyDescent="0.25">
      <c r="A262">
        <v>261</v>
      </c>
      <c r="B262" t="str">
        <f>Table2[[#This Row],[Propinsi]]&amp;"_"&amp;Table2[[#This Row],[Dati 2]]&amp;"_"&amp;Table2[[#This Row],[Tanggal]]</f>
        <v>DKI JAKARTA_JAKARTA SELATAN_44440</v>
      </c>
      <c r="C262" t="s">
        <v>3</v>
      </c>
      <c r="D262" t="s">
        <v>64</v>
      </c>
      <c r="E262">
        <v>9</v>
      </c>
      <c r="F262">
        <v>2021</v>
      </c>
      <c r="G262" s="1">
        <f>DATE(Table2[[#This Row],[Tahun]],Table2[[#This Row],[Bulan]],1)</f>
        <v>44440</v>
      </c>
      <c r="H262">
        <v>143</v>
      </c>
    </row>
    <row r="263" spans="1:8" x14ac:dyDescent="0.25">
      <c r="A263">
        <v>262</v>
      </c>
      <c r="B263" t="str">
        <f>Table2[[#This Row],[Propinsi]]&amp;"_"&amp;Table2[[#This Row],[Dati 2]]&amp;"_"&amp;Table2[[#This Row],[Tanggal]]</f>
        <v>DKI JAKARTA_JAKARTA SELATAN_44470</v>
      </c>
      <c r="C263" t="s">
        <v>3</v>
      </c>
      <c r="D263" t="s">
        <v>64</v>
      </c>
      <c r="E263">
        <v>10</v>
      </c>
      <c r="F263">
        <v>2021</v>
      </c>
      <c r="G263" s="1">
        <f>DATE(Table2[[#This Row],[Tahun]],Table2[[#This Row],[Bulan]],1)</f>
        <v>44470</v>
      </c>
      <c r="H263">
        <v>143</v>
      </c>
    </row>
    <row r="264" spans="1:8" x14ac:dyDescent="0.25">
      <c r="A264">
        <v>263</v>
      </c>
      <c r="B264" t="str">
        <f>Table2[[#This Row],[Propinsi]]&amp;"_"&amp;Table2[[#This Row],[Dati 2]]&amp;"_"&amp;Table2[[#This Row],[Tanggal]]</f>
        <v>DKI JAKARTA_JAKARTA SELATAN_44501</v>
      </c>
      <c r="C264" t="s">
        <v>3</v>
      </c>
      <c r="D264" t="s">
        <v>64</v>
      </c>
      <c r="E264">
        <v>11</v>
      </c>
      <c r="F264">
        <v>2021</v>
      </c>
      <c r="G264" s="1">
        <f>DATE(Table2[[#This Row],[Tahun]],Table2[[#This Row],[Bulan]],1)</f>
        <v>44501</v>
      </c>
      <c r="H264">
        <v>143</v>
      </c>
    </row>
    <row r="265" spans="1:8" x14ac:dyDescent="0.25">
      <c r="A265">
        <v>264</v>
      </c>
      <c r="B265" t="str">
        <f>Table2[[#This Row],[Propinsi]]&amp;"_"&amp;Table2[[#This Row],[Dati 2]]&amp;"_"&amp;Table2[[#This Row],[Tanggal]]</f>
        <v>DKI JAKARTA_JAKARTA SELATAN_44531</v>
      </c>
      <c r="C265" t="s">
        <v>3</v>
      </c>
      <c r="D265" t="s">
        <v>64</v>
      </c>
      <c r="E265">
        <v>12</v>
      </c>
      <c r="F265">
        <v>2021</v>
      </c>
      <c r="G265" s="1">
        <f>DATE(Table2[[#This Row],[Tahun]],Table2[[#This Row],[Bulan]],1)</f>
        <v>44531</v>
      </c>
      <c r="H265">
        <v>147</v>
      </c>
    </row>
    <row r="266" spans="1:8" x14ac:dyDescent="0.25">
      <c r="A266">
        <v>265</v>
      </c>
      <c r="B266" t="str">
        <f>Table2[[#This Row],[Propinsi]]&amp;"_"&amp;Table2[[#This Row],[Dati 2]]&amp;"_"&amp;Table2[[#This Row],[Tanggal]]</f>
        <v>DKI JAKARTA_JAKARTA TIMUR_44197</v>
      </c>
      <c r="C266" t="s">
        <v>3</v>
      </c>
      <c r="D266" t="s">
        <v>65</v>
      </c>
      <c r="E266">
        <v>1</v>
      </c>
      <c r="F266">
        <v>2021</v>
      </c>
      <c r="G266" s="1">
        <f>DATE(Table2[[#This Row],[Tahun]],Table2[[#This Row],[Bulan]],1)</f>
        <v>44197</v>
      </c>
      <c r="H266">
        <v>175</v>
      </c>
    </row>
    <row r="267" spans="1:8" x14ac:dyDescent="0.25">
      <c r="A267">
        <v>266</v>
      </c>
      <c r="B267" t="str">
        <f>Table2[[#This Row],[Propinsi]]&amp;"_"&amp;Table2[[#This Row],[Dati 2]]&amp;"_"&amp;Table2[[#This Row],[Tanggal]]</f>
        <v>DKI JAKARTA_JAKARTA TIMUR_44228</v>
      </c>
      <c r="C267" t="s">
        <v>3</v>
      </c>
      <c r="D267" t="s">
        <v>65</v>
      </c>
      <c r="E267">
        <v>2</v>
      </c>
      <c r="F267">
        <v>2021</v>
      </c>
      <c r="G267" s="1">
        <f>DATE(Table2[[#This Row],[Tahun]],Table2[[#This Row],[Bulan]],1)</f>
        <v>44228</v>
      </c>
      <c r="H267">
        <v>178</v>
      </c>
    </row>
    <row r="268" spans="1:8" x14ac:dyDescent="0.25">
      <c r="A268">
        <v>267</v>
      </c>
      <c r="B268" t="str">
        <f>Table2[[#This Row],[Propinsi]]&amp;"_"&amp;Table2[[#This Row],[Dati 2]]&amp;"_"&amp;Table2[[#This Row],[Tanggal]]</f>
        <v>DKI JAKARTA_JAKARTA TIMUR_44256</v>
      </c>
      <c r="C268" t="s">
        <v>3</v>
      </c>
      <c r="D268" t="s">
        <v>65</v>
      </c>
      <c r="E268">
        <v>3</v>
      </c>
      <c r="F268">
        <v>2021</v>
      </c>
      <c r="G268" s="1">
        <f>DATE(Table2[[#This Row],[Tahun]],Table2[[#This Row],[Bulan]],1)</f>
        <v>44256</v>
      </c>
      <c r="H268">
        <v>179</v>
      </c>
    </row>
    <row r="269" spans="1:8" x14ac:dyDescent="0.25">
      <c r="A269">
        <v>268</v>
      </c>
      <c r="B269" t="str">
        <f>Table2[[#This Row],[Propinsi]]&amp;"_"&amp;Table2[[#This Row],[Dati 2]]&amp;"_"&amp;Table2[[#This Row],[Tanggal]]</f>
        <v>DKI JAKARTA_JAKARTA TIMUR_44287</v>
      </c>
      <c r="C269" t="s">
        <v>3</v>
      </c>
      <c r="D269" t="s">
        <v>65</v>
      </c>
      <c r="E269">
        <v>4</v>
      </c>
      <c r="F269">
        <v>2021</v>
      </c>
      <c r="G269" s="1">
        <f>DATE(Table2[[#This Row],[Tahun]],Table2[[#This Row],[Bulan]],1)</f>
        <v>44287</v>
      </c>
      <c r="H269">
        <v>179</v>
      </c>
    </row>
    <row r="270" spans="1:8" x14ac:dyDescent="0.25">
      <c r="A270">
        <v>269</v>
      </c>
      <c r="B270" t="str">
        <f>Table2[[#This Row],[Propinsi]]&amp;"_"&amp;Table2[[#This Row],[Dati 2]]&amp;"_"&amp;Table2[[#This Row],[Tanggal]]</f>
        <v>DKI JAKARTA_JAKARTA TIMUR_44317</v>
      </c>
      <c r="C270" t="s">
        <v>3</v>
      </c>
      <c r="D270" t="s">
        <v>65</v>
      </c>
      <c r="E270">
        <v>5</v>
      </c>
      <c r="F270">
        <v>2021</v>
      </c>
      <c r="G270" s="1">
        <f>DATE(Table2[[#This Row],[Tahun]],Table2[[#This Row],[Bulan]],1)</f>
        <v>44317</v>
      </c>
      <c r="H270">
        <v>182</v>
      </c>
    </row>
    <row r="271" spans="1:8" x14ac:dyDescent="0.25">
      <c r="A271">
        <v>270</v>
      </c>
      <c r="B271" t="str">
        <f>Table2[[#This Row],[Propinsi]]&amp;"_"&amp;Table2[[#This Row],[Dati 2]]&amp;"_"&amp;Table2[[#This Row],[Tanggal]]</f>
        <v>DKI JAKARTA_JAKARTA TIMUR_44348</v>
      </c>
      <c r="C271" t="s">
        <v>3</v>
      </c>
      <c r="D271" t="s">
        <v>65</v>
      </c>
      <c r="E271">
        <v>6</v>
      </c>
      <c r="F271">
        <v>2021</v>
      </c>
      <c r="G271" s="1">
        <f>DATE(Table2[[#This Row],[Tahun]],Table2[[#This Row],[Bulan]],1)</f>
        <v>44348</v>
      </c>
      <c r="H271">
        <v>181</v>
      </c>
    </row>
    <row r="272" spans="1:8" x14ac:dyDescent="0.25">
      <c r="A272">
        <v>271</v>
      </c>
      <c r="B272" t="str">
        <f>Table2[[#This Row],[Propinsi]]&amp;"_"&amp;Table2[[#This Row],[Dati 2]]&amp;"_"&amp;Table2[[#This Row],[Tanggal]]</f>
        <v>DKI JAKARTA_JAKARTA TIMUR_44378</v>
      </c>
      <c r="C272" t="s">
        <v>3</v>
      </c>
      <c r="D272" t="s">
        <v>65</v>
      </c>
      <c r="E272">
        <v>7</v>
      </c>
      <c r="F272">
        <v>2021</v>
      </c>
      <c r="G272" s="1">
        <f>DATE(Table2[[#This Row],[Tahun]],Table2[[#This Row],[Bulan]],1)</f>
        <v>44378</v>
      </c>
      <c r="H272">
        <v>185</v>
      </c>
    </row>
    <row r="273" spans="1:8" x14ac:dyDescent="0.25">
      <c r="A273">
        <v>272</v>
      </c>
      <c r="B273" t="str">
        <f>Table2[[#This Row],[Propinsi]]&amp;"_"&amp;Table2[[#This Row],[Dati 2]]&amp;"_"&amp;Table2[[#This Row],[Tanggal]]</f>
        <v>DKI JAKARTA_JAKARTA TIMUR_44409</v>
      </c>
      <c r="C273" t="s">
        <v>3</v>
      </c>
      <c r="D273" t="s">
        <v>65</v>
      </c>
      <c r="E273">
        <v>8</v>
      </c>
      <c r="F273">
        <v>2021</v>
      </c>
      <c r="G273" s="1">
        <f>DATE(Table2[[#This Row],[Tahun]],Table2[[#This Row],[Bulan]],1)</f>
        <v>44409</v>
      </c>
      <c r="H273">
        <v>191</v>
      </c>
    </row>
    <row r="274" spans="1:8" x14ac:dyDescent="0.25">
      <c r="A274">
        <v>273</v>
      </c>
      <c r="B274" t="str">
        <f>Table2[[#This Row],[Propinsi]]&amp;"_"&amp;Table2[[#This Row],[Dati 2]]&amp;"_"&amp;Table2[[#This Row],[Tanggal]]</f>
        <v>DKI JAKARTA_JAKARTA TIMUR_44440</v>
      </c>
      <c r="C274" t="s">
        <v>3</v>
      </c>
      <c r="D274" t="s">
        <v>65</v>
      </c>
      <c r="E274">
        <v>9</v>
      </c>
      <c r="F274">
        <v>2021</v>
      </c>
      <c r="G274" s="1">
        <f>DATE(Table2[[#This Row],[Tahun]],Table2[[#This Row],[Bulan]],1)</f>
        <v>44440</v>
      </c>
      <c r="H274">
        <v>196</v>
      </c>
    </row>
    <row r="275" spans="1:8" x14ac:dyDescent="0.25">
      <c r="A275">
        <v>274</v>
      </c>
      <c r="B275" t="str">
        <f>Table2[[#This Row],[Propinsi]]&amp;"_"&amp;Table2[[#This Row],[Dati 2]]&amp;"_"&amp;Table2[[#This Row],[Tanggal]]</f>
        <v>DKI JAKARTA_JAKARTA TIMUR_44470</v>
      </c>
      <c r="C275" t="s">
        <v>3</v>
      </c>
      <c r="D275" t="s">
        <v>65</v>
      </c>
      <c r="E275">
        <v>10</v>
      </c>
      <c r="F275">
        <v>2021</v>
      </c>
      <c r="G275" s="1">
        <f>DATE(Table2[[#This Row],[Tahun]],Table2[[#This Row],[Bulan]],1)</f>
        <v>44470</v>
      </c>
      <c r="H275">
        <v>202</v>
      </c>
    </row>
    <row r="276" spans="1:8" x14ac:dyDescent="0.25">
      <c r="A276">
        <v>275</v>
      </c>
      <c r="B276" t="str">
        <f>Table2[[#This Row],[Propinsi]]&amp;"_"&amp;Table2[[#This Row],[Dati 2]]&amp;"_"&amp;Table2[[#This Row],[Tanggal]]</f>
        <v>DKI JAKARTA_JAKARTA TIMUR_44501</v>
      </c>
      <c r="C276" t="s">
        <v>3</v>
      </c>
      <c r="D276" t="s">
        <v>65</v>
      </c>
      <c r="E276">
        <v>11</v>
      </c>
      <c r="F276">
        <v>2021</v>
      </c>
      <c r="G276" s="1">
        <f>DATE(Table2[[#This Row],[Tahun]],Table2[[#This Row],[Bulan]],1)</f>
        <v>44501</v>
      </c>
      <c r="H276">
        <v>202</v>
      </c>
    </row>
    <row r="277" spans="1:8" x14ac:dyDescent="0.25">
      <c r="A277">
        <v>276</v>
      </c>
      <c r="B277" t="str">
        <f>Table2[[#This Row],[Propinsi]]&amp;"_"&amp;Table2[[#This Row],[Dati 2]]&amp;"_"&amp;Table2[[#This Row],[Tanggal]]</f>
        <v>DKI JAKARTA_JAKARTA TIMUR_44531</v>
      </c>
      <c r="C277" t="s">
        <v>3</v>
      </c>
      <c r="D277" t="s">
        <v>65</v>
      </c>
      <c r="E277">
        <v>12</v>
      </c>
      <c r="F277">
        <v>2021</v>
      </c>
      <c r="G277" s="1">
        <f>DATE(Table2[[#This Row],[Tahun]],Table2[[#This Row],[Bulan]],1)</f>
        <v>44531</v>
      </c>
      <c r="H277">
        <v>208</v>
      </c>
    </row>
    <row r="278" spans="1:8" x14ac:dyDescent="0.25">
      <c r="A278">
        <v>277</v>
      </c>
      <c r="B278" t="str">
        <f>Table2[[#This Row],[Propinsi]]&amp;"_"&amp;Table2[[#This Row],[Dati 2]]&amp;"_"&amp;Table2[[#This Row],[Tanggal]]</f>
        <v>DKI JAKARTA_JAKARTA UTARA_44197</v>
      </c>
      <c r="C278" t="s">
        <v>3</v>
      </c>
      <c r="D278" t="s">
        <v>66</v>
      </c>
      <c r="E278">
        <v>1</v>
      </c>
      <c r="F278">
        <v>2021</v>
      </c>
      <c r="G278" s="1">
        <f>DATE(Table2[[#This Row],[Tahun]],Table2[[#This Row],[Bulan]],1)</f>
        <v>44197</v>
      </c>
      <c r="H278">
        <v>80</v>
      </c>
    </row>
    <row r="279" spans="1:8" x14ac:dyDescent="0.25">
      <c r="A279">
        <v>278</v>
      </c>
      <c r="B279" t="str">
        <f>Table2[[#This Row],[Propinsi]]&amp;"_"&amp;Table2[[#This Row],[Dati 2]]&amp;"_"&amp;Table2[[#This Row],[Tanggal]]</f>
        <v>DKI JAKARTA_JAKARTA UTARA_44228</v>
      </c>
      <c r="C279" t="s">
        <v>3</v>
      </c>
      <c r="D279" t="s">
        <v>66</v>
      </c>
      <c r="E279">
        <v>2</v>
      </c>
      <c r="F279">
        <v>2021</v>
      </c>
      <c r="G279" s="1">
        <f>DATE(Table2[[#This Row],[Tahun]],Table2[[#This Row],[Bulan]],1)</f>
        <v>44228</v>
      </c>
      <c r="H279">
        <v>80</v>
      </c>
    </row>
    <row r="280" spans="1:8" x14ac:dyDescent="0.25">
      <c r="A280">
        <v>279</v>
      </c>
      <c r="B280" t="str">
        <f>Table2[[#This Row],[Propinsi]]&amp;"_"&amp;Table2[[#This Row],[Dati 2]]&amp;"_"&amp;Table2[[#This Row],[Tanggal]]</f>
        <v>DKI JAKARTA_JAKARTA UTARA_44256</v>
      </c>
      <c r="C280" t="s">
        <v>3</v>
      </c>
      <c r="D280" t="s">
        <v>66</v>
      </c>
      <c r="E280">
        <v>3</v>
      </c>
      <c r="F280">
        <v>2021</v>
      </c>
      <c r="G280" s="1">
        <f>DATE(Table2[[#This Row],[Tahun]],Table2[[#This Row],[Bulan]],1)</f>
        <v>44256</v>
      </c>
      <c r="H280">
        <v>84</v>
      </c>
    </row>
    <row r="281" spans="1:8" x14ac:dyDescent="0.25">
      <c r="A281">
        <v>280</v>
      </c>
      <c r="B281" t="str">
        <f>Table2[[#This Row],[Propinsi]]&amp;"_"&amp;Table2[[#This Row],[Dati 2]]&amp;"_"&amp;Table2[[#This Row],[Tanggal]]</f>
        <v>DKI JAKARTA_JAKARTA UTARA_44287</v>
      </c>
      <c r="C281" t="s">
        <v>3</v>
      </c>
      <c r="D281" t="s">
        <v>66</v>
      </c>
      <c r="E281">
        <v>4</v>
      </c>
      <c r="F281">
        <v>2021</v>
      </c>
      <c r="G281" s="1">
        <f>DATE(Table2[[#This Row],[Tahun]],Table2[[#This Row],[Bulan]],1)</f>
        <v>44287</v>
      </c>
      <c r="H281">
        <v>88</v>
      </c>
    </row>
    <row r="282" spans="1:8" x14ac:dyDescent="0.25">
      <c r="A282">
        <v>281</v>
      </c>
      <c r="B282" t="str">
        <f>Table2[[#This Row],[Propinsi]]&amp;"_"&amp;Table2[[#This Row],[Dati 2]]&amp;"_"&amp;Table2[[#This Row],[Tanggal]]</f>
        <v>DKI JAKARTA_JAKARTA UTARA_44317</v>
      </c>
      <c r="C282" t="s">
        <v>3</v>
      </c>
      <c r="D282" t="s">
        <v>66</v>
      </c>
      <c r="E282">
        <v>5</v>
      </c>
      <c r="F282">
        <v>2021</v>
      </c>
      <c r="G282" s="1">
        <f>DATE(Table2[[#This Row],[Tahun]],Table2[[#This Row],[Bulan]],1)</f>
        <v>44317</v>
      </c>
      <c r="H282">
        <v>92</v>
      </c>
    </row>
    <row r="283" spans="1:8" x14ac:dyDescent="0.25">
      <c r="A283">
        <v>282</v>
      </c>
      <c r="B283" t="str">
        <f>Table2[[#This Row],[Propinsi]]&amp;"_"&amp;Table2[[#This Row],[Dati 2]]&amp;"_"&amp;Table2[[#This Row],[Tanggal]]</f>
        <v>DKI JAKARTA_JAKARTA UTARA_44348</v>
      </c>
      <c r="C283" t="s">
        <v>3</v>
      </c>
      <c r="D283" t="s">
        <v>66</v>
      </c>
      <c r="E283">
        <v>6</v>
      </c>
      <c r="F283">
        <v>2021</v>
      </c>
      <c r="G283" s="1">
        <f>DATE(Table2[[#This Row],[Tahun]],Table2[[#This Row],[Bulan]],1)</f>
        <v>44348</v>
      </c>
      <c r="H283">
        <v>97</v>
      </c>
    </row>
    <row r="284" spans="1:8" x14ac:dyDescent="0.25">
      <c r="A284">
        <v>283</v>
      </c>
      <c r="B284" t="str">
        <f>Table2[[#This Row],[Propinsi]]&amp;"_"&amp;Table2[[#This Row],[Dati 2]]&amp;"_"&amp;Table2[[#This Row],[Tanggal]]</f>
        <v>DKI JAKARTA_JAKARTA UTARA_44378</v>
      </c>
      <c r="C284" t="s">
        <v>3</v>
      </c>
      <c r="D284" t="s">
        <v>66</v>
      </c>
      <c r="E284">
        <v>7</v>
      </c>
      <c r="F284">
        <v>2021</v>
      </c>
      <c r="G284" s="1">
        <f>DATE(Table2[[#This Row],[Tahun]],Table2[[#This Row],[Bulan]],1)</f>
        <v>44378</v>
      </c>
      <c r="H284">
        <v>103</v>
      </c>
    </row>
    <row r="285" spans="1:8" x14ac:dyDescent="0.25">
      <c r="A285">
        <v>284</v>
      </c>
      <c r="B285" t="str">
        <f>Table2[[#This Row],[Propinsi]]&amp;"_"&amp;Table2[[#This Row],[Dati 2]]&amp;"_"&amp;Table2[[#This Row],[Tanggal]]</f>
        <v>DKI JAKARTA_JAKARTA UTARA_44409</v>
      </c>
      <c r="C285" t="s">
        <v>3</v>
      </c>
      <c r="D285" t="s">
        <v>66</v>
      </c>
      <c r="E285">
        <v>8</v>
      </c>
      <c r="F285">
        <v>2021</v>
      </c>
      <c r="G285" s="1">
        <f>DATE(Table2[[#This Row],[Tahun]],Table2[[#This Row],[Bulan]],1)</f>
        <v>44409</v>
      </c>
      <c r="H285">
        <v>110</v>
      </c>
    </row>
    <row r="286" spans="1:8" x14ac:dyDescent="0.25">
      <c r="A286">
        <v>285</v>
      </c>
      <c r="B286" t="str">
        <f>Table2[[#This Row],[Propinsi]]&amp;"_"&amp;Table2[[#This Row],[Dati 2]]&amp;"_"&amp;Table2[[#This Row],[Tanggal]]</f>
        <v>DKI JAKARTA_JAKARTA UTARA_44440</v>
      </c>
      <c r="C286" t="s">
        <v>3</v>
      </c>
      <c r="D286" t="s">
        <v>66</v>
      </c>
      <c r="E286">
        <v>9</v>
      </c>
      <c r="F286">
        <v>2021</v>
      </c>
      <c r="G286" s="1">
        <f>DATE(Table2[[#This Row],[Tahun]],Table2[[#This Row],[Bulan]],1)</f>
        <v>44440</v>
      </c>
      <c r="H286">
        <v>113</v>
      </c>
    </row>
    <row r="287" spans="1:8" x14ac:dyDescent="0.25">
      <c r="A287">
        <v>286</v>
      </c>
      <c r="B287" t="str">
        <f>Table2[[#This Row],[Propinsi]]&amp;"_"&amp;Table2[[#This Row],[Dati 2]]&amp;"_"&amp;Table2[[#This Row],[Tanggal]]</f>
        <v>DKI JAKARTA_JAKARTA UTARA_44470</v>
      </c>
      <c r="C287" t="s">
        <v>3</v>
      </c>
      <c r="D287" t="s">
        <v>66</v>
      </c>
      <c r="E287">
        <v>10</v>
      </c>
      <c r="F287">
        <v>2021</v>
      </c>
      <c r="G287" s="1">
        <f>DATE(Table2[[#This Row],[Tahun]],Table2[[#This Row],[Bulan]],1)</f>
        <v>44470</v>
      </c>
      <c r="H287">
        <v>120</v>
      </c>
    </row>
    <row r="288" spans="1:8" x14ac:dyDescent="0.25">
      <c r="A288">
        <v>287</v>
      </c>
      <c r="B288" t="str">
        <f>Table2[[#This Row],[Propinsi]]&amp;"_"&amp;Table2[[#This Row],[Dati 2]]&amp;"_"&amp;Table2[[#This Row],[Tanggal]]</f>
        <v>DKI JAKARTA_JAKARTA UTARA_44501</v>
      </c>
      <c r="C288" t="s">
        <v>3</v>
      </c>
      <c r="D288" t="s">
        <v>66</v>
      </c>
      <c r="E288">
        <v>11</v>
      </c>
      <c r="F288">
        <v>2021</v>
      </c>
      <c r="G288" s="1">
        <f>DATE(Table2[[#This Row],[Tahun]],Table2[[#This Row],[Bulan]],1)</f>
        <v>44501</v>
      </c>
      <c r="H288">
        <v>119</v>
      </c>
    </row>
    <row r="289" spans="1:8" x14ac:dyDescent="0.25">
      <c r="A289">
        <v>288</v>
      </c>
      <c r="B289" t="str">
        <f>Table2[[#This Row],[Propinsi]]&amp;"_"&amp;Table2[[#This Row],[Dati 2]]&amp;"_"&amp;Table2[[#This Row],[Tanggal]]</f>
        <v>DKI JAKARTA_JAKARTA UTARA_44531</v>
      </c>
      <c r="C289" t="s">
        <v>3</v>
      </c>
      <c r="D289" t="s">
        <v>66</v>
      </c>
      <c r="E289">
        <v>12</v>
      </c>
      <c r="F289">
        <v>2021</v>
      </c>
      <c r="G289" s="1">
        <f>DATE(Table2[[#This Row],[Tahun]],Table2[[#This Row],[Bulan]],1)</f>
        <v>44531</v>
      </c>
      <c r="H289">
        <v>121</v>
      </c>
    </row>
    <row r="290" spans="1:8" x14ac:dyDescent="0.25">
      <c r="A290">
        <v>289</v>
      </c>
      <c r="B290" t="str">
        <f>Table2[[#This Row],[Propinsi]]&amp;"_"&amp;Table2[[#This Row],[Dati 2]]&amp;"_"&amp;Table2[[#This Row],[Tanggal]]</f>
        <v>DKI JAKARTA_KEPULAUAN SERIBU_44197</v>
      </c>
      <c r="C290" t="s">
        <v>3</v>
      </c>
      <c r="D290" t="s">
        <v>67</v>
      </c>
      <c r="E290">
        <v>1</v>
      </c>
      <c r="F290">
        <v>2021</v>
      </c>
      <c r="G290" s="1">
        <f>DATE(Table2[[#This Row],[Tahun]],Table2[[#This Row],[Bulan]],1)</f>
        <v>44197</v>
      </c>
      <c r="H290">
        <v>109</v>
      </c>
    </row>
    <row r="291" spans="1:8" x14ac:dyDescent="0.25">
      <c r="A291">
        <v>290</v>
      </c>
      <c r="B291" t="str">
        <f>Table2[[#This Row],[Propinsi]]&amp;"_"&amp;Table2[[#This Row],[Dati 2]]&amp;"_"&amp;Table2[[#This Row],[Tanggal]]</f>
        <v>DKI JAKARTA_KEPULAUAN SERIBU_44228</v>
      </c>
      <c r="C291" t="s">
        <v>3</v>
      </c>
      <c r="D291" t="s">
        <v>67</v>
      </c>
      <c r="E291">
        <v>2</v>
      </c>
      <c r="F291">
        <v>2021</v>
      </c>
      <c r="G291" s="1">
        <f>DATE(Table2[[#This Row],[Tahun]],Table2[[#This Row],[Bulan]],1)</f>
        <v>44228</v>
      </c>
      <c r="H291">
        <v>115</v>
      </c>
    </row>
    <row r="292" spans="1:8" x14ac:dyDescent="0.25">
      <c r="A292">
        <v>291</v>
      </c>
      <c r="B292" t="str">
        <f>Table2[[#This Row],[Propinsi]]&amp;"_"&amp;Table2[[#This Row],[Dati 2]]&amp;"_"&amp;Table2[[#This Row],[Tanggal]]</f>
        <v>DKI JAKARTA_KEPULAUAN SERIBU_44256</v>
      </c>
      <c r="C292" t="s">
        <v>3</v>
      </c>
      <c r="D292" t="s">
        <v>67</v>
      </c>
      <c r="E292">
        <v>3</v>
      </c>
      <c r="F292">
        <v>2021</v>
      </c>
      <c r="G292" s="1">
        <f>DATE(Table2[[#This Row],[Tahun]],Table2[[#This Row],[Bulan]],1)</f>
        <v>44256</v>
      </c>
      <c r="H292">
        <v>121</v>
      </c>
    </row>
    <row r="293" spans="1:8" x14ac:dyDescent="0.25">
      <c r="A293">
        <v>292</v>
      </c>
      <c r="B293" t="str">
        <f>Table2[[#This Row],[Propinsi]]&amp;"_"&amp;Table2[[#This Row],[Dati 2]]&amp;"_"&amp;Table2[[#This Row],[Tanggal]]</f>
        <v>DKI JAKARTA_KEPULAUAN SERIBU_44287</v>
      </c>
      <c r="C293" t="s">
        <v>3</v>
      </c>
      <c r="D293" t="s">
        <v>67</v>
      </c>
      <c r="E293">
        <v>4</v>
      </c>
      <c r="F293">
        <v>2021</v>
      </c>
      <c r="G293" s="1">
        <f>DATE(Table2[[#This Row],[Tahun]],Table2[[#This Row],[Bulan]],1)</f>
        <v>44287</v>
      </c>
      <c r="H293">
        <v>120</v>
      </c>
    </row>
    <row r="294" spans="1:8" x14ac:dyDescent="0.25">
      <c r="A294">
        <v>293</v>
      </c>
      <c r="B294" t="str">
        <f>Table2[[#This Row],[Propinsi]]&amp;"_"&amp;Table2[[#This Row],[Dati 2]]&amp;"_"&amp;Table2[[#This Row],[Tanggal]]</f>
        <v>DKI JAKARTA_KEPULAUAN SERIBU_44317</v>
      </c>
      <c r="C294" t="s">
        <v>3</v>
      </c>
      <c r="D294" t="s">
        <v>67</v>
      </c>
      <c r="E294">
        <v>5</v>
      </c>
      <c r="F294">
        <v>2021</v>
      </c>
      <c r="G294" s="1">
        <f>DATE(Table2[[#This Row],[Tahun]],Table2[[#This Row],[Bulan]],1)</f>
        <v>44317</v>
      </c>
      <c r="H294">
        <v>125</v>
      </c>
    </row>
    <row r="295" spans="1:8" x14ac:dyDescent="0.25">
      <c r="A295">
        <v>294</v>
      </c>
      <c r="B295" t="str">
        <f>Table2[[#This Row],[Propinsi]]&amp;"_"&amp;Table2[[#This Row],[Dati 2]]&amp;"_"&amp;Table2[[#This Row],[Tanggal]]</f>
        <v>DKI JAKARTA_KEPULAUAN SERIBU_44348</v>
      </c>
      <c r="C295" t="s">
        <v>3</v>
      </c>
      <c r="D295" t="s">
        <v>67</v>
      </c>
      <c r="E295">
        <v>6</v>
      </c>
      <c r="F295">
        <v>2021</v>
      </c>
      <c r="G295" s="1">
        <f>DATE(Table2[[#This Row],[Tahun]],Table2[[#This Row],[Bulan]],1)</f>
        <v>44348</v>
      </c>
      <c r="H295">
        <v>130</v>
      </c>
    </row>
    <row r="296" spans="1:8" x14ac:dyDescent="0.25">
      <c r="A296">
        <v>295</v>
      </c>
      <c r="B296" t="str">
        <f>Table2[[#This Row],[Propinsi]]&amp;"_"&amp;Table2[[#This Row],[Dati 2]]&amp;"_"&amp;Table2[[#This Row],[Tanggal]]</f>
        <v>DKI JAKARTA_KEPULAUAN SERIBU_44378</v>
      </c>
      <c r="C296" t="s">
        <v>3</v>
      </c>
      <c r="D296" t="s">
        <v>67</v>
      </c>
      <c r="E296">
        <v>7</v>
      </c>
      <c r="F296">
        <v>2021</v>
      </c>
      <c r="G296" s="1">
        <f>DATE(Table2[[#This Row],[Tahun]],Table2[[#This Row],[Bulan]],1)</f>
        <v>44378</v>
      </c>
      <c r="H296">
        <v>133</v>
      </c>
    </row>
    <row r="297" spans="1:8" x14ac:dyDescent="0.25">
      <c r="A297">
        <v>296</v>
      </c>
      <c r="B297" t="str">
        <f>Table2[[#This Row],[Propinsi]]&amp;"_"&amp;Table2[[#This Row],[Dati 2]]&amp;"_"&amp;Table2[[#This Row],[Tanggal]]</f>
        <v>DKI JAKARTA_KEPULAUAN SERIBU_44409</v>
      </c>
      <c r="C297" t="s">
        <v>3</v>
      </c>
      <c r="D297" t="s">
        <v>67</v>
      </c>
      <c r="E297">
        <v>8</v>
      </c>
      <c r="F297">
        <v>2021</v>
      </c>
      <c r="G297" s="1">
        <f>DATE(Table2[[#This Row],[Tahun]],Table2[[#This Row],[Bulan]],1)</f>
        <v>44409</v>
      </c>
      <c r="H297">
        <v>135</v>
      </c>
    </row>
    <row r="298" spans="1:8" x14ac:dyDescent="0.25">
      <c r="A298">
        <v>297</v>
      </c>
      <c r="B298" t="str">
        <f>Table2[[#This Row],[Propinsi]]&amp;"_"&amp;Table2[[#This Row],[Dati 2]]&amp;"_"&amp;Table2[[#This Row],[Tanggal]]</f>
        <v>DKI JAKARTA_KEPULAUAN SERIBU_44440</v>
      </c>
      <c r="C298" t="s">
        <v>3</v>
      </c>
      <c r="D298" t="s">
        <v>67</v>
      </c>
      <c r="E298">
        <v>9</v>
      </c>
      <c r="F298">
        <v>2021</v>
      </c>
      <c r="G298" s="1">
        <f>DATE(Table2[[#This Row],[Tahun]],Table2[[#This Row],[Bulan]],1)</f>
        <v>44440</v>
      </c>
      <c r="H298">
        <v>136</v>
      </c>
    </row>
    <row r="299" spans="1:8" x14ac:dyDescent="0.25">
      <c r="A299">
        <v>298</v>
      </c>
      <c r="B299" t="str">
        <f>Table2[[#This Row],[Propinsi]]&amp;"_"&amp;Table2[[#This Row],[Dati 2]]&amp;"_"&amp;Table2[[#This Row],[Tanggal]]</f>
        <v>DKI JAKARTA_KEPULAUAN SERIBU_44470</v>
      </c>
      <c r="C299" t="s">
        <v>3</v>
      </c>
      <c r="D299" t="s">
        <v>67</v>
      </c>
      <c r="E299">
        <v>10</v>
      </c>
      <c r="F299">
        <v>2021</v>
      </c>
      <c r="G299" s="1">
        <f>DATE(Table2[[#This Row],[Tahun]],Table2[[#This Row],[Bulan]],1)</f>
        <v>44470</v>
      </c>
      <c r="H299">
        <v>142</v>
      </c>
    </row>
    <row r="300" spans="1:8" x14ac:dyDescent="0.25">
      <c r="A300">
        <v>299</v>
      </c>
      <c r="B300" t="str">
        <f>Table2[[#This Row],[Propinsi]]&amp;"_"&amp;Table2[[#This Row],[Dati 2]]&amp;"_"&amp;Table2[[#This Row],[Tanggal]]</f>
        <v>DKI JAKARTA_KEPULAUAN SERIBU_44501</v>
      </c>
      <c r="C300" t="s">
        <v>3</v>
      </c>
      <c r="D300" t="s">
        <v>67</v>
      </c>
      <c r="E300">
        <v>11</v>
      </c>
      <c r="F300">
        <v>2021</v>
      </c>
      <c r="G300" s="1">
        <f>DATE(Table2[[#This Row],[Tahun]],Table2[[#This Row],[Bulan]],1)</f>
        <v>44501</v>
      </c>
      <c r="H300">
        <v>141</v>
      </c>
    </row>
    <row r="301" spans="1:8" x14ac:dyDescent="0.25">
      <c r="A301">
        <v>300</v>
      </c>
      <c r="B301" t="str">
        <f>Table2[[#This Row],[Propinsi]]&amp;"_"&amp;Table2[[#This Row],[Dati 2]]&amp;"_"&amp;Table2[[#This Row],[Tanggal]]</f>
        <v>DKI JAKARTA_KEPULAUAN SERIBU_44531</v>
      </c>
      <c r="C301" t="s">
        <v>3</v>
      </c>
      <c r="D301" t="s">
        <v>67</v>
      </c>
      <c r="E301">
        <v>12</v>
      </c>
      <c r="F301">
        <v>2021</v>
      </c>
      <c r="G301" s="1">
        <f>DATE(Table2[[#This Row],[Tahun]],Table2[[#This Row],[Bulan]],1)</f>
        <v>44531</v>
      </c>
      <c r="H301">
        <v>147</v>
      </c>
    </row>
    <row r="302" spans="1:8" x14ac:dyDescent="0.25">
      <c r="A302">
        <v>301</v>
      </c>
      <c r="B302" t="str">
        <f>Table2[[#This Row],[Propinsi]]&amp;"_"&amp;Table2[[#This Row],[Dati 2]]&amp;"_"&amp;Table2[[#This Row],[Tanggal]]</f>
        <v>BANTEN_TANGERANG_44197</v>
      </c>
      <c r="C302" t="s">
        <v>2</v>
      </c>
      <c r="D302" t="s">
        <v>68</v>
      </c>
      <c r="E302">
        <v>1</v>
      </c>
      <c r="F302">
        <v>2021</v>
      </c>
      <c r="G302" s="1">
        <f>DATE(Table2[[#This Row],[Tahun]],Table2[[#This Row],[Bulan]],1)</f>
        <v>44197</v>
      </c>
      <c r="H302">
        <v>165</v>
      </c>
    </row>
    <row r="303" spans="1:8" x14ac:dyDescent="0.25">
      <c r="A303">
        <v>302</v>
      </c>
      <c r="B303" t="str">
        <f>Table2[[#This Row],[Propinsi]]&amp;"_"&amp;Table2[[#This Row],[Dati 2]]&amp;"_"&amp;Table2[[#This Row],[Tanggal]]</f>
        <v>BANTEN_TANGERANG_44228</v>
      </c>
      <c r="C303" t="s">
        <v>2</v>
      </c>
      <c r="D303" t="s">
        <v>68</v>
      </c>
      <c r="E303">
        <v>2</v>
      </c>
      <c r="F303">
        <v>2021</v>
      </c>
      <c r="G303" s="1">
        <f>DATE(Table2[[#This Row],[Tahun]],Table2[[#This Row],[Bulan]],1)</f>
        <v>44228</v>
      </c>
      <c r="H303">
        <v>164</v>
      </c>
    </row>
    <row r="304" spans="1:8" x14ac:dyDescent="0.25">
      <c r="A304">
        <v>303</v>
      </c>
      <c r="B304" t="str">
        <f>Table2[[#This Row],[Propinsi]]&amp;"_"&amp;Table2[[#This Row],[Dati 2]]&amp;"_"&amp;Table2[[#This Row],[Tanggal]]</f>
        <v>BANTEN_TANGERANG_44256</v>
      </c>
      <c r="C304" t="s">
        <v>2</v>
      </c>
      <c r="D304" t="s">
        <v>68</v>
      </c>
      <c r="E304">
        <v>3</v>
      </c>
      <c r="F304">
        <v>2021</v>
      </c>
      <c r="G304" s="1">
        <f>DATE(Table2[[#This Row],[Tahun]],Table2[[#This Row],[Bulan]],1)</f>
        <v>44256</v>
      </c>
      <c r="H304">
        <v>165</v>
      </c>
    </row>
    <row r="305" spans="1:8" x14ac:dyDescent="0.25">
      <c r="A305">
        <v>304</v>
      </c>
      <c r="B305" t="str">
        <f>Table2[[#This Row],[Propinsi]]&amp;"_"&amp;Table2[[#This Row],[Dati 2]]&amp;"_"&amp;Table2[[#This Row],[Tanggal]]</f>
        <v>BANTEN_TANGERANG_44287</v>
      </c>
      <c r="C305" t="s">
        <v>2</v>
      </c>
      <c r="D305" t="s">
        <v>68</v>
      </c>
      <c r="E305">
        <v>4</v>
      </c>
      <c r="F305">
        <v>2021</v>
      </c>
      <c r="G305" s="1">
        <f>DATE(Table2[[#This Row],[Tahun]],Table2[[#This Row],[Bulan]],1)</f>
        <v>44287</v>
      </c>
      <c r="H305">
        <v>168</v>
      </c>
    </row>
    <row r="306" spans="1:8" x14ac:dyDescent="0.25">
      <c r="A306">
        <v>305</v>
      </c>
      <c r="B306" t="str">
        <f>Table2[[#This Row],[Propinsi]]&amp;"_"&amp;Table2[[#This Row],[Dati 2]]&amp;"_"&amp;Table2[[#This Row],[Tanggal]]</f>
        <v>BANTEN_TANGERANG_44317</v>
      </c>
      <c r="C306" t="s">
        <v>2</v>
      </c>
      <c r="D306" t="s">
        <v>68</v>
      </c>
      <c r="E306">
        <v>5</v>
      </c>
      <c r="F306">
        <v>2021</v>
      </c>
      <c r="G306" s="1">
        <f>DATE(Table2[[#This Row],[Tahun]],Table2[[#This Row],[Bulan]],1)</f>
        <v>44317</v>
      </c>
      <c r="H306">
        <v>169</v>
      </c>
    </row>
    <row r="307" spans="1:8" x14ac:dyDescent="0.25">
      <c r="A307">
        <v>306</v>
      </c>
      <c r="B307" t="str">
        <f>Table2[[#This Row],[Propinsi]]&amp;"_"&amp;Table2[[#This Row],[Dati 2]]&amp;"_"&amp;Table2[[#This Row],[Tanggal]]</f>
        <v>BANTEN_TANGERANG_44348</v>
      </c>
      <c r="C307" t="s">
        <v>2</v>
      </c>
      <c r="D307" t="s">
        <v>68</v>
      </c>
      <c r="E307">
        <v>6</v>
      </c>
      <c r="F307">
        <v>2021</v>
      </c>
      <c r="G307" s="1">
        <f>DATE(Table2[[#This Row],[Tahun]],Table2[[#This Row],[Bulan]],1)</f>
        <v>44348</v>
      </c>
      <c r="H307">
        <v>168</v>
      </c>
    </row>
    <row r="308" spans="1:8" x14ac:dyDescent="0.25">
      <c r="A308">
        <v>307</v>
      </c>
      <c r="B308" t="str">
        <f>Table2[[#This Row],[Propinsi]]&amp;"_"&amp;Table2[[#This Row],[Dati 2]]&amp;"_"&amp;Table2[[#This Row],[Tanggal]]</f>
        <v>BANTEN_TANGERANG_44378</v>
      </c>
      <c r="C308" t="s">
        <v>2</v>
      </c>
      <c r="D308" t="s">
        <v>68</v>
      </c>
      <c r="E308">
        <v>7</v>
      </c>
      <c r="F308">
        <v>2021</v>
      </c>
      <c r="G308" s="1">
        <f>DATE(Table2[[#This Row],[Tahun]],Table2[[#This Row],[Bulan]],1)</f>
        <v>44378</v>
      </c>
      <c r="H308">
        <v>180</v>
      </c>
    </row>
    <row r="309" spans="1:8" x14ac:dyDescent="0.25">
      <c r="A309">
        <v>308</v>
      </c>
      <c r="B309" t="str">
        <f>Table2[[#This Row],[Propinsi]]&amp;"_"&amp;Table2[[#This Row],[Dati 2]]&amp;"_"&amp;Table2[[#This Row],[Tanggal]]</f>
        <v>BANTEN_TANGERANG_44409</v>
      </c>
      <c r="C309" t="s">
        <v>2</v>
      </c>
      <c r="D309" t="s">
        <v>68</v>
      </c>
      <c r="E309">
        <v>8</v>
      </c>
      <c r="F309">
        <v>2021</v>
      </c>
      <c r="G309" s="1">
        <f>DATE(Table2[[#This Row],[Tahun]],Table2[[#This Row],[Bulan]],1)</f>
        <v>44409</v>
      </c>
      <c r="H309">
        <v>181</v>
      </c>
    </row>
    <row r="310" spans="1:8" x14ac:dyDescent="0.25">
      <c r="A310">
        <v>309</v>
      </c>
      <c r="B310" t="str">
        <f>Table2[[#This Row],[Propinsi]]&amp;"_"&amp;Table2[[#This Row],[Dati 2]]&amp;"_"&amp;Table2[[#This Row],[Tanggal]]</f>
        <v>BANTEN_TANGERANG_44440</v>
      </c>
      <c r="C310" t="s">
        <v>2</v>
      </c>
      <c r="D310" t="s">
        <v>68</v>
      </c>
      <c r="E310">
        <v>9</v>
      </c>
      <c r="F310">
        <v>2021</v>
      </c>
      <c r="G310" s="1">
        <f>DATE(Table2[[#This Row],[Tahun]],Table2[[#This Row],[Bulan]],1)</f>
        <v>44440</v>
      </c>
      <c r="H310">
        <v>181</v>
      </c>
    </row>
    <row r="311" spans="1:8" x14ac:dyDescent="0.25">
      <c r="A311">
        <v>310</v>
      </c>
      <c r="B311" t="str">
        <f>Table2[[#This Row],[Propinsi]]&amp;"_"&amp;Table2[[#This Row],[Dati 2]]&amp;"_"&amp;Table2[[#This Row],[Tanggal]]</f>
        <v>BANTEN_TANGERANG_44470</v>
      </c>
      <c r="C311" t="s">
        <v>2</v>
      </c>
      <c r="D311" t="s">
        <v>68</v>
      </c>
      <c r="E311">
        <v>10</v>
      </c>
      <c r="F311">
        <v>2021</v>
      </c>
      <c r="G311" s="1">
        <f>DATE(Table2[[#This Row],[Tahun]],Table2[[#This Row],[Bulan]],1)</f>
        <v>44470</v>
      </c>
      <c r="H311">
        <v>182</v>
      </c>
    </row>
    <row r="312" spans="1:8" x14ac:dyDescent="0.25">
      <c r="A312">
        <v>311</v>
      </c>
      <c r="B312" t="str">
        <f>Table2[[#This Row],[Propinsi]]&amp;"_"&amp;Table2[[#This Row],[Dati 2]]&amp;"_"&amp;Table2[[#This Row],[Tanggal]]</f>
        <v>BANTEN_TANGERANG_44501</v>
      </c>
      <c r="C312" t="s">
        <v>2</v>
      </c>
      <c r="D312" t="s">
        <v>68</v>
      </c>
      <c r="E312">
        <v>11</v>
      </c>
      <c r="F312">
        <v>2021</v>
      </c>
      <c r="G312" s="1">
        <f>DATE(Table2[[#This Row],[Tahun]],Table2[[#This Row],[Bulan]],1)</f>
        <v>44501</v>
      </c>
      <c r="H312">
        <v>185</v>
      </c>
    </row>
    <row r="313" spans="1:8" x14ac:dyDescent="0.25">
      <c r="A313">
        <v>312</v>
      </c>
      <c r="B313" t="str">
        <f>Table2[[#This Row],[Propinsi]]&amp;"_"&amp;Table2[[#This Row],[Dati 2]]&amp;"_"&amp;Table2[[#This Row],[Tanggal]]</f>
        <v>BANTEN_TANGERANG_44531</v>
      </c>
      <c r="C313" t="s">
        <v>2</v>
      </c>
      <c r="D313" t="s">
        <v>68</v>
      </c>
      <c r="E313">
        <v>12</v>
      </c>
      <c r="F313">
        <v>2021</v>
      </c>
      <c r="G313" s="1">
        <f>DATE(Table2[[#This Row],[Tahun]],Table2[[#This Row],[Bulan]],1)</f>
        <v>44531</v>
      </c>
      <c r="H313">
        <v>186</v>
      </c>
    </row>
    <row r="314" spans="1:8" x14ac:dyDescent="0.25">
      <c r="A314">
        <v>313</v>
      </c>
      <c r="B314" t="str">
        <f>Table2[[#This Row],[Propinsi]]&amp;"_"&amp;Table2[[#This Row],[Dati 2]]&amp;"_"&amp;Table2[[#This Row],[Tanggal]]</f>
        <v>BANTEN_TANGERANG SELATAN_44197</v>
      </c>
      <c r="C314" t="s">
        <v>2</v>
      </c>
      <c r="D314" t="s">
        <v>69</v>
      </c>
      <c r="E314">
        <v>1</v>
      </c>
      <c r="F314">
        <v>2021</v>
      </c>
      <c r="G314" s="1">
        <f>DATE(Table2[[#This Row],[Tahun]],Table2[[#This Row],[Bulan]],1)</f>
        <v>44197</v>
      </c>
      <c r="H314">
        <v>49</v>
      </c>
    </row>
    <row r="315" spans="1:8" x14ac:dyDescent="0.25">
      <c r="A315">
        <v>314</v>
      </c>
      <c r="B315" t="str">
        <f>Table2[[#This Row],[Propinsi]]&amp;"_"&amp;Table2[[#This Row],[Dati 2]]&amp;"_"&amp;Table2[[#This Row],[Tanggal]]</f>
        <v>BANTEN_TANGERANG SELATAN_44228</v>
      </c>
      <c r="C315" t="s">
        <v>2</v>
      </c>
      <c r="D315" t="s">
        <v>69</v>
      </c>
      <c r="E315">
        <v>2</v>
      </c>
      <c r="F315">
        <v>2021</v>
      </c>
      <c r="G315" s="1">
        <f>DATE(Table2[[#This Row],[Tahun]],Table2[[#This Row],[Bulan]],1)</f>
        <v>44228</v>
      </c>
      <c r="H315">
        <v>54</v>
      </c>
    </row>
    <row r="316" spans="1:8" x14ac:dyDescent="0.25">
      <c r="A316">
        <v>315</v>
      </c>
      <c r="B316" t="str">
        <f>Table2[[#This Row],[Propinsi]]&amp;"_"&amp;Table2[[#This Row],[Dati 2]]&amp;"_"&amp;Table2[[#This Row],[Tanggal]]</f>
        <v>BANTEN_TANGERANG SELATAN_44256</v>
      </c>
      <c r="C316" t="s">
        <v>2</v>
      </c>
      <c r="D316" t="s">
        <v>69</v>
      </c>
      <c r="E316">
        <v>3</v>
      </c>
      <c r="F316">
        <v>2021</v>
      </c>
      <c r="G316" s="1">
        <f>DATE(Table2[[#This Row],[Tahun]],Table2[[#This Row],[Bulan]],1)</f>
        <v>44256</v>
      </c>
      <c r="H316">
        <v>61</v>
      </c>
    </row>
    <row r="317" spans="1:8" x14ac:dyDescent="0.25">
      <c r="A317">
        <v>316</v>
      </c>
      <c r="B317" t="str">
        <f>Table2[[#This Row],[Propinsi]]&amp;"_"&amp;Table2[[#This Row],[Dati 2]]&amp;"_"&amp;Table2[[#This Row],[Tanggal]]</f>
        <v>BANTEN_TANGERANG SELATAN_44287</v>
      </c>
      <c r="C317" t="s">
        <v>2</v>
      </c>
      <c r="D317" t="s">
        <v>69</v>
      </c>
      <c r="E317">
        <v>4</v>
      </c>
      <c r="F317">
        <v>2021</v>
      </c>
      <c r="G317" s="1">
        <f>DATE(Table2[[#This Row],[Tahun]],Table2[[#This Row],[Bulan]],1)</f>
        <v>44287</v>
      </c>
      <c r="H317">
        <v>68</v>
      </c>
    </row>
    <row r="318" spans="1:8" x14ac:dyDescent="0.25">
      <c r="A318">
        <v>317</v>
      </c>
      <c r="B318" t="str">
        <f>Table2[[#This Row],[Propinsi]]&amp;"_"&amp;Table2[[#This Row],[Dati 2]]&amp;"_"&amp;Table2[[#This Row],[Tanggal]]</f>
        <v>BANTEN_TANGERANG SELATAN_44317</v>
      </c>
      <c r="C318" t="s">
        <v>2</v>
      </c>
      <c r="D318" t="s">
        <v>69</v>
      </c>
      <c r="E318">
        <v>5</v>
      </c>
      <c r="F318">
        <v>2021</v>
      </c>
      <c r="G318" s="1">
        <f>DATE(Table2[[#This Row],[Tahun]],Table2[[#This Row],[Bulan]],1)</f>
        <v>44317</v>
      </c>
      <c r="H318">
        <v>68</v>
      </c>
    </row>
    <row r="319" spans="1:8" x14ac:dyDescent="0.25">
      <c r="A319">
        <v>318</v>
      </c>
      <c r="B319" t="str">
        <f>Table2[[#This Row],[Propinsi]]&amp;"_"&amp;Table2[[#This Row],[Dati 2]]&amp;"_"&amp;Table2[[#This Row],[Tanggal]]</f>
        <v>BANTEN_TANGERANG SELATAN_44348</v>
      </c>
      <c r="C319" t="s">
        <v>2</v>
      </c>
      <c r="D319" t="s">
        <v>69</v>
      </c>
      <c r="E319">
        <v>6</v>
      </c>
      <c r="F319">
        <v>2021</v>
      </c>
      <c r="G319" s="1">
        <f>DATE(Table2[[#This Row],[Tahun]],Table2[[#This Row],[Bulan]],1)</f>
        <v>44348</v>
      </c>
      <c r="H319">
        <v>72</v>
      </c>
    </row>
    <row r="320" spans="1:8" x14ac:dyDescent="0.25">
      <c r="A320">
        <v>319</v>
      </c>
      <c r="B320" t="str">
        <f>Table2[[#This Row],[Propinsi]]&amp;"_"&amp;Table2[[#This Row],[Dati 2]]&amp;"_"&amp;Table2[[#This Row],[Tanggal]]</f>
        <v>BANTEN_TANGERANG SELATAN_44378</v>
      </c>
      <c r="C320" t="s">
        <v>2</v>
      </c>
      <c r="D320" t="s">
        <v>69</v>
      </c>
      <c r="E320">
        <v>7</v>
      </c>
      <c r="F320">
        <v>2021</v>
      </c>
      <c r="G320" s="1">
        <f>DATE(Table2[[#This Row],[Tahun]],Table2[[#This Row],[Bulan]],1)</f>
        <v>44378</v>
      </c>
      <c r="H320">
        <v>73</v>
      </c>
    </row>
    <row r="321" spans="1:8" x14ac:dyDescent="0.25">
      <c r="A321">
        <v>320</v>
      </c>
      <c r="B321" t="str">
        <f>Table2[[#This Row],[Propinsi]]&amp;"_"&amp;Table2[[#This Row],[Dati 2]]&amp;"_"&amp;Table2[[#This Row],[Tanggal]]</f>
        <v>BANTEN_TANGERANG SELATAN_44409</v>
      </c>
      <c r="C321" t="s">
        <v>2</v>
      </c>
      <c r="D321" t="s">
        <v>69</v>
      </c>
      <c r="E321">
        <v>8</v>
      </c>
      <c r="F321">
        <v>2021</v>
      </c>
      <c r="G321" s="1">
        <f>DATE(Table2[[#This Row],[Tahun]],Table2[[#This Row],[Bulan]],1)</f>
        <v>44409</v>
      </c>
      <c r="H321">
        <v>78</v>
      </c>
    </row>
    <row r="322" spans="1:8" x14ac:dyDescent="0.25">
      <c r="A322">
        <v>321</v>
      </c>
      <c r="B322" t="str">
        <f>Table2[[#This Row],[Propinsi]]&amp;"_"&amp;Table2[[#This Row],[Dati 2]]&amp;"_"&amp;Table2[[#This Row],[Tanggal]]</f>
        <v>BANTEN_TANGERANG SELATAN_44440</v>
      </c>
      <c r="C322" t="s">
        <v>2</v>
      </c>
      <c r="D322" t="s">
        <v>69</v>
      </c>
      <c r="E322">
        <v>9</v>
      </c>
      <c r="F322">
        <v>2021</v>
      </c>
      <c r="G322" s="1">
        <f>DATE(Table2[[#This Row],[Tahun]],Table2[[#This Row],[Bulan]],1)</f>
        <v>44440</v>
      </c>
      <c r="H322">
        <v>83</v>
      </c>
    </row>
    <row r="323" spans="1:8" x14ac:dyDescent="0.25">
      <c r="A323">
        <v>322</v>
      </c>
      <c r="B323" t="str">
        <f>Table2[[#This Row],[Propinsi]]&amp;"_"&amp;Table2[[#This Row],[Dati 2]]&amp;"_"&amp;Table2[[#This Row],[Tanggal]]</f>
        <v>BANTEN_TANGERANG SELATAN_44470</v>
      </c>
      <c r="C323" t="s">
        <v>2</v>
      </c>
      <c r="D323" t="s">
        <v>69</v>
      </c>
      <c r="E323">
        <v>10</v>
      </c>
      <c r="F323">
        <v>2021</v>
      </c>
      <c r="G323" s="1">
        <f>DATE(Table2[[#This Row],[Tahun]],Table2[[#This Row],[Bulan]],1)</f>
        <v>44470</v>
      </c>
      <c r="H323">
        <v>86</v>
      </c>
    </row>
    <row r="324" spans="1:8" x14ac:dyDescent="0.25">
      <c r="A324">
        <v>323</v>
      </c>
      <c r="B324" t="str">
        <f>Table2[[#This Row],[Propinsi]]&amp;"_"&amp;Table2[[#This Row],[Dati 2]]&amp;"_"&amp;Table2[[#This Row],[Tanggal]]</f>
        <v>BANTEN_TANGERANG SELATAN_44501</v>
      </c>
      <c r="C324" t="s">
        <v>2</v>
      </c>
      <c r="D324" t="s">
        <v>69</v>
      </c>
      <c r="E324">
        <v>11</v>
      </c>
      <c r="F324">
        <v>2021</v>
      </c>
      <c r="G324" s="1">
        <f>DATE(Table2[[#This Row],[Tahun]],Table2[[#This Row],[Bulan]],1)</f>
        <v>44501</v>
      </c>
      <c r="H324">
        <v>87</v>
      </c>
    </row>
    <row r="325" spans="1:8" x14ac:dyDescent="0.25">
      <c r="A325">
        <v>324</v>
      </c>
      <c r="B325" t="str">
        <f>Table2[[#This Row],[Propinsi]]&amp;"_"&amp;Table2[[#This Row],[Dati 2]]&amp;"_"&amp;Table2[[#This Row],[Tanggal]]</f>
        <v>BANTEN_TANGERANG SELATAN_44531</v>
      </c>
      <c r="C325" t="s">
        <v>2</v>
      </c>
      <c r="D325" t="s">
        <v>69</v>
      </c>
      <c r="E325">
        <v>12</v>
      </c>
      <c r="F325">
        <v>2021</v>
      </c>
      <c r="G325" s="1">
        <f>DATE(Table2[[#This Row],[Tahun]],Table2[[#This Row],[Bulan]],1)</f>
        <v>44531</v>
      </c>
      <c r="H325">
        <v>91</v>
      </c>
    </row>
    <row r="326" spans="1:8" x14ac:dyDescent="0.25">
      <c r="A326">
        <v>325</v>
      </c>
      <c r="B326" t="str">
        <f>Table2[[#This Row],[Propinsi]]&amp;"_"&amp;Table2[[#This Row],[Dati 2]]&amp;"_"&amp;Table2[[#This Row],[Tanggal]]</f>
        <v>JAWA BARAT_BOGOR_44197</v>
      </c>
      <c r="C326" t="s">
        <v>4</v>
      </c>
      <c r="D326" t="s">
        <v>70</v>
      </c>
      <c r="E326">
        <v>1</v>
      </c>
      <c r="F326">
        <v>2021</v>
      </c>
      <c r="G326" s="1">
        <f>DATE(Table2[[#This Row],[Tahun]],Table2[[#This Row],[Bulan]],1)</f>
        <v>44197</v>
      </c>
      <c r="H326">
        <v>25</v>
      </c>
    </row>
    <row r="327" spans="1:8" x14ac:dyDescent="0.25">
      <c r="A327">
        <v>326</v>
      </c>
      <c r="B327" t="str">
        <f>Table2[[#This Row],[Propinsi]]&amp;"_"&amp;Table2[[#This Row],[Dati 2]]&amp;"_"&amp;Table2[[#This Row],[Tanggal]]</f>
        <v>JAWA BARAT_BOGOR_44228</v>
      </c>
      <c r="C327" t="s">
        <v>4</v>
      </c>
      <c r="D327" t="s">
        <v>70</v>
      </c>
      <c r="E327">
        <v>2</v>
      </c>
      <c r="F327">
        <v>2021</v>
      </c>
      <c r="G327" s="1">
        <f>DATE(Table2[[#This Row],[Tahun]],Table2[[#This Row],[Bulan]],1)</f>
        <v>44228</v>
      </c>
      <c r="H327">
        <v>32</v>
      </c>
    </row>
    <row r="328" spans="1:8" x14ac:dyDescent="0.25">
      <c r="A328">
        <v>327</v>
      </c>
      <c r="B328" t="str">
        <f>Table2[[#This Row],[Propinsi]]&amp;"_"&amp;Table2[[#This Row],[Dati 2]]&amp;"_"&amp;Table2[[#This Row],[Tanggal]]</f>
        <v>JAWA BARAT_BOGOR_44256</v>
      </c>
      <c r="C328" t="s">
        <v>4</v>
      </c>
      <c r="D328" t="s">
        <v>70</v>
      </c>
      <c r="E328">
        <v>3</v>
      </c>
      <c r="F328">
        <v>2021</v>
      </c>
      <c r="G328" s="1">
        <f>DATE(Table2[[#This Row],[Tahun]],Table2[[#This Row],[Bulan]],1)</f>
        <v>44256</v>
      </c>
      <c r="H328">
        <v>36</v>
      </c>
    </row>
    <row r="329" spans="1:8" x14ac:dyDescent="0.25">
      <c r="A329">
        <v>328</v>
      </c>
      <c r="B329" t="str">
        <f>Table2[[#This Row],[Propinsi]]&amp;"_"&amp;Table2[[#This Row],[Dati 2]]&amp;"_"&amp;Table2[[#This Row],[Tanggal]]</f>
        <v>JAWA BARAT_BOGOR_44287</v>
      </c>
      <c r="C329" t="s">
        <v>4</v>
      </c>
      <c r="D329" t="s">
        <v>70</v>
      </c>
      <c r="E329">
        <v>4</v>
      </c>
      <c r="F329">
        <v>2021</v>
      </c>
      <c r="G329" s="1">
        <f>DATE(Table2[[#This Row],[Tahun]],Table2[[#This Row],[Bulan]],1)</f>
        <v>44287</v>
      </c>
      <c r="H329">
        <v>42</v>
      </c>
    </row>
    <row r="330" spans="1:8" x14ac:dyDescent="0.25">
      <c r="A330">
        <v>329</v>
      </c>
      <c r="B330" t="str">
        <f>Table2[[#This Row],[Propinsi]]&amp;"_"&amp;Table2[[#This Row],[Dati 2]]&amp;"_"&amp;Table2[[#This Row],[Tanggal]]</f>
        <v>JAWA BARAT_BOGOR_44317</v>
      </c>
      <c r="C330" t="s">
        <v>4</v>
      </c>
      <c r="D330" t="s">
        <v>70</v>
      </c>
      <c r="E330">
        <v>5</v>
      </c>
      <c r="F330">
        <v>2021</v>
      </c>
      <c r="G330" s="1">
        <f>DATE(Table2[[#This Row],[Tahun]],Table2[[#This Row],[Bulan]],1)</f>
        <v>44317</v>
      </c>
      <c r="H330">
        <v>40</v>
      </c>
    </row>
    <row r="331" spans="1:8" x14ac:dyDescent="0.25">
      <c r="A331">
        <v>330</v>
      </c>
      <c r="B331" t="str">
        <f>Table2[[#This Row],[Propinsi]]&amp;"_"&amp;Table2[[#This Row],[Dati 2]]&amp;"_"&amp;Table2[[#This Row],[Tanggal]]</f>
        <v>JAWA BARAT_BOGOR_44348</v>
      </c>
      <c r="C331" t="s">
        <v>4</v>
      </c>
      <c r="D331" t="s">
        <v>70</v>
      </c>
      <c r="E331">
        <v>6</v>
      </c>
      <c r="F331">
        <v>2021</v>
      </c>
      <c r="G331" s="1">
        <f>DATE(Table2[[#This Row],[Tahun]],Table2[[#This Row],[Bulan]],1)</f>
        <v>44348</v>
      </c>
      <c r="H331">
        <v>43</v>
      </c>
    </row>
    <row r="332" spans="1:8" x14ac:dyDescent="0.25">
      <c r="A332">
        <v>331</v>
      </c>
      <c r="B332" t="str">
        <f>Table2[[#This Row],[Propinsi]]&amp;"_"&amp;Table2[[#This Row],[Dati 2]]&amp;"_"&amp;Table2[[#This Row],[Tanggal]]</f>
        <v>JAWA BARAT_BOGOR_44378</v>
      </c>
      <c r="C332" t="s">
        <v>4</v>
      </c>
      <c r="D332" t="s">
        <v>70</v>
      </c>
      <c r="E332">
        <v>7</v>
      </c>
      <c r="F332">
        <v>2021</v>
      </c>
      <c r="G332" s="1">
        <f>DATE(Table2[[#This Row],[Tahun]],Table2[[#This Row],[Bulan]],1)</f>
        <v>44378</v>
      </c>
      <c r="H332">
        <v>42</v>
      </c>
    </row>
    <row r="333" spans="1:8" x14ac:dyDescent="0.25">
      <c r="A333">
        <v>332</v>
      </c>
      <c r="B333" t="str">
        <f>Table2[[#This Row],[Propinsi]]&amp;"_"&amp;Table2[[#This Row],[Dati 2]]&amp;"_"&amp;Table2[[#This Row],[Tanggal]]</f>
        <v>JAWA BARAT_BOGOR_44409</v>
      </c>
      <c r="C333" t="s">
        <v>4</v>
      </c>
      <c r="D333" t="s">
        <v>70</v>
      </c>
      <c r="E333">
        <v>8</v>
      </c>
      <c r="F333">
        <v>2021</v>
      </c>
      <c r="G333" s="1">
        <f>DATE(Table2[[#This Row],[Tahun]],Table2[[#This Row],[Bulan]],1)</f>
        <v>44409</v>
      </c>
      <c r="H333">
        <v>48</v>
      </c>
    </row>
    <row r="334" spans="1:8" x14ac:dyDescent="0.25">
      <c r="A334">
        <v>333</v>
      </c>
      <c r="B334" t="str">
        <f>Table2[[#This Row],[Propinsi]]&amp;"_"&amp;Table2[[#This Row],[Dati 2]]&amp;"_"&amp;Table2[[#This Row],[Tanggal]]</f>
        <v>JAWA BARAT_BOGOR_44440</v>
      </c>
      <c r="C334" t="s">
        <v>4</v>
      </c>
      <c r="D334" t="s">
        <v>70</v>
      </c>
      <c r="E334">
        <v>9</v>
      </c>
      <c r="F334">
        <v>2021</v>
      </c>
      <c r="G334" s="1">
        <f>DATE(Table2[[#This Row],[Tahun]],Table2[[#This Row],[Bulan]],1)</f>
        <v>44440</v>
      </c>
      <c r="H334">
        <v>55</v>
      </c>
    </row>
    <row r="335" spans="1:8" x14ac:dyDescent="0.25">
      <c r="A335">
        <v>334</v>
      </c>
      <c r="B335" t="str">
        <f>Table2[[#This Row],[Propinsi]]&amp;"_"&amp;Table2[[#This Row],[Dati 2]]&amp;"_"&amp;Table2[[#This Row],[Tanggal]]</f>
        <v>JAWA BARAT_BOGOR_44470</v>
      </c>
      <c r="C335" t="s">
        <v>4</v>
      </c>
      <c r="D335" t="s">
        <v>70</v>
      </c>
      <c r="E335">
        <v>10</v>
      </c>
      <c r="F335">
        <v>2021</v>
      </c>
      <c r="G335" s="1">
        <f>DATE(Table2[[#This Row],[Tahun]],Table2[[#This Row],[Bulan]],1)</f>
        <v>44470</v>
      </c>
      <c r="H335">
        <v>60</v>
      </c>
    </row>
    <row r="336" spans="1:8" x14ac:dyDescent="0.25">
      <c r="A336">
        <v>335</v>
      </c>
      <c r="B336" t="str">
        <f>Table2[[#This Row],[Propinsi]]&amp;"_"&amp;Table2[[#This Row],[Dati 2]]&amp;"_"&amp;Table2[[#This Row],[Tanggal]]</f>
        <v>JAWA BARAT_BOGOR_44501</v>
      </c>
      <c r="C336" t="s">
        <v>4</v>
      </c>
      <c r="D336" t="s">
        <v>70</v>
      </c>
      <c r="E336">
        <v>11</v>
      </c>
      <c r="F336">
        <v>2021</v>
      </c>
      <c r="G336" s="1">
        <f>DATE(Table2[[#This Row],[Tahun]],Table2[[#This Row],[Bulan]],1)</f>
        <v>44501</v>
      </c>
      <c r="H336">
        <v>66</v>
      </c>
    </row>
    <row r="337" spans="1:8" x14ac:dyDescent="0.25">
      <c r="A337">
        <v>336</v>
      </c>
      <c r="B337" t="str">
        <f>Table2[[#This Row],[Propinsi]]&amp;"_"&amp;Table2[[#This Row],[Dati 2]]&amp;"_"&amp;Table2[[#This Row],[Tanggal]]</f>
        <v>JAWA BARAT_BOGOR_44531</v>
      </c>
      <c r="C337" t="s">
        <v>4</v>
      </c>
      <c r="D337" t="s">
        <v>70</v>
      </c>
      <c r="E337">
        <v>12</v>
      </c>
      <c r="F337">
        <v>2021</v>
      </c>
      <c r="G337" s="1">
        <f>DATE(Table2[[#This Row],[Tahun]],Table2[[#This Row],[Bulan]],1)</f>
        <v>44531</v>
      </c>
      <c r="H337">
        <v>71</v>
      </c>
    </row>
    <row r="338" spans="1:8" x14ac:dyDescent="0.25">
      <c r="A338">
        <v>337</v>
      </c>
      <c r="B338" t="str">
        <f>Table2[[#This Row],[Propinsi]]&amp;"_"&amp;Table2[[#This Row],[Dati 2]]&amp;"_"&amp;Table2[[#This Row],[Tanggal]]</f>
        <v>JAWA BARAT_DEPOK_44197</v>
      </c>
      <c r="C338" t="s">
        <v>4</v>
      </c>
      <c r="D338" t="s">
        <v>71</v>
      </c>
      <c r="E338">
        <v>1</v>
      </c>
      <c r="F338">
        <v>2021</v>
      </c>
      <c r="G338" s="1">
        <f>DATE(Table2[[#This Row],[Tahun]],Table2[[#This Row],[Bulan]],1)</f>
        <v>44197</v>
      </c>
      <c r="H338">
        <v>193</v>
      </c>
    </row>
    <row r="339" spans="1:8" x14ac:dyDescent="0.25">
      <c r="A339">
        <v>338</v>
      </c>
      <c r="B339" t="str">
        <f>Table2[[#This Row],[Propinsi]]&amp;"_"&amp;Table2[[#This Row],[Dati 2]]&amp;"_"&amp;Table2[[#This Row],[Tanggal]]</f>
        <v>JAWA BARAT_DEPOK_44228</v>
      </c>
      <c r="C339" t="s">
        <v>4</v>
      </c>
      <c r="D339" t="s">
        <v>71</v>
      </c>
      <c r="E339">
        <v>2</v>
      </c>
      <c r="F339">
        <v>2021</v>
      </c>
      <c r="G339" s="1">
        <f>DATE(Table2[[#This Row],[Tahun]],Table2[[#This Row],[Bulan]],1)</f>
        <v>44228</v>
      </c>
      <c r="H339">
        <v>196</v>
      </c>
    </row>
    <row r="340" spans="1:8" x14ac:dyDescent="0.25">
      <c r="A340">
        <v>339</v>
      </c>
      <c r="B340" t="str">
        <f>Table2[[#This Row],[Propinsi]]&amp;"_"&amp;Table2[[#This Row],[Dati 2]]&amp;"_"&amp;Table2[[#This Row],[Tanggal]]</f>
        <v>JAWA BARAT_DEPOK_44256</v>
      </c>
      <c r="C340" t="s">
        <v>4</v>
      </c>
      <c r="D340" t="s">
        <v>71</v>
      </c>
      <c r="E340">
        <v>3</v>
      </c>
      <c r="F340">
        <v>2021</v>
      </c>
      <c r="G340" s="1">
        <f>DATE(Table2[[#This Row],[Tahun]],Table2[[#This Row],[Bulan]],1)</f>
        <v>44256</v>
      </c>
      <c r="H340">
        <v>197</v>
      </c>
    </row>
    <row r="341" spans="1:8" x14ac:dyDescent="0.25">
      <c r="A341">
        <v>340</v>
      </c>
      <c r="B341" t="str">
        <f>Table2[[#This Row],[Propinsi]]&amp;"_"&amp;Table2[[#This Row],[Dati 2]]&amp;"_"&amp;Table2[[#This Row],[Tanggal]]</f>
        <v>JAWA BARAT_DEPOK_44287</v>
      </c>
      <c r="C341" t="s">
        <v>4</v>
      </c>
      <c r="D341" t="s">
        <v>71</v>
      </c>
      <c r="E341">
        <v>4</v>
      </c>
      <c r="F341">
        <v>2021</v>
      </c>
      <c r="G341" s="1">
        <f>DATE(Table2[[#This Row],[Tahun]],Table2[[#This Row],[Bulan]],1)</f>
        <v>44287</v>
      </c>
      <c r="H341">
        <v>195</v>
      </c>
    </row>
    <row r="342" spans="1:8" x14ac:dyDescent="0.25">
      <c r="A342">
        <v>341</v>
      </c>
      <c r="B342" t="str">
        <f>Table2[[#This Row],[Propinsi]]&amp;"_"&amp;Table2[[#This Row],[Dati 2]]&amp;"_"&amp;Table2[[#This Row],[Tanggal]]</f>
        <v>JAWA BARAT_DEPOK_44317</v>
      </c>
      <c r="C342" t="s">
        <v>4</v>
      </c>
      <c r="D342" t="s">
        <v>71</v>
      </c>
      <c r="E342">
        <v>5</v>
      </c>
      <c r="F342">
        <v>2021</v>
      </c>
      <c r="G342" s="1">
        <f>DATE(Table2[[#This Row],[Tahun]],Table2[[#This Row],[Bulan]],1)</f>
        <v>44317</v>
      </c>
      <c r="H342">
        <v>194</v>
      </c>
    </row>
    <row r="343" spans="1:8" x14ac:dyDescent="0.25">
      <c r="A343">
        <v>342</v>
      </c>
      <c r="B343" t="str">
        <f>Table2[[#This Row],[Propinsi]]&amp;"_"&amp;Table2[[#This Row],[Dati 2]]&amp;"_"&amp;Table2[[#This Row],[Tanggal]]</f>
        <v>JAWA BARAT_DEPOK_44348</v>
      </c>
      <c r="C343" t="s">
        <v>4</v>
      </c>
      <c r="D343" t="s">
        <v>71</v>
      </c>
      <c r="E343">
        <v>6</v>
      </c>
      <c r="F343">
        <v>2021</v>
      </c>
      <c r="G343" s="1">
        <f>DATE(Table2[[#This Row],[Tahun]],Table2[[#This Row],[Bulan]],1)</f>
        <v>44348</v>
      </c>
      <c r="H343">
        <v>192</v>
      </c>
    </row>
    <row r="344" spans="1:8" x14ac:dyDescent="0.25">
      <c r="A344">
        <v>343</v>
      </c>
      <c r="B344" t="str">
        <f>Table2[[#This Row],[Propinsi]]&amp;"_"&amp;Table2[[#This Row],[Dati 2]]&amp;"_"&amp;Table2[[#This Row],[Tanggal]]</f>
        <v>JAWA BARAT_DEPOK_44378</v>
      </c>
      <c r="C344" t="s">
        <v>4</v>
      </c>
      <c r="D344" t="s">
        <v>71</v>
      </c>
      <c r="E344">
        <v>7</v>
      </c>
      <c r="F344">
        <v>2021</v>
      </c>
      <c r="G344" s="1">
        <f>DATE(Table2[[#This Row],[Tahun]],Table2[[#This Row],[Bulan]],1)</f>
        <v>44378</v>
      </c>
      <c r="H344">
        <v>190</v>
      </c>
    </row>
    <row r="345" spans="1:8" x14ac:dyDescent="0.25">
      <c r="A345">
        <v>344</v>
      </c>
      <c r="B345" t="str">
        <f>Table2[[#This Row],[Propinsi]]&amp;"_"&amp;Table2[[#This Row],[Dati 2]]&amp;"_"&amp;Table2[[#This Row],[Tanggal]]</f>
        <v>JAWA BARAT_DEPOK_44409</v>
      </c>
      <c r="C345" t="s">
        <v>4</v>
      </c>
      <c r="D345" t="s">
        <v>71</v>
      </c>
      <c r="E345">
        <v>8</v>
      </c>
      <c r="F345">
        <v>2021</v>
      </c>
      <c r="G345" s="1">
        <f>DATE(Table2[[#This Row],[Tahun]],Table2[[#This Row],[Bulan]],1)</f>
        <v>44409</v>
      </c>
      <c r="H345">
        <v>190</v>
      </c>
    </row>
    <row r="346" spans="1:8" x14ac:dyDescent="0.25">
      <c r="A346">
        <v>345</v>
      </c>
      <c r="B346" t="str">
        <f>Table2[[#This Row],[Propinsi]]&amp;"_"&amp;Table2[[#This Row],[Dati 2]]&amp;"_"&amp;Table2[[#This Row],[Tanggal]]</f>
        <v>JAWA BARAT_DEPOK_44440</v>
      </c>
      <c r="C346" t="s">
        <v>4</v>
      </c>
      <c r="D346" t="s">
        <v>71</v>
      </c>
      <c r="E346">
        <v>9</v>
      </c>
      <c r="F346">
        <v>2021</v>
      </c>
      <c r="G346" s="1">
        <f>DATE(Table2[[#This Row],[Tahun]],Table2[[#This Row],[Bulan]],1)</f>
        <v>44440</v>
      </c>
      <c r="H346">
        <v>190</v>
      </c>
    </row>
    <row r="347" spans="1:8" x14ac:dyDescent="0.25">
      <c r="A347">
        <v>346</v>
      </c>
      <c r="B347" t="str">
        <f>Table2[[#This Row],[Propinsi]]&amp;"_"&amp;Table2[[#This Row],[Dati 2]]&amp;"_"&amp;Table2[[#This Row],[Tanggal]]</f>
        <v>JAWA BARAT_DEPOK_44470</v>
      </c>
      <c r="C347" t="s">
        <v>4</v>
      </c>
      <c r="D347" t="s">
        <v>71</v>
      </c>
      <c r="E347">
        <v>10</v>
      </c>
      <c r="F347">
        <v>2021</v>
      </c>
      <c r="G347" s="1">
        <f>DATE(Table2[[#This Row],[Tahun]],Table2[[#This Row],[Bulan]],1)</f>
        <v>44470</v>
      </c>
      <c r="H347">
        <v>194</v>
      </c>
    </row>
    <row r="348" spans="1:8" x14ac:dyDescent="0.25">
      <c r="A348">
        <v>347</v>
      </c>
      <c r="B348" t="str">
        <f>Table2[[#This Row],[Propinsi]]&amp;"_"&amp;Table2[[#This Row],[Dati 2]]&amp;"_"&amp;Table2[[#This Row],[Tanggal]]</f>
        <v>JAWA BARAT_DEPOK_44501</v>
      </c>
      <c r="C348" t="s">
        <v>4</v>
      </c>
      <c r="D348" t="s">
        <v>71</v>
      </c>
      <c r="E348">
        <v>11</v>
      </c>
      <c r="F348">
        <v>2021</v>
      </c>
      <c r="G348" s="1">
        <f>DATE(Table2[[#This Row],[Tahun]],Table2[[#This Row],[Bulan]],1)</f>
        <v>44501</v>
      </c>
      <c r="H348">
        <v>200</v>
      </c>
    </row>
    <row r="349" spans="1:8" x14ac:dyDescent="0.25">
      <c r="A349">
        <v>348</v>
      </c>
      <c r="B349" t="str">
        <f>Table2[[#This Row],[Propinsi]]&amp;"_"&amp;Table2[[#This Row],[Dati 2]]&amp;"_"&amp;Table2[[#This Row],[Tanggal]]</f>
        <v>JAWA BARAT_DEPOK_44531</v>
      </c>
      <c r="C349" t="s">
        <v>4</v>
      </c>
      <c r="D349" t="s">
        <v>71</v>
      </c>
      <c r="E349">
        <v>12</v>
      </c>
      <c r="F349">
        <v>2021</v>
      </c>
      <c r="G349" s="1">
        <f>DATE(Table2[[#This Row],[Tahun]],Table2[[#This Row],[Bulan]],1)</f>
        <v>44531</v>
      </c>
      <c r="H349">
        <v>199</v>
      </c>
    </row>
    <row r="350" spans="1:8" x14ac:dyDescent="0.25">
      <c r="A350">
        <v>349</v>
      </c>
      <c r="B350" t="str">
        <f>Table2[[#This Row],[Propinsi]]&amp;"_"&amp;Table2[[#This Row],[Dati 2]]&amp;"_"&amp;Table2[[#This Row],[Tanggal]]</f>
        <v>JAWA BARAT_BEKASI_44197</v>
      </c>
      <c r="C350" t="s">
        <v>4</v>
      </c>
      <c r="D350" t="s">
        <v>72</v>
      </c>
      <c r="E350">
        <v>1</v>
      </c>
      <c r="F350">
        <v>2021</v>
      </c>
      <c r="G350" s="1">
        <f>DATE(Table2[[#This Row],[Tahun]],Table2[[#This Row],[Bulan]],1)</f>
        <v>44197</v>
      </c>
      <c r="H350">
        <v>307</v>
      </c>
    </row>
    <row r="351" spans="1:8" x14ac:dyDescent="0.25">
      <c r="A351">
        <v>350</v>
      </c>
      <c r="B351" t="str">
        <f>Table2[[#This Row],[Propinsi]]&amp;"_"&amp;Table2[[#This Row],[Dati 2]]&amp;"_"&amp;Table2[[#This Row],[Tanggal]]</f>
        <v>JAWA BARAT_BEKASI_44228</v>
      </c>
      <c r="C351" t="s">
        <v>4</v>
      </c>
      <c r="D351" t="s">
        <v>72</v>
      </c>
      <c r="E351">
        <v>2</v>
      </c>
      <c r="F351">
        <v>2021</v>
      </c>
      <c r="G351" s="1">
        <f>DATE(Table2[[#This Row],[Tahun]],Table2[[#This Row],[Bulan]],1)</f>
        <v>44228</v>
      </c>
      <c r="H351">
        <v>312</v>
      </c>
    </row>
    <row r="352" spans="1:8" x14ac:dyDescent="0.25">
      <c r="A352">
        <v>351</v>
      </c>
      <c r="B352" t="str">
        <f>Table2[[#This Row],[Propinsi]]&amp;"_"&amp;Table2[[#This Row],[Dati 2]]&amp;"_"&amp;Table2[[#This Row],[Tanggal]]</f>
        <v>JAWA BARAT_BEKASI_44256</v>
      </c>
      <c r="C352" t="s">
        <v>4</v>
      </c>
      <c r="D352" t="s">
        <v>72</v>
      </c>
      <c r="E352">
        <v>3</v>
      </c>
      <c r="F352">
        <v>2021</v>
      </c>
      <c r="G352" s="1">
        <f>DATE(Table2[[#This Row],[Tahun]],Table2[[#This Row],[Bulan]],1)</f>
        <v>44256</v>
      </c>
      <c r="H352">
        <v>313</v>
      </c>
    </row>
    <row r="353" spans="1:8" x14ac:dyDescent="0.25">
      <c r="A353">
        <v>352</v>
      </c>
      <c r="B353" t="str">
        <f>Table2[[#This Row],[Propinsi]]&amp;"_"&amp;Table2[[#This Row],[Dati 2]]&amp;"_"&amp;Table2[[#This Row],[Tanggal]]</f>
        <v>JAWA BARAT_BEKASI_44287</v>
      </c>
      <c r="C353" t="s">
        <v>4</v>
      </c>
      <c r="D353" t="s">
        <v>72</v>
      </c>
      <c r="E353">
        <v>4</v>
      </c>
      <c r="F353">
        <v>2021</v>
      </c>
      <c r="G353" s="1">
        <f>DATE(Table2[[#This Row],[Tahun]],Table2[[#This Row],[Bulan]],1)</f>
        <v>44287</v>
      </c>
      <c r="H353">
        <v>312</v>
      </c>
    </row>
    <row r="354" spans="1:8" x14ac:dyDescent="0.25">
      <c r="A354">
        <v>353</v>
      </c>
      <c r="B354" t="str">
        <f>Table2[[#This Row],[Propinsi]]&amp;"_"&amp;Table2[[#This Row],[Dati 2]]&amp;"_"&amp;Table2[[#This Row],[Tanggal]]</f>
        <v>JAWA BARAT_BEKASI_44317</v>
      </c>
      <c r="C354" t="s">
        <v>4</v>
      </c>
      <c r="D354" t="s">
        <v>72</v>
      </c>
      <c r="E354">
        <v>5</v>
      </c>
      <c r="F354">
        <v>2021</v>
      </c>
      <c r="G354" s="1">
        <f>DATE(Table2[[#This Row],[Tahun]],Table2[[#This Row],[Bulan]],1)</f>
        <v>44317</v>
      </c>
      <c r="H354">
        <v>318</v>
      </c>
    </row>
    <row r="355" spans="1:8" x14ac:dyDescent="0.25">
      <c r="A355">
        <v>354</v>
      </c>
      <c r="B355" t="str">
        <f>Table2[[#This Row],[Propinsi]]&amp;"_"&amp;Table2[[#This Row],[Dati 2]]&amp;"_"&amp;Table2[[#This Row],[Tanggal]]</f>
        <v>JAWA BARAT_BEKASI_44348</v>
      </c>
      <c r="C355" t="s">
        <v>4</v>
      </c>
      <c r="D355" t="s">
        <v>72</v>
      </c>
      <c r="E355">
        <v>6</v>
      </c>
      <c r="F355">
        <v>2021</v>
      </c>
      <c r="G355" s="1">
        <f>DATE(Table2[[#This Row],[Tahun]],Table2[[#This Row],[Bulan]],1)</f>
        <v>44348</v>
      </c>
      <c r="H355">
        <v>322</v>
      </c>
    </row>
    <row r="356" spans="1:8" x14ac:dyDescent="0.25">
      <c r="A356">
        <v>355</v>
      </c>
      <c r="B356" t="str">
        <f>Table2[[#This Row],[Propinsi]]&amp;"_"&amp;Table2[[#This Row],[Dati 2]]&amp;"_"&amp;Table2[[#This Row],[Tanggal]]</f>
        <v>JAWA BARAT_BEKASI_44378</v>
      </c>
      <c r="C356" t="s">
        <v>4</v>
      </c>
      <c r="D356" t="s">
        <v>72</v>
      </c>
      <c r="E356">
        <v>7</v>
      </c>
      <c r="F356">
        <v>2021</v>
      </c>
      <c r="G356" s="1">
        <f>DATE(Table2[[#This Row],[Tahun]],Table2[[#This Row],[Bulan]],1)</f>
        <v>44378</v>
      </c>
      <c r="H356">
        <v>324</v>
      </c>
    </row>
    <row r="357" spans="1:8" x14ac:dyDescent="0.25">
      <c r="A357">
        <v>356</v>
      </c>
      <c r="B357" t="str">
        <f>Table2[[#This Row],[Propinsi]]&amp;"_"&amp;Table2[[#This Row],[Dati 2]]&amp;"_"&amp;Table2[[#This Row],[Tanggal]]</f>
        <v>JAWA BARAT_BEKASI_44409</v>
      </c>
      <c r="C357" t="s">
        <v>4</v>
      </c>
      <c r="D357" t="s">
        <v>72</v>
      </c>
      <c r="E357">
        <v>8</v>
      </c>
      <c r="F357">
        <v>2021</v>
      </c>
      <c r="G357" s="1">
        <f>DATE(Table2[[#This Row],[Tahun]],Table2[[#This Row],[Bulan]],1)</f>
        <v>44409</v>
      </c>
      <c r="H357">
        <v>326</v>
      </c>
    </row>
    <row r="358" spans="1:8" x14ac:dyDescent="0.25">
      <c r="A358">
        <v>357</v>
      </c>
      <c r="B358" t="str">
        <f>Table2[[#This Row],[Propinsi]]&amp;"_"&amp;Table2[[#This Row],[Dati 2]]&amp;"_"&amp;Table2[[#This Row],[Tanggal]]</f>
        <v>JAWA BARAT_BEKASI_44440</v>
      </c>
      <c r="C358" t="s">
        <v>4</v>
      </c>
      <c r="D358" t="s">
        <v>72</v>
      </c>
      <c r="E358">
        <v>9</v>
      </c>
      <c r="F358">
        <v>2021</v>
      </c>
      <c r="G358" s="1">
        <f>DATE(Table2[[#This Row],[Tahun]],Table2[[#This Row],[Bulan]],1)</f>
        <v>44440</v>
      </c>
      <c r="H358">
        <v>328</v>
      </c>
    </row>
    <row r="359" spans="1:8" x14ac:dyDescent="0.25">
      <c r="A359">
        <v>358</v>
      </c>
      <c r="B359" t="str">
        <f>Table2[[#This Row],[Propinsi]]&amp;"_"&amp;Table2[[#This Row],[Dati 2]]&amp;"_"&amp;Table2[[#This Row],[Tanggal]]</f>
        <v>JAWA BARAT_BEKASI_44470</v>
      </c>
      <c r="C359" t="s">
        <v>4</v>
      </c>
      <c r="D359" t="s">
        <v>72</v>
      </c>
      <c r="E359">
        <v>10</v>
      </c>
      <c r="F359">
        <v>2021</v>
      </c>
      <c r="G359" s="1">
        <f>DATE(Table2[[#This Row],[Tahun]],Table2[[#This Row],[Bulan]],1)</f>
        <v>44470</v>
      </c>
      <c r="H359">
        <v>333</v>
      </c>
    </row>
    <row r="360" spans="1:8" x14ac:dyDescent="0.25">
      <c r="A360">
        <v>359</v>
      </c>
      <c r="B360" t="str">
        <f>Table2[[#This Row],[Propinsi]]&amp;"_"&amp;Table2[[#This Row],[Dati 2]]&amp;"_"&amp;Table2[[#This Row],[Tanggal]]</f>
        <v>JAWA BARAT_BEKASI_44501</v>
      </c>
      <c r="C360" t="s">
        <v>4</v>
      </c>
      <c r="D360" t="s">
        <v>72</v>
      </c>
      <c r="E360">
        <v>11</v>
      </c>
      <c r="F360">
        <v>2021</v>
      </c>
      <c r="G360" s="1">
        <f>DATE(Table2[[#This Row],[Tahun]],Table2[[#This Row],[Bulan]],1)</f>
        <v>44501</v>
      </c>
      <c r="H360">
        <v>334</v>
      </c>
    </row>
    <row r="361" spans="1:8" x14ac:dyDescent="0.25">
      <c r="A361">
        <v>360</v>
      </c>
      <c r="B361" t="str">
        <f>Table2[[#This Row],[Propinsi]]&amp;"_"&amp;Table2[[#This Row],[Dati 2]]&amp;"_"&amp;Table2[[#This Row],[Tanggal]]</f>
        <v>JAWA BARAT_BEKASI_44531</v>
      </c>
      <c r="C361" t="s">
        <v>4</v>
      </c>
      <c r="D361" t="s">
        <v>72</v>
      </c>
      <c r="E361">
        <v>12</v>
      </c>
      <c r="F361">
        <v>2021</v>
      </c>
      <c r="G361" s="1">
        <f>DATE(Table2[[#This Row],[Tahun]],Table2[[#This Row],[Bulan]],1)</f>
        <v>44531</v>
      </c>
      <c r="H361">
        <v>339</v>
      </c>
    </row>
    <row r="362" spans="1:8" x14ac:dyDescent="0.25">
      <c r="A362">
        <v>361</v>
      </c>
      <c r="B362" t="str">
        <f>Table2[[#This Row],[Propinsi]]&amp;"_"&amp;Table2[[#This Row],[Dati 2]]&amp;"_"&amp;Table2[[#This Row],[Tanggal]]</f>
        <v>JAWA BARAT_BANDUNG_44197</v>
      </c>
      <c r="C362" t="s">
        <v>4</v>
      </c>
      <c r="D362" t="s">
        <v>73</v>
      </c>
      <c r="E362">
        <v>1</v>
      </c>
      <c r="F362">
        <v>2021</v>
      </c>
      <c r="G362" s="1">
        <f>DATE(Table2[[#This Row],[Tahun]],Table2[[#This Row],[Bulan]],1)</f>
        <v>44197</v>
      </c>
      <c r="H362">
        <v>22</v>
      </c>
    </row>
    <row r="363" spans="1:8" x14ac:dyDescent="0.25">
      <c r="A363">
        <v>362</v>
      </c>
      <c r="B363" t="str">
        <f>Table2[[#This Row],[Propinsi]]&amp;"_"&amp;Table2[[#This Row],[Dati 2]]&amp;"_"&amp;Table2[[#This Row],[Tanggal]]</f>
        <v>JAWA BARAT_BANDUNG_44228</v>
      </c>
      <c r="C363" t="s">
        <v>4</v>
      </c>
      <c r="D363" t="s">
        <v>73</v>
      </c>
      <c r="E363">
        <v>2</v>
      </c>
      <c r="F363">
        <v>2021</v>
      </c>
      <c r="G363" s="1">
        <f>DATE(Table2[[#This Row],[Tahun]],Table2[[#This Row],[Bulan]],1)</f>
        <v>44228</v>
      </c>
      <c r="H363">
        <v>27</v>
      </c>
    </row>
    <row r="364" spans="1:8" x14ac:dyDescent="0.25">
      <c r="A364">
        <v>363</v>
      </c>
      <c r="B364" t="str">
        <f>Table2[[#This Row],[Propinsi]]&amp;"_"&amp;Table2[[#This Row],[Dati 2]]&amp;"_"&amp;Table2[[#This Row],[Tanggal]]</f>
        <v>JAWA BARAT_BANDUNG_44256</v>
      </c>
      <c r="C364" t="s">
        <v>4</v>
      </c>
      <c r="D364" t="s">
        <v>73</v>
      </c>
      <c r="E364">
        <v>3</v>
      </c>
      <c r="F364">
        <v>2021</v>
      </c>
      <c r="G364" s="1">
        <f>DATE(Table2[[#This Row],[Tahun]],Table2[[#This Row],[Bulan]],1)</f>
        <v>44256</v>
      </c>
      <c r="H364">
        <v>34</v>
      </c>
    </row>
    <row r="365" spans="1:8" x14ac:dyDescent="0.25">
      <c r="A365">
        <v>364</v>
      </c>
      <c r="B365" t="str">
        <f>Table2[[#This Row],[Propinsi]]&amp;"_"&amp;Table2[[#This Row],[Dati 2]]&amp;"_"&amp;Table2[[#This Row],[Tanggal]]</f>
        <v>JAWA BARAT_BANDUNG_44287</v>
      </c>
      <c r="C365" t="s">
        <v>4</v>
      </c>
      <c r="D365" t="s">
        <v>73</v>
      </c>
      <c r="E365">
        <v>4</v>
      </c>
      <c r="F365">
        <v>2021</v>
      </c>
      <c r="G365" s="1">
        <f>DATE(Table2[[#This Row],[Tahun]],Table2[[#This Row],[Bulan]],1)</f>
        <v>44287</v>
      </c>
      <c r="H365">
        <v>33</v>
      </c>
    </row>
    <row r="366" spans="1:8" x14ac:dyDescent="0.25">
      <c r="A366">
        <v>365</v>
      </c>
      <c r="B366" t="str">
        <f>Table2[[#This Row],[Propinsi]]&amp;"_"&amp;Table2[[#This Row],[Dati 2]]&amp;"_"&amp;Table2[[#This Row],[Tanggal]]</f>
        <v>JAWA BARAT_BANDUNG_44317</v>
      </c>
      <c r="C366" t="s">
        <v>4</v>
      </c>
      <c r="D366" t="s">
        <v>73</v>
      </c>
      <c r="E366">
        <v>5</v>
      </c>
      <c r="F366">
        <v>2021</v>
      </c>
      <c r="G366" s="1">
        <f>DATE(Table2[[#This Row],[Tahun]],Table2[[#This Row],[Bulan]],1)</f>
        <v>44317</v>
      </c>
      <c r="H366">
        <v>37</v>
      </c>
    </row>
    <row r="367" spans="1:8" x14ac:dyDescent="0.25">
      <c r="A367">
        <v>366</v>
      </c>
      <c r="B367" t="str">
        <f>Table2[[#This Row],[Propinsi]]&amp;"_"&amp;Table2[[#This Row],[Dati 2]]&amp;"_"&amp;Table2[[#This Row],[Tanggal]]</f>
        <v>JAWA BARAT_BANDUNG_44348</v>
      </c>
      <c r="C367" t="s">
        <v>4</v>
      </c>
      <c r="D367" t="s">
        <v>73</v>
      </c>
      <c r="E367">
        <v>6</v>
      </c>
      <c r="F367">
        <v>2021</v>
      </c>
      <c r="G367" s="1">
        <f>DATE(Table2[[#This Row],[Tahun]],Table2[[#This Row],[Bulan]],1)</f>
        <v>44348</v>
      </c>
      <c r="H367">
        <v>38</v>
      </c>
    </row>
    <row r="368" spans="1:8" x14ac:dyDescent="0.25">
      <c r="A368">
        <v>367</v>
      </c>
      <c r="B368" t="str">
        <f>Table2[[#This Row],[Propinsi]]&amp;"_"&amp;Table2[[#This Row],[Dati 2]]&amp;"_"&amp;Table2[[#This Row],[Tanggal]]</f>
        <v>JAWA BARAT_BANDUNG_44378</v>
      </c>
      <c r="C368" t="s">
        <v>4</v>
      </c>
      <c r="D368" t="s">
        <v>73</v>
      </c>
      <c r="E368">
        <v>7</v>
      </c>
      <c r="F368">
        <v>2021</v>
      </c>
      <c r="G368" s="1">
        <f>DATE(Table2[[#This Row],[Tahun]],Table2[[#This Row],[Bulan]],1)</f>
        <v>44378</v>
      </c>
      <c r="H368">
        <v>38</v>
      </c>
    </row>
    <row r="369" spans="1:8" x14ac:dyDescent="0.25">
      <c r="A369">
        <v>368</v>
      </c>
      <c r="B369" t="str">
        <f>Table2[[#This Row],[Propinsi]]&amp;"_"&amp;Table2[[#This Row],[Dati 2]]&amp;"_"&amp;Table2[[#This Row],[Tanggal]]</f>
        <v>JAWA BARAT_BANDUNG_44409</v>
      </c>
      <c r="C369" t="s">
        <v>4</v>
      </c>
      <c r="D369" t="s">
        <v>73</v>
      </c>
      <c r="E369">
        <v>8</v>
      </c>
      <c r="F369">
        <v>2021</v>
      </c>
      <c r="G369" s="1">
        <f>DATE(Table2[[#This Row],[Tahun]],Table2[[#This Row],[Bulan]],1)</f>
        <v>44409</v>
      </c>
      <c r="H369">
        <v>39</v>
      </c>
    </row>
    <row r="370" spans="1:8" x14ac:dyDescent="0.25">
      <c r="A370">
        <v>369</v>
      </c>
      <c r="B370" t="str">
        <f>Table2[[#This Row],[Propinsi]]&amp;"_"&amp;Table2[[#This Row],[Dati 2]]&amp;"_"&amp;Table2[[#This Row],[Tanggal]]</f>
        <v>JAWA BARAT_BANDUNG_44440</v>
      </c>
      <c r="C370" t="s">
        <v>4</v>
      </c>
      <c r="D370" t="s">
        <v>73</v>
      </c>
      <c r="E370">
        <v>9</v>
      </c>
      <c r="F370">
        <v>2021</v>
      </c>
      <c r="G370" s="1">
        <f>DATE(Table2[[#This Row],[Tahun]],Table2[[#This Row],[Bulan]],1)</f>
        <v>44440</v>
      </c>
      <c r="H370">
        <v>42</v>
      </c>
    </row>
    <row r="371" spans="1:8" x14ac:dyDescent="0.25">
      <c r="A371">
        <v>370</v>
      </c>
      <c r="B371" t="str">
        <f>Table2[[#This Row],[Propinsi]]&amp;"_"&amp;Table2[[#This Row],[Dati 2]]&amp;"_"&amp;Table2[[#This Row],[Tanggal]]</f>
        <v>JAWA BARAT_BANDUNG_44470</v>
      </c>
      <c r="C371" t="s">
        <v>4</v>
      </c>
      <c r="D371" t="s">
        <v>73</v>
      </c>
      <c r="E371">
        <v>10</v>
      </c>
      <c r="F371">
        <v>2021</v>
      </c>
      <c r="G371" s="1">
        <f>DATE(Table2[[#This Row],[Tahun]],Table2[[#This Row],[Bulan]],1)</f>
        <v>44470</v>
      </c>
      <c r="H371">
        <v>41</v>
      </c>
    </row>
    <row r="372" spans="1:8" x14ac:dyDescent="0.25">
      <c r="A372">
        <v>371</v>
      </c>
      <c r="B372" t="str">
        <f>Table2[[#This Row],[Propinsi]]&amp;"_"&amp;Table2[[#This Row],[Dati 2]]&amp;"_"&amp;Table2[[#This Row],[Tanggal]]</f>
        <v>JAWA BARAT_BANDUNG_44501</v>
      </c>
      <c r="C372" t="s">
        <v>4</v>
      </c>
      <c r="D372" t="s">
        <v>73</v>
      </c>
      <c r="E372">
        <v>11</v>
      </c>
      <c r="F372">
        <v>2021</v>
      </c>
      <c r="G372" s="1">
        <f>DATE(Table2[[#This Row],[Tahun]],Table2[[#This Row],[Bulan]],1)</f>
        <v>44501</v>
      </c>
      <c r="H372">
        <v>40</v>
      </c>
    </row>
    <row r="373" spans="1:8" x14ac:dyDescent="0.25">
      <c r="A373">
        <v>372</v>
      </c>
      <c r="B373" t="str">
        <f>Table2[[#This Row],[Propinsi]]&amp;"_"&amp;Table2[[#This Row],[Dati 2]]&amp;"_"&amp;Table2[[#This Row],[Tanggal]]</f>
        <v>JAWA BARAT_BANDUNG_44531</v>
      </c>
      <c r="C373" t="s">
        <v>4</v>
      </c>
      <c r="D373" t="s">
        <v>73</v>
      </c>
      <c r="E373">
        <v>12</v>
      </c>
      <c r="F373">
        <v>2021</v>
      </c>
      <c r="G373" s="1">
        <f>DATE(Table2[[#This Row],[Tahun]],Table2[[#This Row],[Bulan]],1)</f>
        <v>44531</v>
      </c>
      <c r="H373">
        <v>44</v>
      </c>
    </row>
    <row r="374" spans="1:8" x14ac:dyDescent="0.25">
      <c r="A374">
        <v>373</v>
      </c>
      <c r="B374" t="str">
        <f>Table2[[#This Row],[Propinsi]]&amp;"_"&amp;Table2[[#This Row],[Dati 2]]&amp;"_"&amp;Table2[[#This Row],[Tanggal]]</f>
        <v>JAWA BARAT_BANDUNG BARAT_44197</v>
      </c>
      <c r="C374" t="s">
        <v>4</v>
      </c>
      <c r="D374" t="s">
        <v>74</v>
      </c>
      <c r="E374">
        <v>1</v>
      </c>
      <c r="F374">
        <v>2021</v>
      </c>
      <c r="G374" s="1">
        <f>DATE(Table2[[#This Row],[Tahun]],Table2[[#This Row],[Bulan]],1)</f>
        <v>44197</v>
      </c>
      <c r="H374">
        <v>171</v>
      </c>
    </row>
    <row r="375" spans="1:8" x14ac:dyDescent="0.25">
      <c r="A375">
        <v>374</v>
      </c>
      <c r="B375" t="str">
        <f>Table2[[#This Row],[Propinsi]]&amp;"_"&amp;Table2[[#This Row],[Dati 2]]&amp;"_"&amp;Table2[[#This Row],[Tanggal]]</f>
        <v>JAWA BARAT_BANDUNG BARAT_44228</v>
      </c>
      <c r="C375" t="s">
        <v>4</v>
      </c>
      <c r="D375" t="s">
        <v>74</v>
      </c>
      <c r="E375">
        <v>2</v>
      </c>
      <c r="F375">
        <v>2021</v>
      </c>
      <c r="G375" s="1">
        <f>DATE(Table2[[#This Row],[Tahun]],Table2[[#This Row],[Bulan]],1)</f>
        <v>44228</v>
      </c>
      <c r="H375">
        <v>174</v>
      </c>
    </row>
    <row r="376" spans="1:8" x14ac:dyDescent="0.25">
      <c r="A376">
        <v>375</v>
      </c>
      <c r="B376" t="str">
        <f>Table2[[#This Row],[Propinsi]]&amp;"_"&amp;Table2[[#This Row],[Dati 2]]&amp;"_"&amp;Table2[[#This Row],[Tanggal]]</f>
        <v>JAWA BARAT_BANDUNG BARAT_44256</v>
      </c>
      <c r="C376" t="s">
        <v>4</v>
      </c>
      <c r="D376" t="s">
        <v>74</v>
      </c>
      <c r="E376">
        <v>3</v>
      </c>
      <c r="F376">
        <v>2021</v>
      </c>
      <c r="G376" s="1">
        <f>DATE(Table2[[#This Row],[Tahun]],Table2[[#This Row],[Bulan]],1)</f>
        <v>44256</v>
      </c>
      <c r="H376">
        <v>173</v>
      </c>
    </row>
    <row r="377" spans="1:8" x14ac:dyDescent="0.25">
      <c r="A377">
        <v>376</v>
      </c>
      <c r="B377" t="str">
        <f>Table2[[#This Row],[Propinsi]]&amp;"_"&amp;Table2[[#This Row],[Dati 2]]&amp;"_"&amp;Table2[[#This Row],[Tanggal]]</f>
        <v>JAWA BARAT_BANDUNG BARAT_44287</v>
      </c>
      <c r="C377" t="s">
        <v>4</v>
      </c>
      <c r="D377" t="s">
        <v>74</v>
      </c>
      <c r="E377">
        <v>4</v>
      </c>
      <c r="F377">
        <v>2021</v>
      </c>
      <c r="G377" s="1">
        <f>DATE(Table2[[#This Row],[Tahun]],Table2[[#This Row],[Bulan]],1)</f>
        <v>44287</v>
      </c>
      <c r="H377">
        <v>177</v>
      </c>
    </row>
    <row r="378" spans="1:8" x14ac:dyDescent="0.25">
      <c r="A378">
        <v>377</v>
      </c>
      <c r="B378" t="str">
        <f>Table2[[#This Row],[Propinsi]]&amp;"_"&amp;Table2[[#This Row],[Dati 2]]&amp;"_"&amp;Table2[[#This Row],[Tanggal]]</f>
        <v>JAWA BARAT_BANDUNG BARAT_44317</v>
      </c>
      <c r="C378" t="s">
        <v>4</v>
      </c>
      <c r="D378" t="s">
        <v>74</v>
      </c>
      <c r="E378">
        <v>5</v>
      </c>
      <c r="F378">
        <v>2021</v>
      </c>
      <c r="G378" s="1">
        <f>DATE(Table2[[#This Row],[Tahun]],Table2[[#This Row],[Bulan]],1)</f>
        <v>44317</v>
      </c>
      <c r="H378">
        <v>183</v>
      </c>
    </row>
    <row r="379" spans="1:8" x14ac:dyDescent="0.25">
      <c r="A379">
        <v>378</v>
      </c>
      <c r="B379" t="str">
        <f>Table2[[#This Row],[Propinsi]]&amp;"_"&amp;Table2[[#This Row],[Dati 2]]&amp;"_"&amp;Table2[[#This Row],[Tanggal]]</f>
        <v>JAWA BARAT_BANDUNG BARAT_44348</v>
      </c>
      <c r="C379" t="s">
        <v>4</v>
      </c>
      <c r="D379" t="s">
        <v>74</v>
      </c>
      <c r="E379">
        <v>6</v>
      </c>
      <c r="F379">
        <v>2021</v>
      </c>
      <c r="G379" s="1">
        <f>DATE(Table2[[#This Row],[Tahun]],Table2[[#This Row],[Bulan]],1)</f>
        <v>44348</v>
      </c>
      <c r="H379">
        <v>183</v>
      </c>
    </row>
    <row r="380" spans="1:8" x14ac:dyDescent="0.25">
      <c r="A380">
        <v>379</v>
      </c>
      <c r="B380" t="str">
        <f>Table2[[#This Row],[Propinsi]]&amp;"_"&amp;Table2[[#This Row],[Dati 2]]&amp;"_"&amp;Table2[[#This Row],[Tanggal]]</f>
        <v>JAWA BARAT_BANDUNG BARAT_44378</v>
      </c>
      <c r="C380" t="s">
        <v>4</v>
      </c>
      <c r="D380" t="s">
        <v>74</v>
      </c>
      <c r="E380">
        <v>7</v>
      </c>
      <c r="F380">
        <v>2021</v>
      </c>
      <c r="G380" s="1">
        <f>DATE(Table2[[#This Row],[Tahun]],Table2[[#This Row],[Bulan]],1)</f>
        <v>44378</v>
      </c>
      <c r="H380">
        <v>189</v>
      </c>
    </row>
    <row r="381" spans="1:8" x14ac:dyDescent="0.25">
      <c r="A381">
        <v>380</v>
      </c>
      <c r="B381" t="str">
        <f>Table2[[#This Row],[Propinsi]]&amp;"_"&amp;Table2[[#This Row],[Dati 2]]&amp;"_"&amp;Table2[[#This Row],[Tanggal]]</f>
        <v>JAWA BARAT_BANDUNG BARAT_44409</v>
      </c>
      <c r="C381" t="s">
        <v>4</v>
      </c>
      <c r="D381" t="s">
        <v>74</v>
      </c>
      <c r="E381">
        <v>8</v>
      </c>
      <c r="F381">
        <v>2021</v>
      </c>
      <c r="G381" s="1">
        <f>DATE(Table2[[#This Row],[Tahun]],Table2[[#This Row],[Bulan]],1)</f>
        <v>44409</v>
      </c>
      <c r="H381">
        <v>192</v>
      </c>
    </row>
    <row r="382" spans="1:8" x14ac:dyDescent="0.25">
      <c r="A382">
        <v>381</v>
      </c>
      <c r="B382" t="str">
        <f>Table2[[#This Row],[Propinsi]]&amp;"_"&amp;Table2[[#This Row],[Dati 2]]&amp;"_"&amp;Table2[[#This Row],[Tanggal]]</f>
        <v>JAWA BARAT_BANDUNG BARAT_44440</v>
      </c>
      <c r="C382" t="s">
        <v>4</v>
      </c>
      <c r="D382" t="s">
        <v>74</v>
      </c>
      <c r="E382">
        <v>9</v>
      </c>
      <c r="F382">
        <v>2021</v>
      </c>
      <c r="G382" s="1">
        <f>DATE(Table2[[#This Row],[Tahun]],Table2[[#This Row],[Bulan]],1)</f>
        <v>44440</v>
      </c>
      <c r="H382">
        <v>192</v>
      </c>
    </row>
    <row r="383" spans="1:8" x14ac:dyDescent="0.25">
      <c r="A383">
        <v>382</v>
      </c>
      <c r="B383" t="str">
        <f>Table2[[#This Row],[Propinsi]]&amp;"_"&amp;Table2[[#This Row],[Dati 2]]&amp;"_"&amp;Table2[[#This Row],[Tanggal]]</f>
        <v>JAWA BARAT_BANDUNG BARAT_44470</v>
      </c>
      <c r="C383" t="s">
        <v>4</v>
      </c>
      <c r="D383" t="s">
        <v>74</v>
      </c>
      <c r="E383">
        <v>10</v>
      </c>
      <c r="F383">
        <v>2021</v>
      </c>
      <c r="G383" s="1">
        <f>DATE(Table2[[#This Row],[Tahun]],Table2[[#This Row],[Bulan]],1)</f>
        <v>44470</v>
      </c>
      <c r="H383">
        <v>191</v>
      </c>
    </row>
    <row r="384" spans="1:8" x14ac:dyDescent="0.25">
      <c r="A384">
        <v>383</v>
      </c>
      <c r="B384" t="str">
        <f>Table2[[#This Row],[Propinsi]]&amp;"_"&amp;Table2[[#This Row],[Dati 2]]&amp;"_"&amp;Table2[[#This Row],[Tanggal]]</f>
        <v>JAWA BARAT_BANDUNG BARAT_44501</v>
      </c>
      <c r="C384" t="s">
        <v>4</v>
      </c>
      <c r="D384" t="s">
        <v>74</v>
      </c>
      <c r="E384">
        <v>11</v>
      </c>
      <c r="F384">
        <v>2021</v>
      </c>
      <c r="G384" s="1">
        <f>DATE(Table2[[#This Row],[Tahun]],Table2[[#This Row],[Bulan]],1)</f>
        <v>44501</v>
      </c>
      <c r="H384">
        <v>194</v>
      </c>
    </row>
    <row r="385" spans="1:8" x14ac:dyDescent="0.25">
      <c r="A385">
        <v>384</v>
      </c>
      <c r="B385" t="str">
        <f>Table2[[#This Row],[Propinsi]]&amp;"_"&amp;Table2[[#This Row],[Dati 2]]&amp;"_"&amp;Table2[[#This Row],[Tanggal]]</f>
        <v>JAWA BARAT_BANDUNG BARAT_44531</v>
      </c>
      <c r="C385" t="s">
        <v>4</v>
      </c>
      <c r="D385" t="s">
        <v>74</v>
      </c>
      <c r="E385">
        <v>12</v>
      </c>
      <c r="F385">
        <v>2021</v>
      </c>
      <c r="G385" s="1">
        <f>DATE(Table2[[#This Row],[Tahun]],Table2[[#This Row],[Bulan]],1)</f>
        <v>44531</v>
      </c>
      <c r="H385">
        <v>201</v>
      </c>
    </row>
    <row r="386" spans="1:8" x14ac:dyDescent="0.25">
      <c r="A386">
        <v>385</v>
      </c>
      <c r="B386" t="str">
        <f>Table2[[#This Row],[Propinsi]]&amp;"_"&amp;Table2[[#This Row],[Dati 2]]&amp;"_"&amp;Table2[[#This Row],[Tanggal]]</f>
        <v>JAWA BARAT_CIMAHI_44197</v>
      </c>
      <c r="C386" t="s">
        <v>4</v>
      </c>
      <c r="D386" t="s">
        <v>75</v>
      </c>
      <c r="E386">
        <v>1</v>
      </c>
      <c r="F386">
        <v>2021</v>
      </c>
      <c r="G386" s="1">
        <f>DATE(Table2[[#This Row],[Tahun]],Table2[[#This Row],[Bulan]],1)</f>
        <v>44197</v>
      </c>
      <c r="H386">
        <v>124</v>
      </c>
    </row>
    <row r="387" spans="1:8" x14ac:dyDescent="0.25">
      <c r="A387">
        <v>386</v>
      </c>
      <c r="B387" t="str">
        <f>Table2[[#This Row],[Propinsi]]&amp;"_"&amp;Table2[[#This Row],[Dati 2]]&amp;"_"&amp;Table2[[#This Row],[Tanggal]]</f>
        <v>JAWA BARAT_CIMAHI_44228</v>
      </c>
      <c r="C387" t="s">
        <v>4</v>
      </c>
      <c r="D387" t="s">
        <v>75</v>
      </c>
      <c r="E387">
        <v>2</v>
      </c>
      <c r="F387">
        <v>2021</v>
      </c>
      <c r="G387" s="1">
        <f>DATE(Table2[[#This Row],[Tahun]],Table2[[#This Row],[Bulan]],1)</f>
        <v>44228</v>
      </c>
      <c r="H387">
        <v>123</v>
      </c>
    </row>
    <row r="388" spans="1:8" x14ac:dyDescent="0.25">
      <c r="A388">
        <v>387</v>
      </c>
      <c r="B388" t="str">
        <f>Table2[[#This Row],[Propinsi]]&amp;"_"&amp;Table2[[#This Row],[Dati 2]]&amp;"_"&amp;Table2[[#This Row],[Tanggal]]</f>
        <v>JAWA BARAT_CIMAHI_44256</v>
      </c>
      <c r="C388" t="s">
        <v>4</v>
      </c>
      <c r="D388" t="s">
        <v>75</v>
      </c>
      <c r="E388">
        <v>3</v>
      </c>
      <c r="F388">
        <v>2021</v>
      </c>
      <c r="G388" s="1">
        <f>DATE(Table2[[#This Row],[Tahun]],Table2[[#This Row],[Bulan]],1)</f>
        <v>44256</v>
      </c>
      <c r="H388">
        <v>127</v>
      </c>
    </row>
    <row r="389" spans="1:8" x14ac:dyDescent="0.25">
      <c r="A389">
        <v>388</v>
      </c>
      <c r="B389" t="str">
        <f>Table2[[#This Row],[Propinsi]]&amp;"_"&amp;Table2[[#This Row],[Dati 2]]&amp;"_"&amp;Table2[[#This Row],[Tanggal]]</f>
        <v>JAWA BARAT_CIMAHI_44287</v>
      </c>
      <c r="C389" t="s">
        <v>4</v>
      </c>
      <c r="D389" t="s">
        <v>75</v>
      </c>
      <c r="E389">
        <v>4</v>
      </c>
      <c r="F389">
        <v>2021</v>
      </c>
      <c r="G389" s="1">
        <f>DATE(Table2[[#This Row],[Tahun]],Table2[[#This Row],[Bulan]],1)</f>
        <v>44287</v>
      </c>
      <c r="H389">
        <v>132</v>
      </c>
    </row>
    <row r="390" spans="1:8" x14ac:dyDescent="0.25">
      <c r="A390">
        <v>389</v>
      </c>
      <c r="B390" t="str">
        <f>Table2[[#This Row],[Propinsi]]&amp;"_"&amp;Table2[[#This Row],[Dati 2]]&amp;"_"&amp;Table2[[#This Row],[Tanggal]]</f>
        <v>JAWA BARAT_CIMAHI_44317</v>
      </c>
      <c r="C390" t="s">
        <v>4</v>
      </c>
      <c r="D390" t="s">
        <v>75</v>
      </c>
      <c r="E390">
        <v>5</v>
      </c>
      <c r="F390">
        <v>2021</v>
      </c>
      <c r="G390" s="1">
        <f>DATE(Table2[[#This Row],[Tahun]],Table2[[#This Row],[Bulan]],1)</f>
        <v>44317</v>
      </c>
      <c r="H390">
        <v>132</v>
      </c>
    </row>
    <row r="391" spans="1:8" x14ac:dyDescent="0.25">
      <c r="A391">
        <v>390</v>
      </c>
      <c r="B391" t="str">
        <f>Table2[[#This Row],[Propinsi]]&amp;"_"&amp;Table2[[#This Row],[Dati 2]]&amp;"_"&amp;Table2[[#This Row],[Tanggal]]</f>
        <v>JAWA BARAT_CIMAHI_44348</v>
      </c>
      <c r="C391" t="s">
        <v>4</v>
      </c>
      <c r="D391" t="s">
        <v>75</v>
      </c>
      <c r="E391">
        <v>6</v>
      </c>
      <c r="F391">
        <v>2021</v>
      </c>
      <c r="G391" s="1">
        <f>DATE(Table2[[#This Row],[Tahun]],Table2[[#This Row],[Bulan]],1)</f>
        <v>44348</v>
      </c>
      <c r="H391">
        <v>130</v>
      </c>
    </row>
    <row r="392" spans="1:8" x14ac:dyDescent="0.25">
      <c r="A392">
        <v>391</v>
      </c>
      <c r="B392" t="str">
        <f>Table2[[#This Row],[Propinsi]]&amp;"_"&amp;Table2[[#This Row],[Dati 2]]&amp;"_"&amp;Table2[[#This Row],[Tanggal]]</f>
        <v>JAWA BARAT_CIMAHI_44378</v>
      </c>
      <c r="C392" t="s">
        <v>4</v>
      </c>
      <c r="D392" t="s">
        <v>75</v>
      </c>
      <c r="E392">
        <v>7</v>
      </c>
      <c r="F392">
        <v>2021</v>
      </c>
      <c r="G392" s="1">
        <f>DATE(Table2[[#This Row],[Tahun]],Table2[[#This Row],[Bulan]],1)</f>
        <v>44378</v>
      </c>
      <c r="H392">
        <v>136</v>
      </c>
    </row>
    <row r="393" spans="1:8" x14ac:dyDescent="0.25">
      <c r="A393">
        <v>392</v>
      </c>
      <c r="B393" t="str">
        <f>Table2[[#This Row],[Propinsi]]&amp;"_"&amp;Table2[[#This Row],[Dati 2]]&amp;"_"&amp;Table2[[#This Row],[Tanggal]]</f>
        <v>JAWA BARAT_CIMAHI_44409</v>
      </c>
      <c r="C393" t="s">
        <v>4</v>
      </c>
      <c r="D393" t="s">
        <v>75</v>
      </c>
      <c r="E393">
        <v>8</v>
      </c>
      <c r="F393">
        <v>2021</v>
      </c>
      <c r="G393" s="1">
        <f>DATE(Table2[[#This Row],[Tahun]],Table2[[#This Row],[Bulan]],1)</f>
        <v>44409</v>
      </c>
      <c r="H393">
        <v>142</v>
      </c>
    </row>
    <row r="394" spans="1:8" x14ac:dyDescent="0.25">
      <c r="A394">
        <v>393</v>
      </c>
      <c r="B394" t="str">
        <f>Table2[[#This Row],[Propinsi]]&amp;"_"&amp;Table2[[#This Row],[Dati 2]]&amp;"_"&amp;Table2[[#This Row],[Tanggal]]</f>
        <v>JAWA BARAT_CIMAHI_44440</v>
      </c>
      <c r="C394" t="s">
        <v>4</v>
      </c>
      <c r="D394" t="s">
        <v>75</v>
      </c>
      <c r="E394">
        <v>9</v>
      </c>
      <c r="F394">
        <v>2021</v>
      </c>
      <c r="G394" s="1">
        <f>DATE(Table2[[#This Row],[Tahun]],Table2[[#This Row],[Bulan]],1)</f>
        <v>44440</v>
      </c>
      <c r="H394">
        <v>142</v>
      </c>
    </row>
    <row r="395" spans="1:8" x14ac:dyDescent="0.25">
      <c r="A395">
        <v>394</v>
      </c>
      <c r="B395" t="str">
        <f>Table2[[#This Row],[Propinsi]]&amp;"_"&amp;Table2[[#This Row],[Dati 2]]&amp;"_"&amp;Table2[[#This Row],[Tanggal]]</f>
        <v>JAWA BARAT_CIMAHI_44470</v>
      </c>
      <c r="C395" t="s">
        <v>4</v>
      </c>
      <c r="D395" t="s">
        <v>75</v>
      </c>
      <c r="E395">
        <v>10</v>
      </c>
      <c r="F395">
        <v>2021</v>
      </c>
      <c r="G395" s="1">
        <f>DATE(Table2[[#This Row],[Tahun]],Table2[[#This Row],[Bulan]],1)</f>
        <v>44470</v>
      </c>
      <c r="H395">
        <v>146</v>
      </c>
    </row>
    <row r="396" spans="1:8" x14ac:dyDescent="0.25">
      <c r="A396">
        <v>395</v>
      </c>
      <c r="B396" t="str">
        <f>Table2[[#This Row],[Propinsi]]&amp;"_"&amp;Table2[[#This Row],[Dati 2]]&amp;"_"&amp;Table2[[#This Row],[Tanggal]]</f>
        <v>JAWA BARAT_CIMAHI_44501</v>
      </c>
      <c r="C396" t="s">
        <v>4</v>
      </c>
      <c r="D396" t="s">
        <v>75</v>
      </c>
      <c r="E396">
        <v>11</v>
      </c>
      <c r="F396">
        <v>2021</v>
      </c>
      <c r="G396" s="1">
        <f>DATE(Table2[[#This Row],[Tahun]],Table2[[#This Row],[Bulan]],1)</f>
        <v>44501</v>
      </c>
      <c r="H396">
        <v>150</v>
      </c>
    </row>
    <row r="397" spans="1:8" x14ac:dyDescent="0.25">
      <c r="A397">
        <v>396</v>
      </c>
      <c r="B397" t="str">
        <f>Table2[[#This Row],[Propinsi]]&amp;"_"&amp;Table2[[#This Row],[Dati 2]]&amp;"_"&amp;Table2[[#This Row],[Tanggal]]</f>
        <v>JAWA BARAT_CIMAHI_44531</v>
      </c>
      <c r="C397" t="s">
        <v>4</v>
      </c>
      <c r="D397" t="s">
        <v>75</v>
      </c>
      <c r="E397">
        <v>12</v>
      </c>
      <c r="F397">
        <v>2021</v>
      </c>
      <c r="G397" s="1">
        <f>DATE(Table2[[#This Row],[Tahun]],Table2[[#This Row],[Bulan]],1)</f>
        <v>44531</v>
      </c>
      <c r="H397">
        <v>155</v>
      </c>
    </row>
    <row r="398" spans="1:8" x14ac:dyDescent="0.25">
      <c r="A398">
        <v>397</v>
      </c>
      <c r="B398" t="str">
        <f>Table2[[#This Row],[Propinsi]]&amp;"_"&amp;Table2[[#This Row],[Dati 2]]&amp;"_"&amp;Table2[[#This Row],[Tanggal]]</f>
        <v>JAWA BARAT_PURWAKARTA_44197</v>
      </c>
      <c r="C398" t="s">
        <v>4</v>
      </c>
      <c r="D398" t="s">
        <v>76</v>
      </c>
      <c r="E398">
        <v>1</v>
      </c>
      <c r="F398">
        <v>2021</v>
      </c>
      <c r="G398" s="1">
        <f>DATE(Table2[[#This Row],[Tahun]],Table2[[#This Row],[Bulan]],1)</f>
        <v>44197</v>
      </c>
      <c r="H398">
        <v>72</v>
      </c>
    </row>
    <row r="399" spans="1:8" x14ac:dyDescent="0.25">
      <c r="A399">
        <v>398</v>
      </c>
      <c r="B399" t="str">
        <f>Table2[[#This Row],[Propinsi]]&amp;"_"&amp;Table2[[#This Row],[Dati 2]]&amp;"_"&amp;Table2[[#This Row],[Tanggal]]</f>
        <v>JAWA BARAT_PURWAKARTA_44228</v>
      </c>
      <c r="C399" t="s">
        <v>4</v>
      </c>
      <c r="D399" t="s">
        <v>76</v>
      </c>
      <c r="E399">
        <v>2</v>
      </c>
      <c r="F399">
        <v>2021</v>
      </c>
      <c r="G399" s="1">
        <f>DATE(Table2[[#This Row],[Tahun]],Table2[[#This Row],[Bulan]],1)</f>
        <v>44228</v>
      </c>
      <c r="H399">
        <v>70</v>
      </c>
    </row>
    <row r="400" spans="1:8" x14ac:dyDescent="0.25">
      <c r="A400">
        <v>399</v>
      </c>
      <c r="B400" t="str">
        <f>Table2[[#This Row],[Propinsi]]&amp;"_"&amp;Table2[[#This Row],[Dati 2]]&amp;"_"&amp;Table2[[#This Row],[Tanggal]]</f>
        <v>JAWA BARAT_PURWAKARTA_44256</v>
      </c>
      <c r="C400" t="s">
        <v>4</v>
      </c>
      <c r="D400" t="s">
        <v>76</v>
      </c>
      <c r="E400">
        <v>3</v>
      </c>
      <c r="F400">
        <v>2021</v>
      </c>
      <c r="G400" s="1">
        <f>DATE(Table2[[#This Row],[Tahun]],Table2[[#This Row],[Bulan]],1)</f>
        <v>44256</v>
      </c>
      <c r="H400">
        <v>75</v>
      </c>
    </row>
    <row r="401" spans="1:8" x14ac:dyDescent="0.25">
      <c r="A401">
        <v>400</v>
      </c>
      <c r="B401" t="str">
        <f>Table2[[#This Row],[Propinsi]]&amp;"_"&amp;Table2[[#This Row],[Dati 2]]&amp;"_"&amp;Table2[[#This Row],[Tanggal]]</f>
        <v>JAWA BARAT_PURWAKARTA_44287</v>
      </c>
      <c r="C401" t="s">
        <v>4</v>
      </c>
      <c r="D401" t="s">
        <v>76</v>
      </c>
      <c r="E401">
        <v>4</v>
      </c>
      <c r="F401">
        <v>2021</v>
      </c>
      <c r="G401" s="1">
        <f>DATE(Table2[[#This Row],[Tahun]],Table2[[#This Row],[Bulan]],1)</f>
        <v>44287</v>
      </c>
      <c r="H401">
        <v>79</v>
      </c>
    </row>
    <row r="402" spans="1:8" x14ac:dyDescent="0.25">
      <c r="A402">
        <v>401</v>
      </c>
      <c r="B402" t="str">
        <f>Table2[[#This Row],[Propinsi]]&amp;"_"&amp;Table2[[#This Row],[Dati 2]]&amp;"_"&amp;Table2[[#This Row],[Tanggal]]</f>
        <v>JAWA BARAT_PURWAKARTA_44317</v>
      </c>
      <c r="C402" t="s">
        <v>4</v>
      </c>
      <c r="D402" t="s">
        <v>76</v>
      </c>
      <c r="E402">
        <v>5</v>
      </c>
      <c r="F402">
        <v>2021</v>
      </c>
      <c r="G402" s="1">
        <f>DATE(Table2[[#This Row],[Tahun]],Table2[[#This Row],[Bulan]],1)</f>
        <v>44317</v>
      </c>
      <c r="H402">
        <v>81</v>
      </c>
    </row>
    <row r="403" spans="1:8" x14ac:dyDescent="0.25">
      <c r="A403">
        <v>402</v>
      </c>
      <c r="B403" t="str">
        <f>Table2[[#This Row],[Propinsi]]&amp;"_"&amp;Table2[[#This Row],[Dati 2]]&amp;"_"&amp;Table2[[#This Row],[Tanggal]]</f>
        <v>JAWA BARAT_PURWAKARTA_44348</v>
      </c>
      <c r="C403" t="s">
        <v>4</v>
      </c>
      <c r="D403" t="s">
        <v>76</v>
      </c>
      <c r="E403">
        <v>6</v>
      </c>
      <c r="F403">
        <v>2021</v>
      </c>
      <c r="G403" s="1">
        <f>DATE(Table2[[#This Row],[Tahun]],Table2[[#This Row],[Bulan]],1)</f>
        <v>44348</v>
      </c>
      <c r="H403">
        <v>81</v>
      </c>
    </row>
    <row r="404" spans="1:8" x14ac:dyDescent="0.25">
      <c r="A404">
        <v>403</v>
      </c>
      <c r="B404" t="str">
        <f>Table2[[#This Row],[Propinsi]]&amp;"_"&amp;Table2[[#This Row],[Dati 2]]&amp;"_"&amp;Table2[[#This Row],[Tanggal]]</f>
        <v>JAWA BARAT_PURWAKARTA_44378</v>
      </c>
      <c r="C404" t="s">
        <v>4</v>
      </c>
      <c r="D404" t="s">
        <v>76</v>
      </c>
      <c r="E404">
        <v>7</v>
      </c>
      <c r="F404">
        <v>2021</v>
      </c>
      <c r="G404" s="1">
        <f>DATE(Table2[[#This Row],[Tahun]],Table2[[#This Row],[Bulan]],1)</f>
        <v>44378</v>
      </c>
      <c r="H404">
        <v>86</v>
      </c>
    </row>
    <row r="405" spans="1:8" x14ac:dyDescent="0.25">
      <c r="A405">
        <v>404</v>
      </c>
      <c r="B405" t="str">
        <f>Table2[[#This Row],[Propinsi]]&amp;"_"&amp;Table2[[#This Row],[Dati 2]]&amp;"_"&amp;Table2[[#This Row],[Tanggal]]</f>
        <v>JAWA BARAT_PURWAKARTA_44409</v>
      </c>
      <c r="C405" t="s">
        <v>4</v>
      </c>
      <c r="D405" t="s">
        <v>76</v>
      </c>
      <c r="E405">
        <v>8</v>
      </c>
      <c r="F405">
        <v>2021</v>
      </c>
      <c r="G405" s="1">
        <f>DATE(Table2[[#This Row],[Tahun]],Table2[[#This Row],[Bulan]],1)</f>
        <v>44409</v>
      </c>
      <c r="H405">
        <v>87</v>
      </c>
    </row>
    <row r="406" spans="1:8" x14ac:dyDescent="0.25">
      <c r="A406">
        <v>405</v>
      </c>
      <c r="B406" t="str">
        <f>Table2[[#This Row],[Propinsi]]&amp;"_"&amp;Table2[[#This Row],[Dati 2]]&amp;"_"&amp;Table2[[#This Row],[Tanggal]]</f>
        <v>JAWA BARAT_PURWAKARTA_44440</v>
      </c>
      <c r="C406" t="s">
        <v>4</v>
      </c>
      <c r="D406" t="s">
        <v>76</v>
      </c>
      <c r="E406">
        <v>9</v>
      </c>
      <c r="F406">
        <v>2021</v>
      </c>
      <c r="G406" s="1">
        <f>DATE(Table2[[#This Row],[Tahun]],Table2[[#This Row],[Bulan]],1)</f>
        <v>44440</v>
      </c>
      <c r="H406">
        <v>92</v>
      </c>
    </row>
    <row r="407" spans="1:8" x14ac:dyDescent="0.25">
      <c r="A407">
        <v>406</v>
      </c>
      <c r="B407" t="str">
        <f>Table2[[#This Row],[Propinsi]]&amp;"_"&amp;Table2[[#This Row],[Dati 2]]&amp;"_"&amp;Table2[[#This Row],[Tanggal]]</f>
        <v>JAWA BARAT_PURWAKARTA_44470</v>
      </c>
      <c r="C407" t="s">
        <v>4</v>
      </c>
      <c r="D407" t="s">
        <v>76</v>
      </c>
      <c r="E407">
        <v>10</v>
      </c>
      <c r="F407">
        <v>2021</v>
      </c>
      <c r="G407" s="1">
        <f>DATE(Table2[[#This Row],[Tahun]],Table2[[#This Row],[Bulan]],1)</f>
        <v>44470</v>
      </c>
      <c r="H407">
        <v>93</v>
      </c>
    </row>
    <row r="408" spans="1:8" x14ac:dyDescent="0.25">
      <c r="A408">
        <v>407</v>
      </c>
      <c r="B408" t="str">
        <f>Table2[[#This Row],[Propinsi]]&amp;"_"&amp;Table2[[#This Row],[Dati 2]]&amp;"_"&amp;Table2[[#This Row],[Tanggal]]</f>
        <v>JAWA BARAT_PURWAKARTA_44501</v>
      </c>
      <c r="C408" t="s">
        <v>4</v>
      </c>
      <c r="D408" t="s">
        <v>76</v>
      </c>
      <c r="E408">
        <v>11</v>
      </c>
      <c r="F408">
        <v>2021</v>
      </c>
      <c r="G408" s="1">
        <f>DATE(Table2[[#This Row],[Tahun]],Table2[[#This Row],[Bulan]],1)</f>
        <v>44501</v>
      </c>
      <c r="H408">
        <v>94</v>
      </c>
    </row>
    <row r="409" spans="1:8" x14ac:dyDescent="0.25">
      <c r="A409">
        <v>408</v>
      </c>
      <c r="B409" t="str">
        <f>Table2[[#This Row],[Propinsi]]&amp;"_"&amp;Table2[[#This Row],[Dati 2]]&amp;"_"&amp;Table2[[#This Row],[Tanggal]]</f>
        <v>JAWA BARAT_PURWAKARTA_44531</v>
      </c>
      <c r="C409" t="s">
        <v>4</v>
      </c>
      <c r="D409" t="s">
        <v>76</v>
      </c>
      <c r="E409">
        <v>12</v>
      </c>
      <c r="F409">
        <v>2021</v>
      </c>
      <c r="G409" s="1">
        <f>DATE(Table2[[#This Row],[Tahun]],Table2[[#This Row],[Bulan]],1)</f>
        <v>44531</v>
      </c>
      <c r="H409">
        <v>92</v>
      </c>
    </row>
    <row r="410" spans="1:8" x14ac:dyDescent="0.25">
      <c r="A410">
        <v>409</v>
      </c>
      <c r="B410" t="str">
        <f>Table2[[#This Row],[Propinsi]]&amp;"_"&amp;Table2[[#This Row],[Dati 2]]&amp;"_"&amp;Table2[[#This Row],[Tanggal]]</f>
        <v>JAWA BARAT_SUBANG_44197</v>
      </c>
      <c r="C410" t="s">
        <v>4</v>
      </c>
      <c r="D410" t="s">
        <v>77</v>
      </c>
      <c r="E410">
        <v>1</v>
      </c>
      <c r="F410">
        <v>2021</v>
      </c>
      <c r="G410" s="1">
        <f>DATE(Table2[[#This Row],[Tahun]],Table2[[#This Row],[Bulan]],1)</f>
        <v>44197</v>
      </c>
      <c r="H410">
        <v>130</v>
      </c>
    </row>
    <row r="411" spans="1:8" x14ac:dyDescent="0.25">
      <c r="A411">
        <v>410</v>
      </c>
      <c r="B411" t="str">
        <f>Table2[[#This Row],[Propinsi]]&amp;"_"&amp;Table2[[#This Row],[Dati 2]]&amp;"_"&amp;Table2[[#This Row],[Tanggal]]</f>
        <v>JAWA BARAT_SUBANG_44228</v>
      </c>
      <c r="C411" t="s">
        <v>4</v>
      </c>
      <c r="D411" t="s">
        <v>77</v>
      </c>
      <c r="E411">
        <v>2</v>
      </c>
      <c r="F411">
        <v>2021</v>
      </c>
      <c r="G411" s="1">
        <f>DATE(Table2[[#This Row],[Tahun]],Table2[[#This Row],[Bulan]],1)</f>
        <v>44228</v>
      </c>
      <c r="H411">
        <v>135</v>
      </c>
    </row>
    <row r="412" spans="1:8" x14ac:dyDescent="0.25">
      <c r="A412">
        <v>411</v>
      </c>
      <c r="B412" t="str">
        <f>Table2[[#This Row],[Propinsi]]&amp;"_"&amp;Table2[[#This Row],[Dati 2]]&amp;"_"&amp;Table2[[#This Row],[Tanggal]]</f>
        <v>JAWA BARAT_SUBANG_44256</v>
      </c>
      <c r="C412" t="s">
        <v>4</v>
      </c>
      <c r="D412" t="s">
        <v>77</v>
      </c>
      <c r="E412">
        <v>3</v>
      </c>
      <c r="F412">
        <v>2021</v>
      </c>
      <c r="G412" s="1">
        <f>DATE(Table2[[#This Row],[Tahun]],Table2[[#This Row],[Bulan]],1)</f>
        <v>44256</v>
      </c>
      <c r="H412">
        <v>139</v>
      </c>
    </row>
    <row r="413" spans="1:8" x14ac:dyDescent="0.25">
      <c r="A413">
        <v>412</v>
      </c>
      <c r="B413" t="str">
        <f>Table2[[#This Row],[Propinsi]]&amp;"_"&amp;Table2[[#This Row],[Dati 2]]&amp;"_"&amp;Table2[[#This Row],[Tanggal]]</f>
        <v>JAWA BARAT_SUBANG_44287</v>
      </c>
      <c r="C413" t="s">
        <v>4</v>
      </c>
      <c r="D413" t="s">
        <v>77</v>
      </c>
      <c r="E413">
        <v>4</v>
      </c>
      <c r="F413">
        <v>2021</v>
      </c>
      <c r="G413" s="1">
        <f>DATE(Table2[[#This Row],[Tahun]],Table2[[#This Row],[Bulan]],1)</f>
        <v>44287</v>
      </c>
      <c r="H413">
        <v>143</v>
      </c>
    </row>
    <row r="414" spans="1:8" x14ac:dyDescent="0.25">
      <c r="A414">
        <v>413</v>
      </c>
      <c r="B414" t="str">
        <f>Table2[[#This Row],[Propinsi]]&amp;"_"&amp;Table2[[#This Row],[Dati 2]]&amp;"_"&amp;Table2[[#This Row],[Tanggal]]</f>
        <v>JAWA BARAT_SUBANG_44317</v>
      </c>
      <c r="C414" t="s">
        <v>4</v>
      </c>
      <c r="D414" t="s">
        <v>77</v>
      </c>
      <c r="E414">
        <v>5</v>
      </c>
      <c r="F414">
        <v>2021</v>
      </c>
      <c r="G414" s="1">
        <f>DATE(Table2[[#This Row],[Tahun]],Table2[[#This Row],[Bulan]],1)</f>
        <v>44317</v>
      </c>
      <c r="H414">
        <v>149</v>
      </c>
    </row>
    <row r="415" spans="1:8" x14ac:dyDescent="0.25">
      <c r="A415">
        <v>414</v>
      </c>
      <c r="B415" t="str">
        <f>Table2[[#This Row],[Propinsi]]&amp;"_"&amp;Table2[[#This Row],[Dati 2]]&amp;"_"&amp;Table2[[#This Row],[Tanggal]]</f>
        <v>JAWA BARAT_SUBANG_44348</v>
      </c>
      <c r="C415" t="s">
        <v>4</v>
      </c>
      <c r="D415" t="s">
        <v>77</v>
      </c>
      <c r="E415">
        <v>6</v>
      </c>
      <c r="F415">
        <v>2021</v>
      </c>
      <c r="G415" s="1">
        <f>DATE(Table2[[#This Row],[Tahun]],Table2[[#This Row],[Bulan]],1)</f>
        <v>44348</v>
      </c>
      <c r="H415">
        <v>154</v>
      </c>
    </row>
    <row r="416" spans="1:8" x14ac:dyDescent="0.25">
      <c r="A416">
        <v>415</v>
      </c>
      <c r="B416" t="str">
        <f>Table2[[#This Row],[Propinsi]]&amp;"_"&amp;Table2[[#This Row],[Dati 2]]&amp;"_"&amp;Table2[[#This Row],[Tanggal]]</f>
        <v>JAWA BARAT_SUBANG_44378</v>
      </c>
      <c r="C416" t="s">
        <v>4</v>
      </c>
      <c r="D416" t="s">
        <v>77</v>
      </c>
      <c r="E416">
        <v>7</v>
      </c>
      <c r="F416">
        <v>2021</v>
      </c>
      <c r="G416" s="1">
        <f>DATE(Table2[[#This Row],[Tahun]],Table2[[#This Row],[Bulan]],1)</f>
        <v>44378</v>
      </c>
      <c r="H416">
        <v>157</v>
      </c>
    </row>
    <row r="417" spans="1:8" x14ac:dyDescent="0.25">
      <c r="A417">
        <v>416</v>
      </c>
      <c r="B417" t="str">
        <f>Table2[[#This Row],[Propinsi]]&amp;"_"&amp;Table2[[#This Row],[Dati 2]]&amp;"_"&amp;Table2[[#This Row],[Tanggal]]</f>
        <v>JAWA BARAT_SUBANG_44409</v>
      </c>
      <c r="C417" t="s">
        <v>4</v>
      </c>
      <c r="D417" t="s">
        <v>77</v>
      </c>
      <c r="E417">
        <v>8</v>
      </c>
      <c r="F417">
        <v>2021</v>
      </c>
      <c r="G417" s="1">
        <f>DATE(Table2[[#This Row],[Tahun]],Table2[[#This Row],[Bulan]],1)</f>
        <v>44409</v>
      </c>
      <c r="H417">
        <v>163</v>
      </c>
    </row>
    <row r="418" spans="1:8" x14ac:dyDescent="0.25">
      <c r="A418">
        <v>417</v>
      </c>
      <c r="B418" t="str">
        <f>Table2[[#This Row],[Propinsi]]&amp;"_"&amp;Table2[[#This Row],[Dati 2]]&amp;"_"&amp;Table2[[#This Row],[Tanggal]]</f>
        <v>JAWA BARAT_SUBANG_44440</v>
      </c>
      <c r="C418" t="s">
        <v>4</v>
      </c>
      <c r="D418" t="s">
        <v>77</v>
      </c>
      <c r="E418">
        <v>9</v>
      </c>
      <c r="F418">
        <v>2021</v>
      </c>
      <c r="G418" s="1">
        <f>DATE(Table2[[#This Row],[Tahun]],Table2[[#This Row],[Bulan]],1)</f>
        <v>44440</v>
      </c>
      <c r="H418">
        <v>163</v>
      </c>
    </row>
    <row r="419" spans="1:8" x14ac:dyDescent="0.25">
      <c r="A419">
        <v>418</v>
      </c>
      <c r="B419" t="str">
        <f>Table2[[#This Row],[Propinsi]]&amp;"_"&amp;Table2[[#This Row],[Dati 2]]&amp;"_"&amp;Table2[[#This Row],[Tanggal]]</f>
        <v>JAWA BARAT_SUBANG_44470</v>
      </c>
      <c r="C419" t="s">
        <v>4</v>
      </c>
      <c r="D419" t="s">
        <v>77</v>
      </c>
      <c r="E419">
        <v>10</v>
      </c>
      <c r="F419">
        <v>2021</v>
      </c>
      <c r="G419" s="1">
        <f>DATE(Table2[[#This Row],[Tahun]],Table2[[#This Row],[Bulan]],1)</f>
        <v>44470</v>
      </c>
      <c r="H419">
        <v>162</v>
      </c>
    </row>
    <row r="420" spans="1:8" x14ac:dyDescent="0.25">
      <c r="A420">
        <v>419</v>
      </c>
      <c r="B420" t="str">
        <f>Table2[[#This Row],[Propinsi]]&amp;"_"&amp;Table2[[#This Row],[Dati 2]]&amp;"_"&amp;Table2[[#This Row],[Tanggal]]</f>
        <v>JAWA BARAT_SUBANG_44501</v>
      </c>
      <c r="C420" t="s">
        <v>4</v>
      </c>
      <c r="D420" t="s">
        <v>77</v>
      </c>
      <c r="E420">
        <v>11</v>
      </c>
      <c r="F420">
        <v>2021</v>
      </c>
      <c r="G420" s="1">
        <f>DATE(Table2[[#This Row],[Tahun]],Table2[[#This Row],[Bulan]],1)</f>
        <v>44501</v>
      </c>
      <c r="H420">
        <v>162</v>
      </c>
    </row>
    <row r="421" spans="1:8" x14ac:dyDescent="0.25">
      <c r="A421">
        <v>420</v>
      </c>
      <c r="B421" t="str">
        <f>Table2[[#This Row],[Propinsi]]&amp;"_"&amp;Table2[[#This Row],[Dati 2]]&amp;"_"&amp;Table2[[#This Row],[Tanggal]]</f>
        <v>JAWA BARAT_SUBANG_44531</v>
      </c>
      <c r="C421" t="s">
        <v>4</v>
      </c>
      <c r="D421" t="s">
        <v>77</v>
      </c>
      <c r="E421">
        <v>12</v>
      </c>
      <c r="F421">
        <v>2021</v>
      </c>
      <c r="G421" s="1">
        <f>DATE(Table2[[#This Row],[Tahun]],Table2[[#This Row],[Bulan]],1)</f>
        <v>44531</v>
      </c>
      <c r="H421">
        <v>161</v>
      </c>
    </row>
    <row r="422" spans="1:8" x14ac:dyDescent="0.25">
      <c r="A422">
        <v>421</v>
      </c>
      <c r="B422" t="str">
        <f>Table2[[#This Row],[Propinsi]]&amp;"_"&amp;Table2[[#This Row],[Dati 2]]&amp;"_"&amp;Table2[[#This Row],[Tanggal]]</f>
        <v>JAWA BARAT_KARAWANG_44197</v>
      </c>
      <c r="C422" t="s">
        <v>4</v>
      </c>
      <c r="D422" t="s">
        <v>78</v>
      </c>
      <c r="E422">
        <v>1</v>
      </c>
      <c r="F422">
        <v>2021</v>
      </c>
      <c r="G422" s="1">
        <f>DATE(Table2[[#This Row],[Tahun]],Table2[[#This Row],[Bulan]],1)</f>
        <v>44197</v>
      </c>
      <c r="H422">
        <v>42</v>
      </c>
    </row>
    <row r="423" spans="1:8" x14ac:dyDescent="0.25">
      <c r="A423">
        <v>422</v>
      </c>
      <c r="B423" t="str">
        <f>Table2[[#This Row],[Propinsi]]&amp;"_"&amp;Table2[[#This Row],[Dati 2]]&amp;"_"&amp;Table2[[#This Row],[Tanggal]]</f>
        <v>JAWA BARAT_KARAWANG_44228</v>
      </c>
      <c r="C423" t="s">
        <v>4</v>
      </c>
      <c r="D423" t="s">
        <v>78</v>
      </c>
      <c r="E423">
        <v>2</v>
      </c>
      <c r="F423">
        <v>2021</v>
      </c>
      <c r="G423" s="1">
        <f>DATE(Table2[[#This Row],[Tahun]],Table2[[#This Row],[Bulan]],1)</f>
        <v>44228</v>
      </c>
      <c r="H423">
        <v>45</v>
      </c>
    </row>
    <row r="424" spans="1:8" x14ac:dyDescent="0.25">
      <c r="A424">
        <v>423</v>
      </c>
      <c r="B424" t="str">
        <f>Table2[[#This Row],[Propinsi]]&amp;"_"&amp;Table2[[#This Row],[Dati 2]]&amp;"_"&amp;Table2[[#This Row],[Tanggal]]</f>
        <v>JAWA BARAT_KARAWANG_44256</v>
      </c>
      <c r="C424" t="s">
        <v>4</v>
      </c>
      <c r="D424" t="s">
        <v>78</v>
      </c>
      <c r="E424">
        <v>3</v>
      </c>
      <c r="F424">
        <v>2021</v>
      </c>
      <c r="G424" s="1">
        <f>DATE(Table2[[#This Row],[Tahun]],Table2[[#This Row],[Bulan]],1)</f>
        <v>44256</v>
      </c>
      <c r="H424">
        <v>46</v>
      </c>
    </row>
    <row r="425" spans="1:8" x14ac:dyDescent="0.25">
      <c r="A425">
        <v>424</v>
      </c>
      <c r="B425" t="str">
        <f>Table2[[#This Row],[Propinsi]]&amp;"_"&amp;Table2[[#This Row],[Dati 2]]&amp;"_"&amp;Table2[[#This Row],[Tanggal]]</f>
        <v>JAWA BARAT_KARAWANG_44287</v>
      </c>
      <c r="C425" t="s">
        <v>4</v>
      </c>
      <c r="D425" t="s">
        <v>78</v>
      </c>
      <c r="E425">
        <v>4</v>
      </c>
      <c r="F425">
        <v>2021</v>
      </c>
      <c r="G425" s="1">
        <f>DATE(Table2[[#This Row],[Tahun]],Table2[[#This Row],[Bulan]],1)</f>
        <v>44287</v>
      </c>
      <c r="H425">
        <v>44</v>
      </c>
    </row>
    <row r="426" spans="1:8" x14ac:dyDescent="0.25">
      <c r="A426">
        <v>425</v>
      </c>
      <c r="B426" t="str">
        <f>Table2[[#This Row],[Propinsi]]&amp;"_"&amp;Table2[[#This Row],[Dati 2]]&amp;"_"&amp;Table2[[#This Row],[Tanggal]]</f>
        <v>JAWA BARAT_KARAWANG_44317</v>
      </c>
      <c r="C426" t="s">
        <v>4</v>
      </c>
      <c r="D426" t="s">
        <v>78</v>
      </c>
      <c r="E426">
        <v>5</v>
      </c>
      <c r="F426">
        <v>2021</v>
      </c>
      <c r="G426" s="1">
        <f>DATE(Table2[[#This Row],[Tahun]],Table2[[#This Row],[Bulan]],1)</f>
        <v>44317</v>
      </c>
      <c r="H426">
        <v>44</v>
      </c>
    </row>
    <row r="427" spans="1:8" x14ac:dyDescent="0.25">
      <c r="A427">
        <v>426</v>
      </c>
      <c r="B427" t="str">
        <f>Table2[[#This Row],[Propinsi]]&amp;"_"&amp;Table2[[#This Row],[Dati 2]]&amp;"_"&amp;Table2[[#This Row],[Tanggal]]</f>
        <v>JAWA BARAT_KARAWANG_44348</v>
      </c>
      <c r="C427" t="s">
        <v>4</v>
      </c>
      <c r="D427" t="s">
        <v>78</v>
      </c>
      <c r="E427">
        <v>6</v>
      </c>
      <c r="F427">
        <v>2021</v>
      </c>
      <c r="G427" s="1">
        <f>DATE(Table2[[#This Row],[Tahun]],Table2[[#This Row],[Bulan]],1)</f>
        <v>44348</v>
      </c>
      <c r="H427">
        <v>47</v>
      </c>
    </row>
    <row r="428" spans="1:8" x14ac:dyDescent="0.25">
      <c r="A428">
        <v>427</v>
      </c>
      <c r="B428" t="str">
        <f>Table2[[#This Row],[Propinsi]]&amp;"_"&amp;Table2[[#This Row],[Dati 2]]&amp;"_"&amp;Table2[[#This Row],[Tanggal]]</f>
        <v>JAWA BARAT_KARAWANG_44378</v>
      </c>
      <c r="C428" t="s">
        <v>4</v>
      </c>
      <c r="D428" t="s">
        <v>78</v>
      </c>
      <c r="E428">
        <v>7</v>
      </c>
      <c r="F428">
        <v>2021</v>
      </c>
      <c r="G428" s="1">
        <f>DATE(Table2[[#This Row],[Tahun]],Table2[[#This Row],[Bulan]],1)</f>
        <v>44378</v>
      </c>
      <c r="H428">
        <v>50</v>
      </c>
    </row>
    <row r="429" spans="1:8" x14ac:dyDescent="0.25">
      <c r="A429">
        <v>428</v>
      </c>
      <c r="B429" t="str">
        <f>Table2[[#This Row],[Propinsi]]&amp;"_"&amp;Table2[[#This Row],[Dati 2]]&amp;"_"&amp;Table2[[#This Row],[Tanggal]]</f>
        <v>JAWA BARAT_KARAWANG_44409</v>
      </c>
      <c r="C429" t="s">
        <v>4</v>
      </c>
      <c r="D429" t="s">
        <v>78</v>
      </c>
      <c r="E429">
        <v>8</v>
      </c>
      <c r="F429">
        <v>2021</v>
      </c>
      <c r="G429" s="1">
        <f>DATE(Table2[[#This Row],[Tahun]],Table2[[#This Row],[Bulan]],1)</f>
        <v>44409</v>
      </c>
      <c r="H429">
        <v>50</v>
      </c>
    </row>
    <row r="430" spans="1:8" x14ac:dyDescent="0.25">
      <c r="A430">
        <v>429</v>
      </c>
      <c r="B430" t="str">
        <f>Table2[[#This Row],[Propinsi]]&amp;"_"&amp;Table2[[#This Row],[Dati 2]]&amp;"_"&amp;Table2[[#This Row],[Tanggal]]</f>
        <v>JAWA BARAT_KARAWANG_44440</v>
      </c>
      <c r="C430" t="s">
        <v>4</v>
      </c>
      <c r="D430" t="s">
        <v>78</v>
      </c>
      <c r="E430">
        <v>9</v>
      </c>
      <c r="F430">
        <v>2021</v>
      </c>
      <c r="G430" s="1">
        <f>DATE(Table2[[#This Row],[Tahun]],Table2[[#This Row],[Bulan]],1)</f>
        <v>44440</v>
      </c>
      <c r="H430">
        <v>54</v>
      </c>
    </row>
    <row r="431" spans="1:8" x14ac:dyDescent="0.25">
      <c r="A431">
        <v>430</v>
      </c>
      <c r="B431" t="str">
        <f>Table2[[#This Row],[Propinsi]]&amp;"_"&amp;Table2[[#This Row],[Dati 2]]&amp;"_"&amp;Table2[[#This Row],[Tanggal]]</f>
        <v>JAWA BARAT_KARAWANG_44470</v>
      </c>
      <c r="C431" t="s">
        <v>4</v>
      </c>
      <c r="D431" t="s">
        <v>78</v>
      </c>
      <c r="E431">
        <v>10</v>
      </c>
      <c r="F431">
        <v>2021</v>
      </c>
      <c r="G431" s="1">
        <f>DATE(Table2[[#This Row],[Tahun]],Table2[[#This Row],[Bulan]],1)</f>
        <v>44470</v>
      </c>
      <c r="H431">
        <v>56</v>
      </c>
    </row>
    <row r="432" spans="1:8" x14ac:dyDescent="0.25">
      <c r="A432">
        <v>431</v>
      </c>
      <c r="B432" t="str">
        <f>Table2[[#This Row],[Propinsi]]&amp;"_"&amp;Table2[[#This Row],[Dati 2]]&amp;"_"&amp;Table2[[#This Row],[Tanggal]]</f>
        <v>JAWA BARAT_KARAWANG_44501</v>
      </c>
      <c r="C432" t="s">
        <v>4</v>
      </c>
      <c r="D432" t="s">
        <v>78</v>
      </c>
      <c r="E432">
        <v>11</v>
      </c>
      <c r="F432">
        <v>2021</v>
      </c>
      <c r="G432" s="1">
        <f>DATE(Table2[[#This Row],[Tahun]],Table2[[#This Row],[Bulan]],1)</f>
        <v>44501</v>
      </c>
      <c r="H432">
        <v>62</v>
      </c>
    </row>
    <row r="433" spans="1:8" x14ac:dyDescent="0.25">
      <c r="A433">
        <v>432</v>
      </c>
      <c r="B433" t="str">
        <f>Table2[[#This Row],[Propinsi]]&amp;"_"&amp;Table2[[#This Row],[Dati 2]]&amp;"_"&amp;Table2[[#This Row],[Tanggal]]</f>
        <v>JAWA BARAT_KARAWANG_44531</v>
      </c>
      <c r="C433" t="s">
        <v>4</v>
      </c>
      <c r="D433" t="s">
        <v>78</v>
      </c>
      <c r="E433">
        <v>12</v>
      </c>
      <c r="F433">
        <v>2021</v>
      </c>
      <c r="G433" s="1">
        <f>DATE(Table2[[#This Row],[Tahun]],Table2[[#This Row],[Bulan]],1)</f>
        <v>44531</v>
      </c>
      <c r="H433">
        <v>62</v>
      </c>
    </row>
    <row r="434" spans="1:8" x14ac:dyDescent="0.25">
      <c r="A434">
        <v>433</v>
      </c>
      <c r="B434" t="str">
        <f>Table2[[#This Row],[Propinsi]]&amp;"_"&amp;Table2[[#This Row],[Dati 2]]&amp;"_"&amp;Table2[[#This Row],[Tanggal]]</f>
        <v>BANTEN_SERANG_44197</v>
      </c>
      <c r="C434" t="s">
        <v>2</v>
      </c>
      <c r="D434" t="s">
        <v>79</v>
      </c>
      <c r="E434">
        <v>1</v>
      </c>
      <c r="F434">
        <v>2021</v>
      </c>
      <c r="G434" s="1">
        <f>DATE(Table2[[#This Row],[Tahun]],Table2[[#This Row],[Bulan]],1)</f>
        <v>44197</v>
      </c>
      <c r="H434">
        <v>19</v>
      </c>
    </row>
    <row r="435" spans="1:8" x14ac:dyDescent="0.25">
      <c r="A435">
        <v>434</v>
      </c>
      <c r="B435" t="str">
        <f>Table2[[#This Row],[Propinsi]]&amp;"_"&amp;Table2[[#This Row],[Dati 2]]&amp;"_"&amp;Table2[[#This Row],[Tanggal]]</f>
        <v>BANTEN_SERANG_44228</v>
      </c>
      <c r="C435" t="s">
        <v>2</v>
      </c>
      <c r="D435" t="s">
        <v>79</v>
      </c>
      <c r="E435">
        <v>2</v>
      </c>
      <c r="F435">
        <v>2021</v>
      </c>
      <c r="G435" s="1">
        <f>DATE(Table2[[#This Row],[Tahun]],Table2[[#This Row],[Bulan]],1)</f>
        <v>44228</v>
      </c>
      <c r="H435">
        <v>21</v>
      </c>
    </row>
    <row r="436" spans="1:8" x14ac:dyDescent="0.25">
      <c r="A436">
        <v>435</v>
      </c>
      <c r="B436" t="str">
        <f>Table2[[#This Row],[Propinsi]]&amp;"_"&amp;Table2[[#This Row],[Dati 2]]&amp;"_"&amp;Table2[[#This Row],[Tanggal]]</f>
        <v>BANTEN_SERANG_44256</v>
      </c>
      <c r="C436" t="s">
        <v>2</v>
      </c>
      <c r="D436" t="s">
        <v>79</v>
      </c>
      <c r="E436">
        <v>3</v>
      </c>
      <c r="F436">
        <v>2021</v>
      </c>
      <c r="G436" s="1">
        <f>DATE(Table2[[#This Row],[Tahun]],Table2[[#This Row],[Bulan]],1)</f>
        <v>44256</v>
      </c>
      <c r="H436">
        <v>19</v>
      </c>
    </row>
    <row r="437" spans="1:8" x14ac:dyDescent="0.25">
      <c r="A437">
        <v>436</v>
      </c>
      <c r="B437" t="str">
        <f>Table2[[#This Row],[Propinsi]]&amp;"_"&amp;Table2[[#This Row],[Dati 2]]&amp;"_"&amp;Table2[[#This Row],[Tanggal]]</f>
        <v>BANTEN_SERANG_44287</v>
      </c>
      <c r="C437" t="s">
        <v>2</v>
      </c>
      <c r="D437" t="s">
        <v>79</v>
      </c>
      <c r="E437">
        <v>4</v>
      </c>
      <c r="F437">
        <v>2021</v>
      </c>
      <c r="G437" s="1">
        <f>DATE(Table2[[#This Row],[Tahun]],Table2[[#This Row],[Bulan]],1)</f>
        <v>44287</v>
      </c>
      <c r="H437">
        <v>25</v>
      </c>
    </row>
    <row r="438" spans="1:8" x14ac:dyDescent="0.25">
      <c r="A438">
        <v>437</v>
      </c>
      <c r="B438" t="str">
        <f>Table2[[#This Row],[Propinsi]]&amp;"_"&amp;Table2[[#This Row],[Dati 2]]&amp;"_"&amp;Table2[[#This Row],[Tanggal]]</f>
        <v>BANTEN_SERANG_44317</v>
      </c>
      <c r="C438" t="s">
        <v>2</v>
      </c>
      <c r="D438" t="s">
        <v>79</v>
      </c>
      <c r="E438">
        <v>5</v>
      </c>
      <c r="F438">
        <v>2021</v>
      </c>
      <c r="G438" s="1">
        <f>DATE(Table2[[#This Row],[Tahun]],Table2[[#This Row],[Bulan]],1)</f>
        <v>44317</v>
      </c>
      <c r="H438">
        <v>30</v>
      </c>
    </row>
    <row r="439" spans="1:8" x14ac:dyDescent="0.25">
      <c r="A439">
        <v>438</v>
      </c>
      <c r="B439" t="str">
        <f>Table2[[#This Row],[Propinsi]]&amp;"_"&amp;Table2[[#This Row],[Dati 2]]&amp;"_"&amp;Table2[[#This Row],[Tanggal]]</f>
        <v>BANTEN_SERANG_44348</v>
      </c>
      <c r="C439" t="s">
        <v>2</v>
      </c>
      <c r="D439" t="s">
        <v>79</v>
      </c>
      <c r="E439">
        <v>6</v>
      </c>
      <c r="F439">
        <v>2021</v>
      </c>
      <c r="G439" s="1">
        <f>DATE(Table2[[#This Row],[Tahun]],Table2[[#This Row],[Bulan]],1)</f>
        <v>44348</v>
      </c>
      <c r="H439">
        <v>33</v>
      </c>
    </row>
    <row r="440" spans="1:8" x14ac:dyDescent="0.25">
      <c r="A440">
        <v>439</v>
      </c>
      <c r="B440" t="str">
        <f>Table2[[#This Row],[Propinsi]]&amp;"_"&amp;Table2[[#This Row],[Dati 2]]&amp;"_"&amp;Table2[[#This Row],[Tanggal]]</f>
        <v>BANTEN_SERANG_44378</v>
      </c>
      <c r="C440" t="s">
        <v>2</v>
      </c>
      <c r="D440" t="s">
        <v>79</v>
      </c>
      <c r="E440">
        <v>7</v>
      </c>
      <c r="F440">
        <v>2021</v>
      </c>
      <c r="G440" s="1">
        <f>DATE(Table2[[#This Row],[Tahun]],Table2[[#This Row],[Bulan]],1)</f>
        <v>44378</v>
      </c>
      <c r="H440">
        <v>38</v>
      </c>
    </row>
    <row r="441" spans="1:8" x14ac:dyDescent="0.25">
      <c r="A441">
        <v>440</v>
      </c>
      <c r="B441" t="str">
        <f>Table2[[#This Row],[Propinsi]]&amp;"_"&amp;Table2[[#This Row],[Dati 2]]&amp;"_"&amp;Table2[[#This Row],[Tanggal]]</f>
        <v>BANTEN_SERANG_44409</v>
      </c>
      <c r="C441" t="s">
        <v>2</v>
      </c>
      <c r="D441" t="s">
        <v>79</v>
      </c>
      <c r="E441">
        <v>8</v>
      </c>
      <c r="F441">
        <v>2021</v>
      </c>
      <c r="G441" s="1">
        <f>DATE(Table2[[#This Row],[Tahun]],Table2[[#This Row],[Bulan]],1)</f>
        <v>44409</v>
      </c>
      <c r="H441">
        <v>41</v>
      </c>
    </row>
    <row r="442" spans="1:8" x14ac:dyDescent="0.25">
      <c r="A442">
        <v>441</v>
      </c>
      <c r="B442" t="str">
        <f>Table2[[#This Row],[Propinsi]]&amp;"_"&amp;Table2[[#This Row],[Dati 2]]&amp;"_"&amp;Table2[[#This Row],[Tanggal]]</f>
        <v>BANTEN_SERANG_44440</v>
      </c>
      <c r="C442" t="s">
        <v>2</v>
      </c>
      <c r="D442" t="s">
        <v>79</v>
      </c>
      <c r="E442">
        <v>9</v>
      </c>
      <c r="F442">
        <v>2021</v>
      </c>
      <c r="G442" s="1">
        <f>DATE(Table2[[#This Row],[Tahun]],Table2[[#This Row],[Bulan]],1)</f>
        <v>44440</v>
      </c>
      <c r="H442">
        <v>47</v>
      </c>
    </row>
    <row r="443" spans="1:8" x14ac:dyDescent="0.25">
      <c r="A443">
        <v>442</v>
      </c>
      <c r="B443" t="str">
        <f>Table2[[#This Row],[Propinsi]]&amp;"_"&amp;Table2[[#This Row],[Dati 2]]&amp;"_"&amp;Table2[[#This Row],[Tanggal]]</f>
        <v>BANTEN_SERANG_44470</v>
      </c>
      <c r="C443" t="s">
        <v>2</v>
      </c>
      <c r="D443" t="s">
        <v>79</v>
      </c>
      <c r="E443">
        <v>10</v>
      </c>
      <c r="F443">
        <v>2021</v>
      </c>
      <c r="G443" s="1">
        <f>DATE(Table2[[#This Row],[Tahun]],Table2[[#This Row],[Bulan]],1)</f>
        <v>44470</v>
      </c>
      <c r="H443">
        <v>53</v>
      </c>
    </row>
    <row r="444" spans="1:8" x14ac:dyDescent="0.25">
      <c r="A444">
        <v>443</v>
      </c>
      <c r="B444" t="str">
        <f>Table2[[#This Row],[Propinsi]]&amp;"_"&amp;Table2[[#This Row],[Dati 2]]&amp;"_"&amp;Table2[[#This Row],[Tanggal]]</f>
        <v>BANTEN_SERANG_44501</v>
      </c>
      <c r="C444" t="s">
        <v>2</v>
      </c>
      <c r="D444" t="s">
        <v>79</v>
      </c>
      <c r="E444">
        <v>11</v>
      </c>
      <c r="F444">
        <v>2021</v>
      </c>
      <c r="G444" s="1">
        <f>DATE(Table2[[#This Row],[Tahun]],Table2[[#This Row],[Bulan]],1)</f>
        <v>44501</v>
      </c>
      <c r="H444">
        <v>60</v>
      </c>
    </row>
    <row r="445" spans="1:8" x14ac:dyDescent="0.25">
      <c r="A445">
        <v>444</v>
      </c>
      <c r="B445" t="str">
        <f>Table2[[#This Row],[Propinsi]]&amp;"_"&amp;Table2[[#This Row],[Dati 2]]&amp;"_"&amp;Table2[[#This Row],[Tanggal]]</f>
        <v>BANTEN_SERANG_44531</v>
      </c>
      <c r="C445" t="s">
        <v>2</v>
      </c>
      <c r="D445" t="s">
        <v>79</v>
      </c>
      <c r="E445">
        <v>12</v>
      </c>
      <c r="F445">
        <v>2021</v>
      </c>
      <c r="G445" s="1">
        <f>DATE(Table2[[#This Row],[Tahun]],Table2[[#This Row],[Bulan]],1)</f>
        <v>44531</v>
      </c>
      <c r="H445">
        <v>61</v>
      </c>
    </row>
    <row r="446" spans="1:8" x14ac:dyDescent="0.25">
      <c r="A446">
        <v>445</v>
      </c>
      <c r="B446" t="str">
        <f>Table2[[#This Row],[Propinsi]]&amp;"_"&amp;Table2[[#This Row],[Dati 2]]&amp;"_"&amp;Table2[[#This Row],[Tanggal]]</f>
        <v>BANTEN_PANDEGLANG_44197</v>
      </c>
      <c r="C446" t="s">
        <v>2</v>
      </c>
      <c r="D446" t="s">
        <v>80</v>
      </c>
      <c r="E446">
        <v>1</v>
      </c>
      <c r="F446">
        <v>2021</v>
      </c>
      <c r="G446" s="1">
        <f>DATE(Table2[[#This Row],[Tahun]],Table2[[#This Row],[Bulan]],1)</f>
        <v>44197</v>
      </c>
      <c r="H446">
        <v>57</v>
      </c>
    </row>
    <row r="447" spans="1:8" x14ac:dyDescent="0.25">
      <c r="A447">
        <v>446</v>
      </c>
      <c r="B447" t="str">
        <f>Table2[[#This Row],[Propinsi]]&amp;"_"&amp;Table2[[#This Row],[Dati 2]]&amp;"_"&amp;Table2[[#This Row],[Tanggal]]</f>
        <v>BANTEN_PANDEGLANG_44228</v>
      </c>
      <c r="C447" t="s">
        <v>2</v>
      </c>
      <c r="D447" t="s">
        <v>80</v>
      </c>
      <c r="E447">
        <v>2</v>
      </c>
      <c r="F447">
        <v>2021</v>
      </c>
      <c r="G447" s="1">
        <f>DATE(Table2[[#This Row],[Tahun]],Table2[[#This Row],[Bulan]],1)</f>
        <v>44228</v>
      </c>
      <c r="H447">
        <v>62</v>
      </c>
    </row>
    <row r="448" spans="1:8" x14ac:dyDescent="0.25">
      <c r="A448">
        <v>447</v>
      </c>
      <c r="B448" t="str">
        <f>Table2[[#This Row],[Propinsi]]&amp;"_"&amp;Table2[[#This Row],[Dati 2]]&amp;"_"&amp;Table2[[#This Row],[Tanggal]]</f>
        <v>BANTEN_PANDEGLANG_44256</v>
      </c>
      <c r="C448" t="s">
        <v>2</v>
      </c>
      <c r="D448" t="s">
        <v>80</v>
      </c>
      <c r="E448">
        <v>3</v>
      </c>
      <c r="F448">
        <v>2021</v>
      </c>
      <c r="G448" s="1">
        <f>DATE(Table2[[#This Row],[Tahun]],Table2[[#This Row],[Bulan]],1)</f>
        <v>44256</v>
      </c>
      <c r="H448">
        <v>65</v>
      </c>
    </row>
    <row r="449" spans="1:8" x14ac:dyDescent="0.25">
      <c r="A449">
        <v>448</v>
      </c>
      <c r="B449" t="str">
        <f>Table2[[#This Row],[Propinsi]]&amp;"_"&amp;Table2[[#This Row],[Dati 2]]&amp;"_"&amp;Table2[[#This Row],[Tanggal]]</f>
        <v>BANTEN_PANDEGLANG_44287</v>
      </c>
      <c r="C449" t="s">
        <v>2</v>
      </c>
      <c r="D449" t="s">
        <v>80</v>
      </c>
      <c r="E449">
        <v>4</v>
      </c>
      <c r="F449">
        <v>2021</v>
      </c>
      <c r="G449" s="1">
        <f>DATE(Table2[[#This Row],[Tahun]],Table2[[#This Row],[Bulan]],1)</f>
        <v>44287</v>
      </c>
      <c r="H449">
        <v>71</v>
      </c>
    </row>
    <row r="450" spans="1:8" x14ac:dyDescent="0.25">
      <c r="A450">
        <v>449</v>
      </c>
      <c r="B450" t="str">
        <f>Table2[[#This Row],[Propinsi]]&amp;"_"&amp;Table2[[#This Row],[Dati 2]]&amp;"_"&amp;Table2[[#This Row],[Tanggal]]</f>
        <v>BANTEN_PANDEGLANG_44317</v>
      </c>
      <c r="C450" t="s">
        <v>2</v>
      </c>
      <c r="D450" t="s">
        <v>80</v>
      </c>
      <c r="E450">
        <v>5</v>
      </c>
      <c r="F450">
        <v>2021</v>
      </c>
      <c r="G450" s="1">
        <f>DATE(Table2[[#This Row],[Tahun]],Table2[[#This Row],[Bulan]],1)</f>
        <v>44317</v>
      </c>
      <c r="H450">
        <v>75</v>
      </c>
    </row>
    <row r="451" spans="1:8" x14ac:dyDescent="0.25">
      <c r="A451">
        <v>450</v>
      </c>
      <c r="B451" t="str">
        <f>Table2[[#This Row],[Propinsi]]&amp;"_"&amp;Table2[[#This Row],[Dati 2]]&amp;"_"&amp;Table2[[#This Row],[Tanggal]]</f>
        <v>BANTEN_PANDEGLANG_44348</v>
      </c>
      <c r="C451" t="s">
        <v>2</v>
      </c>
      <c r="D451" t="s">
        <v>80</v>
      </c>
      <c r="E451">
        <v>6</v>
      </c>
      <c r="F451">
        <v>2021</v>
      </c>
      <c r="G451" s="1">
        <f>DATE(Table2[[#This Row],[Tahun]],Table2[[#This Row],[Bulan]],1)</f>
        <v>44348</v>
      </c>
      <c r="H451">
        <v>76</v>
      </c>
    </row>
    <row r="452" spans="1:8" x14ac:dyDescent="0.25">
      <c r="A452">
        <v>451</v>
      </c>
      <c r="B452" t="str">
        <f>Table2[[#This Row],[Propinsi]]&amp;"_"&amp;Table2[[#This Row],[Dati 2]]&amp;"_"&amp;Table2[[#This Row],[Tanggal]]</f>
        <v>BANTEN_PANDEGLANG_44378</v>
      </c>
      <c r="C452" t="s">
        <v>2</v>
      </c>
      <c r="D452" t="s">
        <v>80</v>
      </c>
      <c r="E452">
        <v>7</v>
      </c>
      <c r="F452">
        <v>2021</v>
      </c>
      <c r="G452" s="1">
        <f>DATE(Table2[[#This Row],[Tahun]],Table2[[#This Row],[Bulan]],1)</f>
        <v>44378</v>
      </c>
      <c r="H452">
        <v>78</v>
      </c>
    </row>
    <row r="453" spans="1:8" x14ac:dyDescent="0.25">
      <c r="A453">
        <v>452</v>
      </c>
      <c r="B453" t="str">
        <f>Table2[[#This Row],[Propinsi]]&amp;"_"&amp;Table2[[#This Row],[Dati 2]]&amp;"_"&amp;Table2[[#This Row],[Tanggal]]</f>
        <v>BANTEN_PANDEGLANG_44409</v>
      </c>
      <c r="C453" t="s">
        <v>2</v>
      </c>
      <c r="D453" t="s">
        <v>80</v>
      </c>
      <c r="E453">
        <v>8</v>
      </c>
      <c r="F453">
        <v>2021</v>
      </c>
      <c r="G453" s="1">
        <f>DATE(Table2[[#This Row],[Tahun]],Table2[[#This Row],[Bulan]],1)</f>
        <v>44409</v>
      </c>
      <c r="H453">
        <v>82</v>
      </c>
    </row>
    <row r="454" spans="1:8" x14ac:dyDescent="0.25">
      <c r="A454">
        <v>453</v>
      </c>
      <c r="B454" t="str">
        <f>Table2[[#This Row],[Propinsi]]&amp;"_"&amp;Table2[[#This Row],[Dati 2]]&amp;"_"&amp;Table2[[#This Row],[Tanggal]]</f>
        <v>BANTEN_PANDEGLANG_44440</v>
      </c>
      <c r="C454" t="s">
        <v>2</v>
      </c>
      <c r="D454" t="s">
        <v>80</v>
      </c>
      <c r="E454">
        <v>9</v>
      </c>
      <c r="F454">
        <v>2021</v>
      </c>
      <c r="G454" s="1">
        <f>DATE(Table2[[#This Row],[Tahun]],Table2[[#This Row],[Bulan]],1)</f>
        <v>44440</v>
      </c>
      <c r="H454">
        <v>84</v>
      </c>
    </row>
    <row r="455" spans="1:8" x14ac:dyDescent="0.25">
      <c r="A455">
        <v>454</v>
      </c>
      <c r="B455" t="str">
        <f>Table2[[#This Row],[Propinsi]]&amp;"_"&amp;Table2[[#This Row],[Dati 2]]&amp;"_"&amp;Table2[[#This Row],[Tanggal]]</f>
        <v>BANTEN_PANDEGLANG_44470</v>
      </c>
      <c r="C455" t="s">
        <v>2</v>
      </c>
      <c r="D455" t="s">
        <v>80</v>
      </c>
      <c r="E455">
        <v>10</v>
      </c>
      <c r="F455">
        <v>2021</v>
      </c>
      <c r="G455" s="1">
        <f>DATE(Table2[[#This Row],[Tahun]],Table2[[#This Row],[Bulan]],1)</f>
        <v>44470</v>
      </c>
      <c r="H455">
        <v>88</v>
      </c>
    </row>
    <row r="456" spans="1:8" x14ac:dyDescent="0.25">
      <c r="A456">
        <v>455</v>
      </c>
      <c r="B456" t="str">
        <f>Table2[[#This Row],[Propinsi]]&amp;"_"&amp;Table2[[#This Row],[Dati 2]]&amp;"_"&amp;Table2[[#This Row],[Tanggal]]</f>
        <v>BANTEN_PANDEGLANG_44501</v>
      </c>
      <c r="C456" t="s">
        <v>2</v>
      </c>
      <c r="D456" t="s">
        <v>80</v>
      </c>
      <c r="E456">
        <v>11</v>
      </c>
      <c r="F456">
        <v>2021</v>
      </c>
      <c r="G456" s="1">
        <f>DATE(Table2[[#This Row],[Tahun]],Table2[[#This Row],[Bulan]],1)</f>
        <v>44501</v>
      </c>
      <c r="H456">
        <v>87</v>
      </c>
    </row>
    <row r="457" spans="1:8" x14ac:dyDescent="0.25">
      <c r="A457">
        <v>456</v>
      </c>
      <c r="B457" t="str">
        <f>Table2[[#This Row],[Propinsi]]&amp;"_"&amp;Table2[[#This Row],[Dati 2]]&amp;"_"&amp;Table2[[#This Row],[Tanggal]]</f>
        <v>BANTEN_PANDEGLANG_44531</v>
      </c>
      <c r="C457" t="s">
        <v>2</v>
      </c>
      <c r="D457" t="s">
        <v>80</v>
      </c>
      <c r="E457">
        <v>12</v>
      </c>
      <c r="F457">
        <v>2021</v>
      </c>
      <c r="G457" s="1">
        <f>DATE(Table2[[#This Row],[Tahun]],Table2[[#This Row],[Bulan]],1)</f>
        <v>44531</v>
      </c>
      <c r="H457">
        <v>89</v>
      </c>
    </row>
    <row r="458" spans="1:8" x14ac:dyDescent="0.25">
      <c r="A458">
        <v>457</v>
      </c>
      <c r="B458" t="str">
        <f>Table2[[#This Row],[Propinsi]]&amp;"_"&amp;Table2[[#This Row],[Dati 2]]&amp;"_"&amp;Table2[[#This Row],[Tanggal]]</f>
        <v>BANTEN_LEBAK_44197</v>
      </c>
      <c r="C458" t="s">
        <v>2</v>
      </c>
      <c r="D458" t="s">
        <v>81</v>
      </c>
      <c r="E458">
        <v>1</v>
      </c>
      <c r="F458">
        <v>2021</v>
      </c>
      <c r="G458" s="1">
        <f>DATE(Table2[[#This Row],[Tahun]],Table2[[#This Row],[Bulan]],1)</f>
        <v>44197</v>
      </c>
      <c r="H458">
        <v>18</v>
      </c>
    </row>
    <row r="459" spans="1:8" x14ac:dyDescent="0.25">
      <c r="A459">
        <v>458</v>
      </c>
      <c r="B459" t="str">
        <f>Table2[[#This Row],[Propinsi]]&amp;"_"&amp;Table2[[#This Row],[Dati 2]]&amp;"_"&amp;Table2[[#This Row],[Tanggal]]</f>
        <v>BANTEN_LEBAK_44228</v>
      </c>
      <c r="C459" t="s">
        <v>2</v>
      </c>
      <c r="D459" t="s">
        <v>81</v>
      </c>
      <c r="E459">
        <v>2</v>
      </c>
      <c r="F459">
        <v>2021</v>
      </c>
      <c r="G459" s="1">
        <f>DATE(Table2[[#This Row],[Tahun]],Table2[[#This Row],[Bulan]],1)</f>
        <v>44228</v>
      </c>
      <c r="H459">
        <v>20</v>
      </c>
    </row>
    <row r="460" spans="1:8" x14ac:dyDescent="0.25">
      <c r="A460">
        <v>459</v>
      </c>
      <c r="B460" t="str">
        <f>Table2[[#This Row],[Propinsi]]&amp;"_"&amp;Table2[[#This Row],[Dati 2]]&amp;"_"&amp;Table2[[#This Row],[Tanggal]]</f>
        <v>BANTEN_LEBAK_44256</v>
      </c>
      <c r="C460" t="s">
        <v>2</v>
      </c>
      <c r="D460" t="s">
        <v>81</v>
      </c>
      <c r="E460">
        <v>3</v>
      </c>
      <c r="F460">
        <v>2021</v>
      </c>
      <c r="G460" s="1">
        <f>DATE(Table2[[#This Row],[Tahun]],Table2[[#This Row],[Bulan]],1)</f>
        <v>44256</v>
      </c>
      <c r="H460">
        <v>23</v>
      </c>
    </row>
    <row r="461" spans="1:8" x14ac:dyDescent="0.25">
      <c r="A461">
        <v>460</v>
      </c>
      <c r="B461" t="str">
        <f>Table2[[#This Row],[Propinsi]]&amp;"_"&amp;Table2[[#This Row],[Dati 2]]&amp;"_"&amp;Table2[[#This Row],[Tanggal]]</f>
        <v>BANTEN_LEBAK_44287</v>
      </c>
      <c r="C461" t="s">
        <v>2</v>
      </c>
      <c r="D461" t="s">
        <v>81</v>
      </c>
      <c r="E461">
        <v>4</v>
      </c>
      <c r="F461">
        <v>2021</v>
      </c>
      <c r="G461" s="1">
        <f>DATE(Table2[[#This Row],[Tahun]],Table2[[#This Row],[Bulan]],1)</f>
        <v>44287</v>
      </c>
      <c r="H461">
        <v>27</v>
      </c>
    </row>
    <row r="462" spans="1:8" x14ac:dyDescent="0.25">
      <c r="A462">
        <v>461</v>
      </c>
      <c r="B462" t="str">
        <f>Table2[[#This Row],[Propinsi]]&amp;"_"&amp;Table2[[#This Row],[Dati 2]]&amp;"_"&amp;Table2[[#This Row],[Tanggal]]</f>
        <v>BANTEN_LEBAK_44317</v>
      </c>
      <c r="C462" t="s">
        <v>2</v>
      </c>
      <c r="D462" t="s">
        <v>81</v>
      </c>
      <c r="E462">
        <v>5</v>
      </c>
      <c r="F462">
        <v>2021</v>
      </c>
      <c r="G462" s="1">
        <f>DATE(Table2[[#This Row],[Tahun]],Table2[[#This Row],[Bulan]],1)</f>
        <v>44317</v>
      </c>
      <c r="H462">
        <v>28</v>
      </c>
    </row>
    <row r="463" spans="1:8" x14ac:dyDescent="0.25">
      <c r="A463">
        <v>462</v>
      </c>
      <c r="B463" t="str">
        <f>Table2[[#This Row],[Propinsi]]&amp;"_"&amp;Table2[[#This Row],[Dati 2]]&amp;"_"&amp;Table2[[#This Row],[Tanggal]]</f>
        <v>BANTEN_LEBAK_44348</v>
      </c>
      <c r="C463" t="s">
        <v>2</v>
      </c>
      <c r="D463" t="s">
        <v>81</v>
      </c>
      <c r="E463">
        <v>6</v>
      </c>
      <c r="F463">
        <v>2021</v>
      </c>
      <c r="G463" s="1">
        <f>DATE(Table2[[#This Row],[Tahun]],Table2[[#This Row],[Bulan]],1)</f>
        <v>44348</v>
      </c>
      <c r="H463">
        <v>30</v>
      </c>
    </row>
    <row r="464" spans="1:8" x14ac:dyDescent="0.25">
      <c r="A464">
        <v>463</v>
      </c>
      <c r="B464" t="str">
        <f>Table2[[#This Row],[Propinsi]]&amp;"_"&amp;Table2[[#This Row],[Dati 2]]&amp;"_"&amp;Table2[[#This Row],[Tanggal]]</f>
        <v>BANTEN_LEBAK_44378</v>
      </c>
      <c r="C464" t="s">
        <v>2</v>
      </c>
      <c r="D464" t="s">
        <v>81</v>
      </c>
      <c r="E464">
        <v>7</v>
      </c>
      <c r="F464">
        <v>2021</v>
      </c>
      <c r="G464" s="1">
        <f>DATE(Table2[[#This Row],[Tahun]],Table2[[#This Row],[Bulan]],1)</f>
        <v>44378</v>
      </c>
      <c r="H464">
        <v>32</v>
      </c>
    </row>
    <row r="465" spans="1:8" x14ac:dyDescent="0.25">
      <c r="A465">
        <v>464</v>
      </c>
      <c r="B465" t="str">
        <f>Table2[[#This Row],[Propinsi]]&amp;"_"&amp;Table2[[#This Row],[Dati 2]]&amp;"_"&amp;Table2[[#This Row],[Tanggal]]</f>
        <v>BANTEN_LEBAK_44409</v>
      </c>
      <c r="C465" t="s">
        <v>2</v>
      </c>
      <c r="D465" t="s">
        <v>81</v>
      </c>
      <c r="E465">
        <v>8</v>
      </c>
      <c r="F465">
        <v>2021</v>
      </c>
      <c r="G465" s="1">
        <f>DATE(Table2[[#This Row],[Tahun]],Table2[[#This Row],[Bulan]],1)</f>
        <v>44409</v>
      </c>
      <c r="H465">
        <v>34</v>
      </c>
    </row>
    <row r="466" spans="1:8" x14ac:dyDescent="0.25">
      <c r="A466">
        <v>465</v>
      </c>
      <c r="B466" t="str">
        <f>Table2[[#This Row],[Propinsi]]&amp;"_"&amp;Table2[[#This Row],[Dati 2]]&amp;"_"&amp;Table2[[#This Row],[Tanggal]]</f>
        <v>BANTEN_LEBAK_44440</v>
      </c>
      <c r="C466" t="s">
        <v>2</v>
      </c>
      <c r="D466" t="s">
        <v>81</v>
      </c>
      <c r="E466">
        <v>9</v>
      </c>
      <c r="F466">
        <v>2021</v>
      </c>
      <c r="G466" s="1">
        <f>DATE(Table2[[#This Row],[Tahun]],Table2[[#This Row],[Bulan]],1)</f>
        <v>44440</v>
      </c>
      <c r="H466">
        <v>40</v>
      </c>
    </row>
    <row r="467" spans="1:8" x14ac:dyDescent="0.25">
      <c r="A467">
        <v>466</v>
      </c>
      <c r="B467" t="str">
        <f>Table2[[#This Row],[Propinsi]]&amp;"_"&amp;Table2[[#This Row],[Dati 2]]&amp;"_"&amp;Table2[[#This Row],[Tanggal]]</f>
        <v>BANTEN_LEBAK_44470</v>
      </c>
      <c r="C467" t="s">
        <v>2</v>
      </c>
      <c r="D467" t="s">
        <v>81</v>
      </c>
      <c r="E467">
        <v>10</v>
      </c>
      <c r="F467">
        <v>2021</v>
      </c>
      <c r="G467" s="1">
        <f>DATE(Table2[[#This Row],[Tahun]],Table2[[#This Row],[Bulan]],1)</f>
        <v>44470</v>
      </c>
      <c r="H467">
        <v>39</v>
      </c>
    </row>
    <row r="468" spans="1:8" x14ac:dyDescent="0.25">
      <c r="A468">
        <v>467</v>
      </c>
      <c r="B468" t="str">
        <f>Table2[[#This Row],[Propinsi]]&amp;"_"&amp;Table2[[#This Row],[Dati 2]]&amp;"_"&amp;Table2[[#This Row],[Tanggal]]</f>
        <v>BANTEN_LEBAK_44501</v>
      </c>
      <c r="C468" t="s">
        <v>2</v>
      </c>
      <c r="D468" t="s">
        <v>81</v>
      </c>
      <c r="E468">
        <v>11</v>
      </c>
      <c r="F468">
        <v>2021</v>
      </c>
      <c r="G468" s="1">
        <f>DATE(Table2[[#This Row],[Tahun]],Table2[[#This Row],[Bulan]],1)</f>
        <v>44501</v>
      </c>
      <c r="H468">
        <v>44</v>
      </c>
    </row>
    <row r="469" spans="1:8" x14ac:dyDescent="0.25">
      <c r="A469">
        <v>468</v>
      </c>
      <c r="B469" t="str">
        <f>Table2[[#This Row],[Propinsi]]&amp;"_"&amp;Table2[[#This Row],[Dati 2]]&amp;"_"&amp;Table2[[#This Row],[Tanggal]]</f>
        <v>BANTEN_LEBAK_44531</v>
      </c>
      <c r="C469" t="s">
        <v>2</v>
      </c>
      <c r="D469" t="s">
        <v>81</v>
      </c>
      <c r="E469">
        <v>12</v>
      </c>
      <c r="F469">
        <v>2021</v>
      </c>
      <c r="G469" s="1">
        <f>DATE(Table2[[#This Row],[Tahun]],Table2[[#This Row],[Bulan]],1)</f>
        <v>44531</v>
      </c>
      <c r="H469">
        <v>46</v>
      </c>
    </row>
    <row r="470" spans="1:8" x14ac:dyDescent="0.25">
      <c r="A470">
        <v>469</v>
      </c>
      <c r="B470" t="str">
        <f>Table2[[#This Row],[Propinsi]]&amp;"_"&amp;Table2[[#This Row],[Dati 2]]&amp;"_"&amp;Table2[[#This Row],[Tanggal]]</f>
        <v>BANTEN_CILEGON_44197</v>
      </c>
      <c r="C470" t="s">
        <v>2</v>
      </c>
      <c r="D470" t="s">
        <v>82</v>
      </c>
      <c r="E470">
        <v>1</v>
      </c>
      <c r="F470">
        <v>2021</v>
      </c>
      <c r="G470" s="1">
        <f>DATE(Table2[[#This Row],[Tahun]],Table2[[#This Row],[Bulan]],1)</f>
        <v>44197</v>
      </c>
      <c r="H470">
        <v>24</v>
      </c>
    </row>
    <row r="471" spans="1:8" x14ac:dyDescent="0.25">
      <c r="A471">
        <v>470</v>
      </c>
      <c r="B471" t="str">
        <f>Table2[[#This Row],[Propinsi]]&amp;"_"&amp;Table2[[#This Row],[Dati 2]]&amp;"_"&amp;Table2[[#This Row],[Tanggal]]</f>
        <v>BANTEN_CILEGON_44228</v>
      </c>
      <c r="C471" t="s">
        <v>2</v>
      </c>
      <c r="D471" t="s">
        <v>82</v>
      </c>
      <c r="E471">
        <v>2</v>
      </c>
      <c r="F471">
        <v>2021</v>
      </c>
      <c r="G471" s="1">
        <f>DATE(Table2[[#This Row],[Tahun]],Table2[[#This Row],[Bulan]],1)</f>
        <v>44228</v>
      </c>
      <c r="H471">
        <v>30</v>
      </c>
    </row>
    <row r="472" spans="1:8" x14ac:dyDescent="0.25">
      <c r="A472">
        <v>471</v>
      </c>
      <c r="B472" t="str">
        <f>Table2[[#This Row],[Propinsi]]&amp;"_"&amp;Table2[[#This Row],[Dati 2]]&amp;"_"&amp;Table2[[#This Row],[Tanggal]]</f>
        <v>BANTEN_CILEGON_44256</v>
      </c>
      <c r="C472" t="s">
        <v>2</v>
      </c>
      <c r="D472" t="s">
        <v>82</v>
      </c>
      <c r="E472">
        <v>3</v>
      </c>
      <c r="F472">
        <v>2021</v>
      </c>
      <c r="G472" s="1">
        <f>DATE(Table2[[#This Row],[Tahun]],Table2[[#This Row],[Bulan]],1)</f>
        <v>44256</v>
      </c>
      <c r="H472">
        <v>29</v>
      </c>
    </row>
    <row r="473" spans="1:8" x14ac:dyDescent="0.25">
      <c r="A473">
        <v>472</v>
      </c>
      <c r="B473" t="str">
        <f>Table2[[#This Row],[Propinsi]]&amp;"_"&amp;Table2[[#This Row],[Dati 2]]&amp;"_"&amp;Table2[[#This Row],[Tanggal]]</f>
        <v>BANTEN_CILEGON_44287</v>
      </c>
      <c r="C473" t="s">
        <v>2</v>
      </c>
      <c r="D473" t="s">
        <v>82</v>
      </c>
      <c r="E473">
        <v>4</v>
      </c>
      <c r="F473">
        <v>2021</v>
      </c>
      <c r="G473" s="1">
        <f>DATE(Table2[[#This Row],[Tahun]],Table2[[#This Row],[Bulan]],1)</f>
        <v>44287</v>
      </c>
      <c r="H473">
        <v>31</v>
      </c>
    </row>
    <row r="474" spans="1:8" x14ac:dyDescent="0.25">
      <c r="A474">
        <v>473</v>
      </c>
      <c r="B474" t="str">
        <f>Table2[[#This Row],[Propinsi]]&amp;"_"&amp;Table2[[#This Row],[Dati 2]]&amp;"_"&amp;Table2[[#This Row],[Tanggal]]</f>
        <v>BANTEN_CILEGON_44317</v>
      </c>
      <c r="C474" t="s">
        <v>2</v>
      </c>
      <c r="D474" t="s">
        <v>82</v>
      </c>
      <c r="E474">
        <v>5</v>
      </c>
      <c r="F474">
        <v>2021</v>
      </c>
      <c r="G474" s="1">
        <f>DATE(Table2[[#This Row],[Tahun]],Table2[[#This Row],[Bulan]],1)</f>
        <v>44317</v>
      </c>
      <c r="H474">
        <v>32</v>
      </c>
    </row>
    <row r="475" spans="1:8" x14ac:dyDescent="0.25">
      <c r="A475">
        <v>474</v>
      </c>
      <c r="B475" t="str">
        <f>Table2[[#This Row],[Propinsi]]&amp;"_"&amp;Table2[[#This Row],[Dati 2]]&amp;"_"&amp;Table2[[#This Row],[Tanggal]]</f>
        <v>BANTEN_CILEGON_44348</v>
      </c>
      <c r="C475" t="s">
        <v>2</v>
      </c>
      <c r="D475" t="s">
        <v>82</v>
      </c>
      <c r="E475">
        <v>6</v>
      </c>
      <c r="F475">
        <v>2021</v>
      </c>
      <c r="G475" s="1">
        <f>DATE(Table2[[#This Row],[Tahun]],Table2[[#This Row],[Bulan]],1)</f>
        <v>44348</v>
      </c>
      <c r="H475">
        <v>34</v>
      </c>
    </row>
    <row r="476" spans="1:8" x14ac:dyDescent="0.25">
      <c r="A476">
        <v>475</v>
      </c>
      <c r="B476" t="str">
        <f>Table2[[#This Row],[Propinsi]]&amp;"_"&amp;Table2[[#This Row],[Dati 2]]&amp;"_"&amp;Table2[[#This Row],[Tanggal]]</f>
        <v>BANTEN_CILEGON_44378</v>
      </c>
      <c r="C476" t="s">
        <v>2</v>
      </c>
      <c r="D476" t="s">
        <v>82</v>
      </c>
      <c r="E476">
        <v>7</v>
      </c>
      <c r="F476">
        <v>2021</v>
      </c>
      <c r="G476" s="1">
        <f>DATE(Table2[[#This Row],[Tahun]],Table2[[#This Row],[Bulan]],1)</f>
        <v>44378</v>
      </c>
      <c r="H476">
        <v>37</v>
      </c>
    </row>
    <row r="477" spans="1:8" x14ac:dyDescent="0.25">
      <c r="A477">
        <v>476</v>
      </c>
      <c r="B477" t="str">
        <f>Table2[[#This Row],[Propinsi]]&amp;"_"&amp;Table2[[#This Row],[Dati 2]]&amp;"_"&amp;Table2[[#This Row],[Tanggal]]</f>
        <v>BANTEN_CILEGON_44409</v>
      </c>
      <c r="C477" t="s">
        <v>2</v>
      </c>
      <c r="D477" t="s">
        <v>82</v>
      </c>
      <c r="E477">
        <v>8</v>
      </c>
      <c r="F477">
        <v>2021</v>
      </c>
      <c r="G477" s="1">
        <f>DATE(Table2[[#This Row],[Tahun]],Table2[[#This Row],[Bulan]],1)</f>
        <v>44409</v>
      </c>
      <c r="H477">
        <v>36</v>
      </c>
    </row>
    <row r="478" spans="1:8" x14ac:dyDescent="0.25">
      <c r="A478">
        <v>477</v>
      </c>
      <c r="B478" t="str">
        <f>Table2[[#This Row],[Propinsi]]&amp;"_"&amp;Table2[[#This Row],[Dati 2]]&amp;"_"&amp;Table2[[#This Row],[Tanggal]]</f>
        <v>BANTEN_CILEGON_44440</v>
      </c>
      <c r="C478" t="s">
        <v>2</v>
      </c>
      <c r="D478" t="s">
        <v>82</v>
      </c>
      <c r="E478">
        <v>9</v>
      </c>
      <c r="F478">
        <v>2021</v>
      </c>
      <c r="G478" s="1">
        <f>DATE(Table2[[#This Row],[Tahun]],Table2[[#This Row],[Bulan]],1)</f>
        <v>44440</v>
      </c>
      <c r="H478">
        <v>40</v>
      </c>
    </row>
    <row r="479" spans="1:8" x14ac:dyDescent="0.25">
      <c r="A479">
        <v>478</v>
      </c>
      <c r="B479" t="str">
        <f>Table2[[#This Row],[Propinsi]]&amp;"_"&amp;Table2[[#This Row],[Dati 2]]&amp;"_"&amp;Table2[[#This Row],[Tanggal]]</f>
        <v>BANTEN_CILEGON_44470</v>
      </c>
      <c r="C479" t="s">
        <v>2</v>
      </c>
      <c r="D479" t="s">
        <v>82</v>
      </c>
      <c r="E479">
        <v>10</v>
      </c>
      <c r="F479">
        <v>2021</v>
      </c>
      <c r="G479" s="1">
        <f>DATE(Table2[[#This Row],[Tahun]],Table2[[#This Row],[Bulan]],1)</f>
        <v>44470</v>
      </c>
      <c r="H479">
        <v>39</v>
      </c>
    </row>
    <row r="480" spans="1:8" x14ac:dyDescent="0.25">
      <c r="A480">
        <v>479</v>
      </c>
      <c r="B480" t="str">
        <f>Table2[[#This Row],[Propinsi]]&amp;"_"&amp;Table2[[#This Row],[Dati 2]]&amp;"_"&amp;Table2[[#This Row],[Tanggal]]</f>
        <v>BANTEN_CILEGON_44501</v>
      </c>
      <c r="C480" t="s">
        <v>2</v>
      </c>
      <c r="D480" t="s">
        <v>82</v>
      </c>
      <c r="E480">
        <v>11</v>
      </c>
      <c r="F480">
        <v>2021</v>
      </c>
      <c r="G480" s="1">
        <f>DATE(Table2[[#This Row],[Tahun]],Table2[[#This Row],[Bulan]],1)</f>
        <v>44501</v>
      </c>
      <c r="H480">
        <v>42</v>
      </c>
    </row>
    <row r="481" spans="1:8" x14ac:dyDescent="0.25">
      <c r="A481">
        <v>480</v>
      </c>
      <c r="B481" t="str">
        <f>Table2[[#This Row],[Propinsi]]&amp;"_"&amp;Table2[[#This Row],[Dati 2]]&amp;"_"&amp;Table2[[#This Row],[Tanggal]]</f>
        <v>BANTEN_CILEGON_44531</v>
      </c>
      <c r="C481" t="s">
        <v>2</v>
      </c>
      <c r="D481" t="s">
        <v>82</v>
      </c>
      <c r="E481">
        <v>12</v>
      </c>
      <c r="F481">
        <v>2021</v>
      </c>
      <c r="G481" s="1">
        <f>DATE(Table2[[#This Row],[Tahun]],Table2[[#This Row],[Bulan]],1)</f>
        <v>44531</v>
      </c>
      <c r="H481">
        <v>40</v>
      </c>
    </row>
    <row r="482" spans="1:8" x14ac:dyDescent="0.25">
      <c r="A482">
        <v>481</v>
      </c>
      <c r="B482" t="str">
        <f>Table2[[#This Row],[Propinsi]]&amp;"_"&amp;Table2[[#This Row],[Dati 2]]&amp;"_"&amp;Table2[[#This Row],[Tanggal]]</f>
        <v>JAWA BARAT_SUKABUMI_44197</v>
      </c>
      <c r="C482" t="s">
        <v>4</v>
      </c>
      <c r="D482" t="s">
        <v>83</v>
      </c>
      <c r="E482">
        <v>1</v>
      </c>
      <c r="F482">
        <v>2021</v>
      </c>
      <c r="G482" s="1">
        <f>DATE(Table2[[#This Row],[Tahun]],Table2[[#This Row],[Bulan]],1)</f>
        <v>44197</v>
      </c>
      <c r="H482">
        <v>30</v>
      </c>
    </row>
    <row r="483" spans="1:8" x14ac:dyDescent="0.25">
      <c r="A483">
        <v>482</v>
      </c>
      <c r="B483" t="str">
        <f>Table2[[#This Row],[Propinsi]]&amp;"_"&amp;Table2[[#This Row],[Dati 2]]&amp;"_"&amp;Table2[[#This Row],[Tanggal]]</f>
        <v>JAWA BARAT_SUKABUMI_44228</v>
      </c>
      <c r="C483" t="s">
        <v>4</v>
      </c>
      <c r="D483" t="s">
        <v>83</v>
      </c>
      <c r="E483">
        <v>2</v>
      </c>
      <c r="F483">
        <v>2021</v>
      </c>
      <c r="G483" s="1">
        <f>DATE(Table2[[#This Row],[Tahun]],Table2[[#This Row],[Bulan]],1)</f>
        <v>44228</v>
      </c>
      <c r="H483">
        <v>28</v>
      </c>
    </row>
    <row r="484" spans="1:8" x14ac:dyDescent="0.25">
      <c r="A484">
        <v>483</v>
      </c>
      <c r="B484" t="str">
        <f>Table2[[#This Row],[Propinsi]]&amp;"_"&amp;Table2[[#This Row],[Dati 2]]&amp;"_"&amp;Table2[[#This Row],[Tanggal]]</f>
        <v>JAWA BARAT_SUKABUMI_44256</v>
      </c>
      <c r="C484" t="s">
        <v>4</v>
      </c>
      <c r="D484" t="s">
        <v>83</v>
      </c>
      <c r="E484">
        <v>3</v>
      </c>
      <c r="F484">
        <v>2021</v>
      </c>
      <c r="G484" s="1">
        <f>DATE(Table2[[#This Row],[Tahun]],Table2[[#This Row],[Bulan]],1)</f>
        <v>44256</v>
      </c>
      <c r="H484">
        <v>29</v>
      </c>
    </row>
    <row r="485" spans="1:8" x14ac:dyDescent="0.25">
      <c r="A485">
        <v>484</v>
      </c>
      <c r="B485" t="str">
        <f>Table2[[#This Row],[Propinsi]]&amp;"_"&amp;Table2[[#This Row],[Dati 2]]&amp;"_"&amp;Table2[[#This Row],[Tanggal]]</f>
        <v>JAWA BARAT_SUKABUMI_44287</v>
      </c>
      <c r="C485" t="s">
        <v>4</v>
      </c>
      <c r="D485" t="s">
        <v>83</v>
      </c>
      <c r="E485">
        <v>4</v>
      </c>
      <c r="F485">
        <v>2021</v>
      </c>
      <c r="G485" s="1">
        <f>DATE(Table2[[#This Row],[Tahun]],Table2[[#This Row],[Bulan]],1)</f>
        <v>44287</v>
      </c>
      <c r="H485">
        <v>30</v>
      </c>
    </row>
    <row r="486" spans="1:8" x14ac:dyDescent="0.25">
      <c r="A486">
        <v>485</v>
      </c>
      <c r="B486" t="str">
        <f>Table2[[#This Row],[Propinsi]]&amp;"_"&amp;Table2[[#This Row],[Dati 2]]&amp;"_"&amp;Table2[[#This Row],[Tanggal]]</f>
        <v>JAWA BARAT_SUKABUMI_44317</v>
      </c>
      <c r="C486" t="s">
        <v>4</v>
      </c>
      <c r="D486" t="s">
        <v>83</v>
      </c>
      <c r="E486">
        <v>5</v>
      </c>
      <c r="F486">
        <v>2021</v>
      </c>
      <c r="G486" s="1">
        <f>DATE(Table2[[#This Row],[Tahun]],Table2[[#This Row],[Bulan]],1)</f>
        <v>44317</v>
      </c>
      <c r="H486">
        <v>35</v>
      </c>
    </row>
    <row r="487" spans="1:8" x14ac:dyDescent="0.25">
      <c r="A487">
        <v>486</v>
      </c>
      <c r="B487" t="str">
        <f>Table2[[#This Row],[Propinsi]]&amp;"_"&amp;Table2[[#This Row],[Dati 2]]&amp;"_"&amp;Table2[[#This Row],[Tanggal]]</f>
        <v>JAWA BARAT_SUKABUMI_44348</v>
      </c>
      <c r="C487" t="s">
        <v>4</v>
      </c>
      <c r="D487" t="s">
        <v>83</v>
      </c>
      <c r="E487">
        <v>6</v>
      </c>
      <c r="F487">
        <v>2021</v>
      </c>
      <c r="G487" s="1">
        <f>DATE(Table2[[#This Row],[Tahun]],Table2[[#This Row],[Bulan]],1)</f>
        <v>44348</v>
      </c>
      <c r="H487">
        <v>35</v>
      </c>
    </row>
    <row r="488" spans="1:8" x14ac:dyDescent="0.25">
      <c r="A488">
        <v>487</v>
      </c>
      <c r="B488" t="str">
        <f>Table2[[#This Row],[Propinsi]]&amp;"_"&amp;Table2[[#This Row],[Dati 2]]&amp;"_"&amp;Table2[[#This Row],[Tanggal]]</f>
        <v>JAWA BARAT_SUKABUMI_44378</v>
      </c>
      <c r="C488" t="s">
        <v>4</v>
      </c>
      <c r="D488" t="s">
        <v>83</v>
      </c>
      <c r="E488">
        <v>7</v>
      </c>
      <c r="F488">
        <v>2021</v>
      </c>
      <c r="G488" s="1">
        <f>DATE(Table2[[#This Row],[Tahun]],Table2[[#This Row],[Bulan]],1)</f>
        <v>44378</v>
      </c>
      <c r="H488">
        <v>39</v>
      </c>
    </row>
    <row r="489" spans="1:8" x14ac:dyDescent="0.25">
      <c r="A489">
        <v>488</v>
      </c>
      <c r="B489" t="str">
        <f>Table2[[#This Row],[Propinsi]]&amp;"_"&amp;Table2[[#This Row],[Dati 2]]&amp;"_"&amp;Table2[[#This Row],[Tanggal]]</f>
        <v>JAWA BARAT_SUKABUMI_44409</v>
      </c>
      <c r="C489" t="s">
        <v>4</v>
      </c>
      <c r="D489" t="s">
        <v>83</v>
      </c>
      <c r="E489">
        <v>8</v>
      </c>
      <c r="F489">
        <v>2021</v>
      </c>
      <c r="G489" s="1">
        <f>DATE(Table2[[#This Row],[Tahun]],Table2[[#This Row],[Bulan]],1)</f>
        <v>44409</v>
      </c>
      <c r="H489">
        <v>39</v>
      </c>
    </row>
    <row r="490" spans="1:8" x14ac:dyDescent="0.25">
      <c r="A490">
        <v>489</v>
      </c>
      <c r="B490" t="str">
        <f>Table2[[#This Row],[Propinsi]]&amp;"_"&amp;Table2[[#This Row],[Dati 2]]&amp;"_"&amp;Table2[[#This Row],[Tanggal]]</f>
        <v>JAWA BARAT_SUKABUMI_44440</v>
      </c>
      <c r="C490" t="s">
        <v>4</v>
      </c>
      <c r="D490" t="s">
        <v>83</v>
      </c>
      <c r="E490">
        <v>9</v>
      </c>
      <c r="F490">
        <v>2021</v>
      </c>
      <c r="G490" s="1">
        <f>DATE(Table2[[#This Row],[Tahun]],Table2[[#This Row],[Bulan]],1)</f>
        <v>44440</v>
      </c>
      <c r="H490">
        <v>41</v>
      </c>
    </row>
    <row r="491" spans="1:8" x14ac:dyDescent="0.25">
      <c r="A491">
        <v>490</v>
      </c>
      <c r="B491" t="str">
        <f>Table2[[#This Row],[Propinsi]]&amp;"_"&amp;Table2[[#This Row],[Dati 2]]&amp;"_"&amp;Table2[[#This Row],[Tanggal]]</f>
        <v>JAWA BARAT_SUKABUMI_44470</v>
      </c>
      <c r="C491" t="s">
        <v>4</v>
      </c>
      <c r="D491" t="s">
        <v>83</v>
      </c>
      <c r="E491">
        <v>10</v>
      </c>
      <c r="F491">
        <v>2021</v>
      </c>
      <c r="G491" s="1">
        <f>DATE(Table2[[#This Row],[Tahun]],Table2[[#This Row],[Bulan]],1)</f>
        <v>44470</v>
      </c>
      <c r="H491">
        <v>48</v>
      </c>
    </row>
    <row r="492" spans="1:8" x14ac:dyDescent="0.25">
      <c r="A492">
        <v>491</v>
      </c>
      <c r="B492" t="str">
        <f>Table2[[#This Row],[Propinsi]]&amp;"_"&amp;Table2[[#This Row],[Dati 2]]&amp;"_"&amp;Table2[[#This Row],[Tanggal]]</f>
        <v>JAWA BARAT_SUKABUMI_44501</v>
      </c>
      <c r="C492" t="s">
        <v>4</v>
      </c>
      <c r="D492" t="s">
        <v>83</v>
      </c>
      <c r="E492">
        <v>11</v>
      </c>
      <c r="F492">
        <v>2021</v>
      </c>
      <c r="G492" s="1">
        <f>DATE(Table2[[#This Row],[Tahun]],Table2[[#This Row],[Bulan]],1)</f>
        <v>44501</v>
      </c>
      <c r="H492">
        <v>46</v>
      </c>
    </row>
    <row r="493" spans="1:8" x14ac:dyDescent="0.25">
      <c r="A493">
        <v>492</v>
      </c>
      <c r="B493" t="str">
        <f>Table2[[#This Row],[Propinsi]]&amp;"_"&amp;Table2[[#This Row],[Dati 2]]&amp;"_"&amp;Table2[[#This Row],[Tanggal]]</f>
        <v>JAWA BARAT_SUKABUMI_44531</v>
      </c>
      <c r="C493" t="s">
        <v>4</v>
      </c>
      <c r="D493" t="s">
        <v>83</v>
      </c>
      <c r="E493">
        <v>12</v>
      </c>
      <c r="F493">
        <v>2021</v>
      </c>
      <c r="G493" s="1">
        <f>DATE(Table2[[#This Row],[Tahun]],Table2[[#This Row],[Bulan]],1)</f>
        <v>44531</v>
      </c>
      <c r="H493">
        <v>47</v>
      </c>
    </row>
    <row r="494" spans="1:8" x14ac:dyDescent="0.25">
      <c r="A494">
        <v>493</v>
      </c>
      <c r="B494" t="str">
        <f>Table2[[#This Row],[Propinsi]]&amp;"_"&amp;Table2[[#This Row],[Dati 2]]&amp;"_"&amp;Table2[[#This Row],[Tanggal]]</f>
        <v>JAWA BARAT_CIANJUR_44197</v>
      </c>
      <c r="C494" t="s">
        <v>4</v>
      </c>
      <c r="D494" t="s">
        <v>84</v>
      </c>
      <c r="E494">
        <v>1</v>
      </c>
      <c r="F494">
        <v>2021</v>
      </c>
      <c r="G494" s="1">
        <f>DATE(Table2[[#This Row],[Tahun]],Table2[[#This Row],[Bulan]],1)</f>
        <v>44197</v>
      </c>
      <c r="H494">
        <v>172</v>
      </c>
    </row>
    <row r="495" spans="1:8" x14ac:dyDescent="0.25">
      <c r="A495">
        <v>494</v>
      </c>
      <c r="B495" t="str">
        <f>Table2[[#This Row],[Propinsi]]&amp;"_"&amp;Table2[[#This Row],[Dati 2]]&amp;"_"&amp;Table2[[#This Row],[Tanggal]]</f>
        <v>JAWA BARAT_CIANJUR_44228</v>
      </c>
      <c r="C495" t="s">
        <v>4</v>
      </c>
      <c r="D495" t="s">
        <v>84</v>
      </c>
      <c r="E495">
        <v>2</v>
      </c>
      <c r="F495">
        <v>2021</v>
      </c>
      <c r="G495" s="1">
        <f>DATE(Table2[[#This Row],[Tahun]],Table2[[#This Row],[Bulan]],1)</f>
        <v>44228</v>
      </c>
      <c r="H495">
        <v>179</v>
      </c>
    </row>
    <row r="496" spans="1:8" x14ac:dyDescent="0.25">
      <c r="A496">
        <v>495</v>
      </c>
      <c r="B496" t="str">
        <f>Table2[[#This Row],[Propinsi]]&amp;"_"&amp;Table2[[#This Row],[Dati 2]]&amp;"_"&amp;Table2[[#This Row],[Tanggal]]</f>
        <v>JAWA BARAT_CIANJUR_44256</v>
      </c>
      <c r="C496" t="s">
        <v>4</v>
      </c>
      <c r="D496" t="s">
        <v>84</v>
      </c>
      <c r="E496">
        <v>3</v>
      </c>
      <c r="F496">
        <v>2021</v>
      </c>
      <c r="G496" s="1">
        <f>DATE(Table2[[#This Row],[Tahun]],Table2[[#This Row],[Bulan]],1)</f>
        <v>44256</v>
      </c>
      <c r="H496">
        <v>181</v>
      </c>
    </row>
    <row r="497" spans="1:8" x14ac:dyDescent="0.25">
      <c r="A497">
        <v>496</v>
      </c>
      <c r="B497" t="str">
        <f>Table2[[#This Row],[Propinsi]]&amp;"_"&amp;Table2[[#This Row],[Dati 2]]&amp;"_"&amp;Table2[[#This Row],[Tanggal]]</f>
        <v>JAWA BARAT_CIANJUR_44287</v>
      </c>
      <c r="C497" t="s">
        <v>4</v>
      </c>
      <c r="D497" t="s">
        <v>84</v>
      </c>
      <c r="E497">
        <v>4</v>
      </c>
      <c r="F497">
        <v>2021</v>
      </c>
      <c r="G497" s="1">
        <f>DATE(Table2[[#This Row],[Tahun]],Table2[[#This Row],[Bulan]],1)</f>
        <v>44287</v>
      </c>
      <c r="H497">
        <v>184</v>
      </c>
    </row>
    <row r="498" spans="1:8" x14ac:dyDescent="0.25">
      <c r="A498">
        <v>497</v>
      </c>
      <c r="B498" t="str">
        <f>Table2[[#This Row],[Propinsi]]&amp;"_"&amp;Table2[[#This Row],[Dati 2]]&amp;"_"&amp;Table2[[#This Row],[Tanggal]]</f>
        <v>JAWA BARAT_CIANJUR_44317</v>
      </c>
      <c r="C498" t="s">
        <v>4</v>
      </c>
      <c r="D498" t="s">
        <v>84</v>
      </c>
      <c r="E498">
        <v>5</v>
      </c>
      <c r="F498">
        <v>2021</v>
      </c>
      <c r="G498" s="1">
        <f>DATE(Table2[[#This Row],[Tahun]],Table2[[#This Row],[Bulan]],1)</f>
        <v>44317</v>
      </c>
      <c r="H498">
        <v>185</v>
      </c>
    </row>
    <row r="499" spans="1:8" x14ac:dyDescent="0.25">
      <c r="A499">
        <v>498</v>
      </c>
      <c r="B499" t="str">
        <f>Table2[[#This Row],[Propinsi]]&amp;"_"&amp;Table2[[#This Row],[Dati 2]]&amp;"_"&amp;Table2[[#This Row],[Tanggal]]</f>
        <v>JAWA BARAT_CIANJUR_44348</v>
      </c>
      <c r="C499" t="s">
        <v>4</v>
      </c>
      <c r="D499" t="s">
        <v>84</v>
      </c>
      <c r="E499">
        <v>6</v>
      </c>
      <c r="F499">
        <v>2021</v>
      </c>
      <c r="G499" s="1">
        <f>DATE(Table2[[#This Row],[Tahun]],Table2[[#This Row],[Bulan]],1)</f>
        <v>44348</v>
      </c>
      <c r="H499">
        <v>185</v>
      </c>
    </row>
    <row r="500" spans="1:8" x14ac:dyDescent="0.25">
      <c r="A500">
        <v>499</v>
      </c>
      <c r="B500" t="str">
        <f>Table2[[#This Row],[Propinsi]]&amp;"_"&amp;Table2[[#This Row],[Dati 2]]&amp;"_"&amp;Table2[[#This Row],[Tanggal]]</f>
        <v>JAWA BARAT_CIANJUR_44378</v>
      </c>
      <c r="C500" t="s">
        <v>4</v>
      </c>
      <c r="D500" t="s">
        <v>84</v>
      </c>
      <c r="E500">
        <v>7</v>
      </c>
      <c r="F500">
        <v>2021</v>
      </c>
      <c r="G500" s="1">
        <f>DATE(Table2[[#This Row],[Tahun]],Table2[[#This Row],[Bulan]],1)</f>
        <v>44378</v>
      </c>
      <c r="H500">
        <v>190</v>
      </c>
    </row>
    <row r="501" spans="1:8" x14ac:dyDescent="0.25">
      <c r="A501">
        <v>500</v>
      </c>
      <c r="B501" t="str">
        <f>Table2[[#This Row],[Propinsi]]&amp;"_"&amp;Table2[[#This Row],[Dati 2]]&amp;"_"&amp;Table2[[#This Row],[Tanggal]]</f>
        <v>JAWA BARAT_CIANJUR_44409</v>
      </c>
      <c r="C501" t="s">
        <v>4</v>
      </c>
      <c r="D501" t="s">
        <v>84</v>
      </c>
      <c r="E501">
        <v>8</v>
      </c>
      <c r="F501">
        <v>2021</v>
      </c>
      <c r="G501" s="1">
        <f>DATE(Table2[[#This Row],[Tahun]],Table2[[#This Row],[Bulan]],1)</f>
        <v>44409</v>
      </c>
      <c r="H501">
        <v>189</v>
      </c>
    </row>
    <row r="502" spans="1:8" x14ac:dyDescent="0.25">
      <c r="A502">
        <v>501</v>
      </c>
      <c r="B502" t="str">
        <f>Table2[[#This Row],[Propinsi]]&amp;"_"&amp;Table2[[#This Row],[Dati 2]]&amp;"_"&amp;Table2[[#This Row],[Tanggal]]</f>
        <v>JAWA BARAT_CIANJUR_44440</v>
      </c>
      <c r="C502" t="s">
        <v>4</v>
      </c>
      <c r="D502" t="s">
        <v>84</v>
      </c>
      <c r="E502">
        <v>9</v>
      </c>
      <c r="F502">
        <v>2021</v>
      </c>
      <c r="G502" s="1">
        <f>DATE(Table2[[#This Row],[Tahun]],Table2[[#This Row],[Bulan]],1)</f>
        <v>44440</v>
      </c>
      <c r="H502">
        <v>188</v>
      </c>
    </row>
    <row r="503" spans="1:8" x14ac:dyDescent="0.25">
      <c r="A503">
        <v>502</v>
      </c>
      <c r="B503" t="str">
        <f>Table2[[#This Row],[Propinsi]]&amp;"_"&amp;Table2[[#This Row],[Dati 2]]&amp;"_"&amp;Table2[[#This Row],[Tanggal]]</f>
        <v>JAWA BARAT_CIANJUR_44470</v>
      </c>
      <c r="C503" t="s">
        <v>4</v>
      </c>
      <c r="D503" t="s">
        <v>84</v>
      </c>
      <c r="E503">
        <v>10</v>
      </c>
      <c r="F503">
        <v>2021</v>
      </c>
      <c r="G503" s="1">
        <f>DATE(Table2[[#This Row],[Tahun]],Table2[[#This Row],[Bulan]],1)</f>
        <v>44470</v>
      </c>
      <c r="H503">
        <v>193</v>
      </c>
    </row>
    <row r="504" spans="1:8" x14ac:dyDescent="0.25">
      <c r="A504">
        <v>503</v>
      </c>
      <c r="B504" t="str">
        <f>Table2[[#This Row],[Propinsi]]&amp;"_"&amp;Table2[[#This Row],[Dati 2]]&amp;"_"&amp;Table2[[#This Row],[Tanggal]]</f>
        <v>JAWA BARAT_CIANJUR_44501</v>
      </c>
      <c r="C504" t="s">
        <v>4</v>
      </c>
      <c r="D504" t="s">
        <v>84</v>
      </c>
      <c r="E504">
        <v>11</v>
      </c>
      <c r="F504">
        <v>2021</v>
      </c>
      <c r="G504" s="1">
        <f>DATE(Table2[[#This Row],[Tahun]],Table2[[#This Row],[Bulan]],1)</f>
        <v>44501</v>
      </c>
      <c r="H504">
        <v>195</v>
      </c>
    </row>
    <row r="505" spans="1:8" x14ac:dyDescent="0.25">
      <c r="A505">
        <v>504</v>
      </c>
      <c r="B505" t="str">
        <f>Table2[[#This Row],[Propinsi]]&amp;"_"&amp;Table2[[#This Row],[Dati 2]]&amp;"_"&amp;Table2[[#This Row],[Tanggal]]</f>
        <v>JAWA BARAT_CIANJUR_44531</v>
      </c>
      <c r="C505" t="s">
        <v>4</v>
      </c>
      <c r="D505" t="s">
        <v>84</v>
      </c>
      <c r="E505">
        <v>12</v>
      </c>
      <c r="F505">
        <v>2021</v>
      </c>
      <c r="G505" s="1">
        <f>DATE(Table2[[#This Row],[Tahun]],Table2[[#This Row],[Bulan]],1)</f>
        <v>44531</v>
      </c>
      <c r="H505">
        <v>197</v>
      </c>
    </row>
    <row r="506" spans="1:8" x14ac:dyDescent="0.25">
      <c r="A506">
        <v>505</v>
      </c>
      <c r="B506" t="str">
        <f>Table2[[#This Row],[Propinsi]]&amp;"_"&amp;Table2[[#This Row],[Dati 2]]&amp;"_"&amp;Table2[[#This Row],[Tanggal]]</f>
        <v>JAWA BARAT_GARUT_44197</v>
      </c>
      <c r="C506" t="s">
        <v>4</v>
      </c>
      <c r="D506" t="s">
        <v>85</v>
      </c>
      <c r="E506">
        <v>1</v>
      </c>
      <c r="F506">
        <v>2021</v>
      </c>
      <c r="G506" s="1">
        <f>DATE(Table2[[#This Row],[Tahun]],Table2[[#This Row],[Bulan]],1)</f>
        <v>44197</v>
      </c>
      <c r="H506">
        <v>115</v>
      </c>
    </row>
    <row r="507" spans="1:8" x14ac:dyDescent="0.25">
      <c r="A507">
        <v>506</v>
      </c>
      <c r="B507" t="str">
        <f>Table2[[#This Row],[Propinsi]]&amp;"_"&amp;Table2[[#This Row],[Dati 2]]&amp;"_"&amp;Table2[[#This Row],[Tanggal]]</f>
        <v>JAWA BARAT_GARUT_44228</v>
      </c>
      <c r="C507" t="s">
        <v>4</v>
      </c>
      <c r="D507" t="s">
        <v>85</v>
      </c>
      <c r="E507">
        <v>2</v>
      </c>
      <c r="F507">
        <v>2021</v>
      </c>
      <c r="G507" s="1">
        <f>DATE(Table2[[#This Row],[Tahun]],Table2[[#This Row],[Bulan]],1)</f>
        <v>44228</v>
      </c>
      <c r="H507">
        <v>114</v>
      </c>
    </row>
    <row r="508" spans="1:8" x14ac:dyDescent="0.25">
      <c r="A508">
        <v>507</v>
      </c>
      <c r="B508" t="str">
        <f>Table2[[#This Row],[Propinsi]]&amp;"_"&amp;Table2[[#This Row],[Dati 2]]&amp;"_"&amp;Table2[[#This Row],[Tanggal]]</f>
        <v>JAWA BARAT_GARUT_44256</v>
      </c>
      <c r="C508" t="s">
        <v>4</v>
      </c>
      <c r="D508" t="s">
        <v>85</v>
      </c>
      <c r="E508">
        <v>3</v>
      </c>
      <c r="F508">
        <v>2021</v>
      </c>
      <c r="G508" s="1">
        <f>DATE(Table2[[#This Row],[Tahun]],Table2[[#This Row],[Bulan]],1)</f>
        <v>44256</v>
      </c>
      <c r="H508">
        <v>114</v>
      </c>
    </row>
    <row r="509" spans="1:8" x14ac:dyDescent="0.25">
      <c r="A509">
        <v>508</v>
      </c>
      <c r="B509" t="str">
        <f>Table2[[#This Row],[Propinsi]]&amp;"_"&amp;Table2[[#This Row],[Dati 2]]&amp;"_"&amp;Table2[[#This Row],[Tanggal]]</f>
        <v>JAWA BARAT_GARUT_44287</v>
      </c>
      <c r="C509" t="s">
        <v>4</v>
      </c>
      <c r="D509" t="s">
        <v>85</v>
      </c>
      <c r="E509">
        <v>4</v>
      </c>
      <c r="F509">
        <v>2021</v>
      </c>
      <c r="G509" s="1">
        <f>DATE(Table2[[#This Row],[Tahun]],Table2[[#This Row],[Bulan]],1)</f>
        <v>44287</v>
      </c>
      <c r="H509">
        <v>113</v>
      </c>
    </row>
    <row r="510" spans="1:8" x14ac:dyDescent="0.25">
      <c r="A510">
        <v>509</v>
      </c>
      <c r="B510" t="str">
        <f>Table2[[#This Row],[Propinsi]]&amp;"_"&amp;Table2[[#This Row],[Dati 2]]&amp;"_"&amp;Table2[[#This Row],[Tanggal]]</f>
        <v>JAWA BARAT_GARUT_44317</v>
      </c>
      <c r="C510" t="s">
        <v>4</v>
      </c>
      <c r="D510" t="s">
        <v>85</v>
      </c>
      <c r="E510">
        <v>5</v>
      </c>
      <c r="F510">
        <v>2021</v>
      </c>
      <c r="G510" s="1">
        <f>DATE(Table2[[#This Row],[Tahun]],Table2[[#This Row],[Bulan]],1)</f>
        <v>44317</v>
      </c>
      <c r="H510">
        <v>112</v>
      </c>
    </row>
    <row r="511" spans="1:8" x14ac:dyDescent="0.25">
      <c r="A511">
        <v>510</v>
      </c>
      <c r="B511" t="str">
        <f>Table2[[#This Row],[Propinsi]]&amp;"_"&amp;Table2[[#This Row],[Dati 2]]&amp;"_"&amp;Table2[[#This Row],[Tanggal]]</f>
        <v>JAWA BARAT_GARUT_44348</v>
      </c>
      <c r="C511" t="s">
        <v>4</v>
      </c>
      <c r="D511" t="s">
        <v>85</v>
      </c>
      <c r="E511">
        <v>6</v>
      </c>
      <c r="F511">
        <v>2021</v>
      </c>
      <c r="G511" s="1">
        <f>DATE(Table2[[#This Row],[Tahun]],Table2[[#This Row],[Bulan]],1)</f>
        <v>44348</v>
      </c>
      <c r="H511">
        <v>119</v>
      </c>
    </row>
    <row r="512" spans="1:8" x14ac:dyDescent="0.25">
      <c r="A512">
        <v>511</v>
      </c>
      <c r="B512" t="str">
        <f>Table2[[#This Row],[Propinsi]]&amp;"_"&amp;Table2[[#This Row],[Dati 2]]&amp;"_"&amp;Table2[[#This Row],[Tanggal]]</f>
        <v>JAWA BARAT_GARUT_44378</v>
      </c>
      <c r="C512" t="s">
        <v>4</v>
      </c>
      <c r="D512" t="s">
        <v>85</v>
      </c>
      <c r="E512">
        <v>7</v>
      </c>
      <c r="F512">
        <v>2021</v>
      </c>
      <c r="G512" s="1">
        <f>DATE(Table2[[#This Row],[Tahun]],Table2[[#This Row],[Bulan]],1)</f>
        <v>44378</v>
      </c>
      <c r="H512">
        <v>120</v>
      </c>
    </row>
    <row r="513" spans="1:8" x14ac:dyDescent="0.25">
      <c r="A513">
        <v>512</v>
      </c>
      <c r="B513" t="str">
        <f>Table2[[#This Row],[Propinsi]]&amp;"_"&amp;Table2[[#This Row],[Dati 2]]&amp;"_"&amp;Table2[[#This Row],[Tanggal]]</f>
        <v>JAWA BARAT_GARUT_44409</v>
      </c>
      <c r="C513" t="s">
        <v>4</v>
      </c>
      <c r="D513" t="s">
        <v>85</v>
      </c>
      <c r="E513">
        <v>8</v>
      </c>
      <c r="F513">
        <v>2021</v>
      </c>
      <c r="G513" s="1">
        <f>DATE(Table2[[#This Row],[Tahun]],Table2[[#This Row],[Bulan]],1)</f>
        <v>44409</v>
      </c>
      <c r="H513">
        <v>123</v>
      </c>
    </row>
    <row r="514" spans="1:8" x14ac:dyDescent="0.25">
      <c r="A514">
        <v>513</v>
      </c>
      <c r="B514" t="str">
        <f>Table2[[#This Row],[Propinsi]]&amp;"_"&amp;Table2[[#This Row],[Dati 2]]&amp;"_"&amp;Table2[[#This Row],[Tanggal]]</f>
        <v>JAWA BARAT_GARUT_44440</v>
      </c>
      <c r="C514" t="s">
        <v>4</v>
      </c>
      <c r="D514" t="s">
        <v>85</v>
      </c>
      <c r="E514">
        <v>9</v>
      </c>
      <c r="F514">
        <v>2021</v>
      </c>
      <c r="G514" s="1">
        <f>DATE(Table2[[#This Row],[Tahun]],Table2[[#This Row],[Bulan]],1)</f>
        <v>44440</v>
      </c>
      <c r="H514">
        <v>124</v>
      </c>
    </row>
    <row r="515" spans="1:8" x14ac:dyDescent="0.25">
      <c r="A515">
        <v>514</v>
      </c>
      <c r="B515" t="str">
        <f>Table2[[#This Row],[Propinsi]]&amp;"_"&amp;Table2[[#This Row],[Dati 2]]&amp;"_"&amp;Table2[[#This Row],[Tanggal]]</f>
        <v>JAWA BARAT_GARUT_44470</v>
      </c>
      <c r="C515" t="s">
        <v>4</v>
      </c>
      <c r="D515" t="s">
        <v>85</v>
      </c>
      <c r="E515">
        <v>10</v>
      </c>
      <c r="F515">
        <v>2021</v>
      </c>
      <c r="G515" s="1">
        <f>DATE(Table2[[#This Row],[Tahun]],Table2[[#This Row],[Bulan]],1)</f>
        <v>44470</v>
      </c>
      <c r="H515">
        <v>123</v>
      </c>
    </row>
    <row r="516" spans="1:8" x14ac:dyDescent="0.25">
      <c r="A516">
        <v>515</v>
      </c>
      <c r="B516" t="str">
        <f>Table2[[#This Row],[Propinsi]]&amp;"_"&amp;Table2[[#This Row],[Dati 2]]&amp;"_"&amp;Table2[[#This Row],[Tanggal]]</f>
        <v>JAWA BARAT_GARUT_44501</v>
      </c>
      <c r="C516" t="s">
        <v>4</v>
      </c>
      <c r="D516" t="s">
        <v>85</v>
      </c>
      <c r="E516">
        <v>11</v>
      </c>
      <c r="F516">
        <v>2021</v>
      </c>
      <c r="G516" s="1">
        <f>DATE(Table2[[#This Row],[Tahun]],Table2[[#This Row],[Bulan]],1)</f>
        <v>44501</v>
      </c>
      <c r="H516">
        <v>122</v>
      </c>
    </row>
    <row r="517" spans="1:8" x14ac:dyDescent="0.25">
      <c r="A517">
        <v>516</v>
      </c>
      <c r="B517" t="str">
        <f>Table2[[#This Row],[Propinsi]]&amp;"_"&amp;Table2[[#This Row],[Dati 2]]&amp;"_"&amp;Table2[[#This Row],[Tanggal]]</f>
        <v>JAWA BARAT_GARUT_44531</v>
      </c>
      <c r="C517" t="s">
        <v>4</v>
      </c>
      <c r="D517" t="s">
        <v>85</v>
      </c>
      <c r="E517">
        <v>12</v>
      </c>
      <c r="F517">
        <v>2021</v>
      </c>
      <c r="G517" s="1">
        <f>DATE(Table2[[#This Row],[Tahun]],Table2[[#This Row],[Bulan]],1)</f>
        <v>44531</v>
      </c>
      <c r="H517">
        <v>127</v>
      </c>
    </row>
    <row r="518" spans="1:8" x14ac:dyDescent="0.25">
      <c r="A518">
        <v>517</v>
      </c>
      <c r="B518" t="str">
        <f>Table2[[#This Row],[Propinsi]]&amp;"_"&amp;Table2[[#This Row],[Dati 2]]&amp;"_"&amp;Table2[[#This Row],[Tanggal]]</f>
        <v>JAWA BARAT_CIREBON_44197</v>
      </c>
      <c r="C518" t="s">
        <v>4</v>
      </c>
      <c r="D518" t="s">
        <v>86</v>
      </c>
      <c r="E518">
        <v>1</v>
      </c>
      <c r="F518">
        <v>2021</v>
      </c>
      <c r="G518" s="1">
        <f>DATE(Table2[[#This Row],[Tahun]],Table2[[#This Row],[Bulan]],1)</f>
        <v>44197</v>
      </c>
      <c r="H518">
        <v>133</v>
      </c>
    </row>
    <row r="519" spans="1:8" x14ac:dyDescent="0.25">
      <c r="A519">
        <v>518</v>
      </c>
      <c r="B519" t="str">
        <f>Table2[[#This Row],[Propinsi]]&amp;"_"&amp;Table2[[#This Row],[Dati 2]]&amp;"_"&amp;Table2[[#This Row],[Tanggal]]</f>
        <v>JAWA BARAT_CIREBON_44228</v>
      </c>
      <c r="C519" t="s">
        <v>4</v>
      </c>
      <c r="D519" t="s">
        <v>86</v>
      </c>
      <c r="E519">
        <v>2</v>
      </c>
      <c r="F519">
        <v>2021</v>
      </c>
      <c r="G519" s="1">
        <f>DATE(Table2[[#This Row],[Tahun]],Table2[[#This Row],[Bulan]],1)</f>
        <v>44228</v>
      </c>
      <c r="H519">
        <v>136</v>
      </c>
    </row>
    <row r="520" spans="1:8" x14ac:dyDescent="0.25">
      <c r="A520">
        <v>519</v>
      </c>
      <c r="B520" t="str">
        <f>Table2[[#This Row],[Propinsi]]&amp;"_"&amp;Table2[[#This Row],[Dati 2]]&amp;"_"&amp;Table2[[#This Row],[Tanggal]]</f>
        <v>JAWA BARAT_CIREBON_44256</v>
      </c>
      <c r="C520" t="s">
        <v>4</v>
      </c>
      <c r="D520" t="s">
        <v>86</v>
      </c>
      <c r="E520">
        <v>3</v>
      </c>
      <c r="F520">
        <v>2021</v>
      </c>
      <c r="G520" s="1">
        <f>DATE(Table2[[#This Row],[Tahun]],Table2[[#This Row],[Bulan]],1)</f>
        <v>44256</v>
      </c>
      <c r="H520">
        <v>142</v>
      </c>
    </row>
    <row r="521" spans="1:8" x14ac:dyDescent="0.25">
      <c r="A521">
        <v>520</v>
      </c>
      <c r="B521" t="str">
        <f>Table2[[#This Row],[Propinsi]]&amp;"_"&amp;Table2[[#This Row],[Dati 2]]&amp;"_"&amp;Table2[[#This Row],[Tanggal]]</f>
        <v>JAWA BARAT_CIREBON_44287</v>
      </c>
      <c r="C521" t="s">
        <v>4</v>
      </c>
      <c r="D521" t="s">
        <v>86</v>
      </c>
      <c r="E521">
        <v>4</v>
      </c>
      <c r="F521">
        <v>2021</v>
      </c>
      <c r="G521" s="1">
        <f>DATE(Table2[[#This Row],[Tahun]],Table2[[#This Row],[Bulan]],1)</f>
        <v>44287</v>
      </c>
      <c r="H521">
        <v>145</v>
      </c>
    </row>
    <row r="522" spans="1:8" x14ac:dyDescent="0.25">
      <c r="A522">
        <v>521</v>
      </c>
      <c r="B522" t="str">
        <f>Table2[[#This Row],[Propinsi]]&amp;"_"&amp;Table2[[#This Row],[Dati 2]]&amp;"_"&amp;Table2[[#This Row],[Tanggal]]</f>
        <v>JAWA BARAT_CIREBON_44317</v>
      </c>
      <c r="C522" t="s">
        <v>4</v>
      </c>
      <c r="D522" t="s">
        <v>86</v>
      </c>
      <c r="E522">
        <v>5</v>
      </c>
      <c r="F522">
        <v>2021</v>
      </c>
      <c r="G522" s="1">
        <f>DATE(Table2[[#This Row],[Tahun]],Table2[[#This Row],[Bulan]],1)</f>
        <v>44317</v>
      </c>
      <c r="H522">
        <v>148</v>
      </c>
    </row>
    <row r="523" spans="1:8" x14ac:dyDescent="0.25">
      <c r="A523">
        <v>522</v>
      </c>
      <c r="B523" t="str">
        <f>Table2[[#This Row],[Propinsi]]&amp;"_"&amp;Table2[[#This Row],[Dati 2]]&amp;"_"&amp;Table2[[#This Row],[Tanggal]]</f>
        <v>JAWA BARAT_CIREBON_44348</v>
      </c>
      <c r="C523" t="s">
        <v>4</v>
      </c>
      <c r="D523" t="s">
        <v>86</v>
      </c>
      <c r="E523">
        <v>6</v>
      </c>
      <c r="F523">
        <v>2021</v>
      </c>
      <c r="G523" s="1">
        <f>DATE(Table2[[#This Row],[Tahun]],Table2[[#This Row],[Bulan]],1)</f>
        <v>44348</v>
      </c>
      <c r="H523">
        <v>149</v>
      </c>
    </row>
    <row r="524" spans="1:8" x14ac:dyDescent="0.25">
      <c r="A524">
        <v>523</v>
      </c>
      <c r="B524" t="str">
        <f>Table2[[#This Row],[Propinsi]]&amp;"_"&amp;Table2[[#This Row],[Dati 2]]&amp;"_"&amp;Table2[[#This Row],[Tanggal]]</f>
        <v>JAWA BARAT_CIREBON_44378</v>
      </c>
      <c r="C524" t="s">
        <v>4</v>
      </c>
      <c r="D524" t="s">
        <v>86</v>
      </c>
      <c r="E524">
        <v>7</v>
      </c>
      <c r="F524">
        <v>2021</v>
      </c>
      <c r="G524" s="1">
        <f>DATE(Table2[[#This Row],[Tahun]],Table2[[#This Row],[Bulan]],1)</f>
        <v>44378</v>
      </c>
      <c r="H524">
        <v>147</v>
      </c>
    </row>
    <row r="525" spans="1:8" x14ac:dyDescent="0.25">
      <c r="A525">
        <v>524</v>
      </c>
      <c r="B525" t="str">
        <f>Table2[[#This Row],[Propinsi]]&amp;"_"&amp;Table2[[#This Row],[Dati 2]]&amp;"_"&amp;Table2[[#This Row],[Tanggal]]</f>
        <v>JAWA BARAT_CIREBON_44409</v>
      </c>
      <c r="C525" t="s">
        <v>4</v>
      </c>
      <c r="D525" t="s">
        <v>86</v>
      </c>
      <c r="E525">
        <v>8</v>
      </c>
      <c r="F525">
        <v>2021</v>
      </c>
      <c r="G525" s="1">
        <f>DATE(Table2[[#This Row],[Tahun]],Table2[[#This Row],[Bulan]],1)</f>
        <v>44409</v>
      </c>
      <c r="H525">
        <v>149</v>
      </c>
    </row>
    <row r="526" spans="1:8" x14ac:dyDescent="0.25">
      <c r="A526">
        <v>525</v>
      </c>
      <c r="B526" t="str">
        <f>Table2[[#This Row],[Propinsi]]&amp;"_"&amp;Table2[[#This Row],[Dati 2]]&amp;"_"&amp;Table2[[#This Row],[Tanggal]]</f>
        <v>JAWA BARAT_CIREBON_44440</v>
      </c>
      <c r="C526" t="s">
        <v>4</v>
      </c>
      <c r="D526" t="s">
        <v>86</v>
      </c>
      <c r="E526">
        <v>9</v>
      </c>
      <c r="F526">
        <v>2021</v>
      </c>
      <c r="G526" s="1">
        <f>DATE(Table2[[#This Row],[Tahun]],Table2[[#This Row],[Bulan]],1)</f>
        <v>44440</v>
      </c>
      <c r="H526">
        <v>155</v>
      </c>
    </row>
    <row r="527" spans="1:8" x14ac:dyDescent="0.25">
      <c r="A527">
        <v>526</v>
      </c>
      <c r="B527" t="str">
        <f>Table2[[#This Row],[Propinsi]]&amp;"_"&amp;Table2[[#This Row],[Dati 2]]&amp;"_"&amp;Table2[[#This Row],[Tanggal]]</f>
        <v>JAWA BARAT_CIREBON_44470</v>
      </c>
      <c r="C527" t="s">
        <v>4</v>
      </c>
      <c r="D527" t="s">
        <v>86</v>
      </c>
      <c r="E527">
        <v>10</v>
      </c>
      <c r="F527">
        <v>2021</v>
      </c>
      <c r="G527" s="1">
        <f>DATE(Table2[[#This Row],[Tahun]],Table2[[#This Row],[Bulan]],1)</f>
        <v>44470</v>
      </c>
      <c r="H527">
        <v>157</v>
      </c>
    </row>
    <row r="528" spans="1:8" x14ac:dyDescent="0.25">
      <c r="A528">
        <v>527</v>
      </c>
      <c r="B528" t="str">
        <f>Table2[[#This Row],[Propinsi]]&amp;"_"&amp;Table2[[#This Row],[Dati 2]]&amp;"_"&amp;Table2[[#This Row],[Tanggal]]</f>
        <v>JAWA BARAT_CIREBON_44501</v>
      </c>
      <c r="C528" t="s">
        <v>4</v>
      </c>
      <c r="D528" t="s">
        <v>86</v>
      </c>
      <c r="E528">
        <v>11</v>
      </c>
      <c r="F528">
        <v>2021</v>
      </c>
      <c r="G528" s="1">
        <f>DATE(Table2[[#This Row],[Tahun]],Table2[[#This Row],[Bulan]],1)</f>
        <v>44501</v>
      </c>
      <c r="H528">
        <v>161</v>
      </c>
    </row>
    <row r="529" spans="1:8" x14ac:dyDescent="0.25">
      <c r="A529">
        <v>528</v>
      </c>
      <c r="B529" t="str">
        <f>Table2[[#This Row],[Propinsi]]&amp;"_"&amp;Table2[[#This Row],[Dati 2]]&amp;"_"&amp;Table2[[#This Row],[Tanggal]]</f>
        <v>JAWA BARAT_CIREBON_44531</v>
      </c>
      <c r="C529" t="s">
        <v>4</v>
      </c>
      <c r="D529" t="s">
        <v>86</v>
      </c>
      <c r="E529">
        <v>12</v>
      </c>
      <c r="F529">
        <v>2021</v>
      </c>
      <c r="G529" s="1">
        <f>DATE(Table2[[#This Row],[Tahun]],Table2[[#This Row],[Bulan]],1)</f>
        <v>44531</v>
      </c>
      <c r="H529">
        <v>163</v>
      </c>
    </row>
    <row r="530" spans="1:8" x14ac:dyDescent="0.25">
      <c r="A530">
        <v>529</v>
      </c>
      <c r="B530" t="str">
        <f>Table2[[#This Row],[Propinsi]]&amp;"_"&amp;Table2[[#This Row],[Dati 2]]&amp;"_"&amp;Table2[[#This Row],[Tanggal]]</f>
        <v>JAWA BARAT_INDRAMAYU_44197</v>
      </c>
      <c r="C530" t="s">
        <v>4</v>
      </c>
      <c r="D530" t="s">
        <v>87</v>
      </c>
      <c r="E530">
        <v>1</v>
      </c>
      <c r="F530">
        <v>2021</v>
      </c>
      <c r="G530" s="1">
        <f>DATE(Table2[[#This Row],[Tahun]],Table2[[#This Row],[Bulan]],1)</f>
        <v>44197</v>
      </c>
      <c r="H530">
        <v>120</v>
      </c>
    </row>
    <row r="531" spans="1:8" x14ac:dyDescent="0.25">
      <c r="A531">
        <v>530</v>
      </c>
      <c r="B531" t="str">
        <f>Table2[[#This Row],[Propinsi]]&amp;"_"&amp;Table2[[#This Row],[Dati 2]]&amp;"_"&amp;Table2[[#This Row],[Tanggal]]</f>
        <v>JAWA BARAT_INDRAMAYU_44228</v>
      </c>
      <c r="C531" t="s">
        <v>4</v>
      </c>
      <c r="D531" t="s">
        <v>87</v>
      </c>
      <c r="E531">
        <v>2</v>
      </c>
      <c r="F531">
        <v>2021</v>
      </c>
      <c r="G531" s="1">
        <f>DATE(Table2[[#This Row],[Tahun]],Table2[[#This Row],[Bulan]],1)</f>
        <v>44228</v>
      </c>
      <c r="H531">
        <v>122</v>
      </c>
    </row>
    <row r="532" spans="1:8" x14ac:dyDescent="0.25">
      <c r="A532">
        <v>531</v>
      </c>
      <c r="B532" t="str">
        <f>Table2[[#This Row],[Propinsi]]&amp;"_"&amp;Table2[[#This Row],[Dati 2]]&amp;"_"&amp;Table2[[#This Row],[Tanggal]]</f>
        <v>JAWA BARAT_INDRAMAYU_44256</v>
      </c>
      <c r="C532" t="s">
        <v>4</v>
      </c>
      <c r="D532" t="s">
        <v>87</v>
      </c>
      <c r="E532">
        <v>3</v>
      </c>
      <c r="F532">
        <v>2021</v>
      </c>
      <c r="G532" s="1">
        <f>DATE(Table2[[#This Row],[Tahun]],Table2[[#This Row],[Bulan]],1)</f>
        <v>44256</v>
      </c>
      <c r="H532">
        <v>122</v>
      </c>
    </row>
    <row r="533" spans="1:8" x14ac:dyDescent="0.25">
      <c r="A533">
        <v>532</v>
      </c>
      <c r="B533" t="str">
        <f>Table2[[#This Row],[Propinsi]]&amp;"_"&amp;Table2[[#This Row],[Dati 2]]&amp;"_"&amp;Table2[[#This Row],[Tanggal]]</f>
        <v>JAWA BARAT_INDRAMAYU_44287</v>
      </c>
      <c r="C533" t="s">
        <v>4</v>
      </c>
      <c r="D533" t="s">
        <v>87</v>
      </c>
      <c r="E533">
        <v>4</v>
      </c>
      <c r="F533">
        <v>2021</v>
      </c>
      <c r="G533" s="1">
        <f>DATE(Table2[[#This Row],[Tahun]],Table2[[#This Row],[Bulan]],1)</f>
        <v>44287</v>
      </c>
      <c r="H533">
        <v>127</v>
      </c>
    </row>
    <row r="534" spans="1:8" x14ac:dyDescent="0.25">
      <c r="A534">
        <v>533</v>
      </c>
      <c r="B534" t="str">
        <f>Table2[[#This Row],[Propinsi]]&amp;"_"&amp;Table2[[#This Row],[Dati 2]]&amp;"_"&amp;Table2[[#This Row],[Tanggal]]</f>
        <v>JAWA BARAT_INDRAMAYU_44317</v>
      </c>
      <c r="C534" t="s">
        <v>4</v>
      </c>
      <c r="D534" t="s">
        <v>87</v>
      </c>
      <c r="E534">
        <v>5</v>
      </c>
      <c r="F534">
        <v>2021</v>
      </c>
      <c r="G534" s="1">
        <f>DATE(Table2[[#This Row],[Tahun]],Table2[[#This Row],[Bulan]],1)</f>
        <v>44317</v>
      </c>
      <c r="H534">
        <v>131</v>
      </c>
    </row>
    <row r="535" spans="1:8" x14ac:dyDescent="0.25">
      <c r="A535">
        <v>534</v>
      </c>
      <c r="B535" t="str">
        <f>Table2[[#This Row],[Propinsi]]&amp;"_"&amp;Table2[[#This Row],[Dati 2]]&amp;"_"&amp;Table2[[#This Row],[Tanggal]]</f>
        <v>JAWA BARAT_INDRAMAYU_44348</v>
      </c>
      <c r="C535" t="s">
        <v>4</v>
      </c>
      <c r="D535" t="s">
        <v>87</v>
      </c>
      <c r="E535">
        <v>6</v>
      </c>
      <c r="F535">
        <v>2021</v>
      </c>
      <c r="G535" s="1">
        <f>DATE(Table2[[#This Row],[Tahun]],Table2[[#This Row],[Bulan]],1)</f>
        <v>44348</v>
      </c>
      <c r="H535">
        <v>134</v>
      </c>
    </row>
    <row r="536" spans="1:8" x14ac:dyDescent="0.25">
      <c r="A536">
        <v>535</v>
      </c>
      <c r="B536" t="str">
        <f>Table2[[#This Row],[Propinsi]]&amp;"_"&amp;Table2[[#This Row],[Dati 2]]&amp;"_"&amp;Table2[[#This Row],[Tanggal]]</f>
        <v>JAWA BARAT_INDRAMAYU_44378</v>
      </c>
      <c r="C536" t="s">
        <v>4</v>
      </c>
      <c r="D536" t="s">
        <v>87</v>
      </c>
      <c r="E536">
        <v>7</v>
      </c>
      <c r="F536">
        <v>2021</v>
      </c>
      <c r="G536" s="1">
        <f>DATE(Table2[[#This Row],[Tahun]],Table2[[#This Row],[Bulan]],1)</f>
        <v>44378</v>
      </c>
      <c r="H536">
        <v>135</v>
      </c>
    </row>
    <row r="537" spans="1:8" x14ac:dyDescent="0.25">
      <c r="A537">
        <v>536</v>
      </c>
      <c r="B537" t="str">
        <f>Table2[[#This Row],[Propinsi]]&amp;"_"&amp;Table2[[#This Row],[Dati 2]]&amp;"_"&amp;Table2[[#This Row],[Tanggal]]</f>
        <v>JAWA BARAT_INDRAMAYU_44409</v>
      </c>
      <c r="C537" t="s">
        <v>4</v>
      </c>
      <c r="D537" t="s">
        <v>87</v>
      </c>
      <c r="E537">
        <v>8</v>
      </c>
      <c r="F537">
        <v>2021</v>
      </c>
      <c r="G537" s="1">
        <f>DATE(Table2[[#This Row],[Tahun]],Table2[[#This Row],[Bulan]],1)</f>
        <v>44409</v>
      </c>
      <c r="H537">
        <v>133</v>
      </c>
    </row>
    <row r="538" spans="1:8" x14ac:dyDescent="0.25">
      <c r="A538">
        <v>537</v>
      </c>
      <c r="B538" t="str">
        <f>Table2[[#This Row],[Propinsi]]&amp;"_"&amp;Table2[[#This Row],[Dati 2]]&amp;"_"&amp;Table2[[#This Row],[Tanggal]]</f>
        <v>JAWA BARAT_INDRAMAYU_44440</v>
      </c>
      <c r="C538" t="s">
        <v>4</v>
      </c>
      <c r="D538" t="s">
        <v>87</v>
      </c>
      <c r="E538">
        <v>9</v>
      </c>
      <c r="F538">
        <v>2021</v>
      </c>
      <c r="G538" s="1">
        <f>DATE(Table2[[#This Row],[Tahun]],Table2[[#This Row],[Bulan]],1)</f>
        <v>44440</v>
      </c>
      <c r="H538">
        <v>134</v>
      </c>
    </row>
    <row r="539" spans="1:8" x14ac:dyDescent="0.25">
      <c r="A539">
        <v>538</v>
      </c>
      <c r="B539" t="str">
        <f>Table2[[#This Row],[Propinsi]]&amp;"_"&amp;Table2[[#This Row],[Dati 2]]&amp;"_"&amp;Table2[[#This Row],[Tanggal]]</f>
        <v>JAWA BARAT_INDRAMAYU_44470</v>
      </c>
      <c r="C539" t="s">
        <v>4</v>
      </c>
      <c r="D539" t="s">
        <v>87</v>
      </c>
      <c r="E539">
        <v>10</v>
      </c>
      <c r="F539">
        <v>2021</v>
      </c>
      <c r="G539" s="1">
        <f>DATE(Table2[[#This Row],[Tahun]],Table2[[#This Row],[Bulan]],1)</f>
        <v>44470</v>
      </c>
      <c r="H539">
        <v>136</v>
      </c>
    </row>
    <row r="540" spans="1:8" x14ac:dyDescent="0.25">
      <c r="A540">
        <v>539</v>
      </c>
      <c r="B540" t="str">
        <f>Table2[[#This Row],[Propinsi]]&amp;"_"&amp;Table2[[#This Row],[Dati 2]]&amp;"_"&amp;Table2[[#This Row],[Tanggal]]</f>
        <v>JAWA BARAT_INDRAMAYU_44501</v>
      </c>
      <c r="C540" t="s">
        <v>4</v>
      </c>
      <c r="D540" t="s">
        <v>87</v>
      </c>
      <c r="E540">
        <v>11</v>
      </c>
      <c r="F540">
        <v>2021</v>
      </c>
      <c r="G540" s="1">
        <f>DATE(Table2[[#This Row],[Tahun]],Table2[[#This Row],[Bulan]],1)</f>
        <v>44501</v>
      </c>
      <c r="H540">
        <v>136</v>
      </c>
    </row>
    <row r="541" spans="1:8" x14ac:dyDescent="0.25">
      <c r="A541">
        <v>540</v>
      </c>
      <c r="B541" t="str">
        <f>Table2[[#This Row],[Propinsi]]&amp;"_"&amp;Table2[[#This Row],[Dati 2]]&amp;"_"&amp;Table2[[#This Row],[Tanggal]]</f>
        <v>JAWA BARAT_INDRAMAYU_44531</v>
      </c>
      <c r="C541" t="s">
        <v>4</v>
      </c>
      <c r="D541" t="s">
        <v>87</v>
      </c>
      <c r="E541">
        <v>12</v>
      </c>
      <c r="F541">
        <v>2021</v>
      </c>
      <c r="G541" s="1">
        <f>DATE(Table2[[#This Row],[Tahun]],Table2[[#This Row],[Bulan]],1)</f>
        <v>44531</v>
      </c>
      <c r="H541">
        <v>135</v>
      </c>
    </row>
    <row r="542" spans="1:8" x14ac:dyDescent="0.25">
      <c r="A542">
        <v>541</v>
      </c>
      <c r="B542" t="str">
        <f>Table2[[#This Row],[Propinsi]]&amp;"_"&amp;Table2[[#This Row],[Dati 2]]&amp;"_"&amp;Table2[[#This Row],[Tanggal]]</f>
        <v>JAWA BARAT_SUMEDANG_44197</v>
      </c>
      <c r="C542" t="s">
        <v>4</v>
      </c>
      <c r="D542" t="s">
        <v>88</v>
      </c>
      <c r="E542">
        <v>1</v>
      </c>
      <c r="F542">
        <v>2021</v>
      </c>
      <c r="G542" s="1">
        <f>DATE(Table2[[#This Row],[Tahun]],Table2[[#This Row],[Bulan]],1)</f>
        <v>44197</v>
      </c>
      <c r="H542">
        <v>69</v>
      </c>
    </row>
    <row r="543" spans="1:8" x14ac:dyDescent="0.25">
      <c r="A543">
        <v>542</v>
      </c>
      <c r="B543" t="str">
        <f>Table2[[#This Row],[Propinsi]]&amp;"_"&amp;Table2[[#This Row],[Dati 2]]&amp;"_"&amp;Table2[[#This Row],[Tanggal]]</f>
        <v>JAWA BARAT_SUMEDANG_44228</v>
      </c>
      <c r="C543" t="s">
        <v>4</v>
      </c>
      <c r="D543" t="s">
        <v>88</v>
      </c>
      <c r="E543">
        <v>2</v>
      </c>
      <c r="F543">
        <v>2021</v>
      </c>
      <c r="G543" s="1">
        <f>DATE(Table2[[#This Row],[Tahun]],Table2[[#This Row],[Bulan]],1)</f>
        <v>44228</v>
      </c>
      <c r="H543">
        <v>75</v>
      </c>
    </row>
    <row r="544" spans="1:8" x14ac:dyDescent="0.25">
      <c r="A544">
        <v>543</v>
      </c>
      <c r="B544" t="str">
        <f>Table2[[#This Row],[Propinsi]]&amp;"_"&amp;Table2[[#This Row],[Dati 2]]&amp;"_"&amp;Table2[[#This Row],[Tanggal]]</f>
        <v>JAWA BARAT_SUMEDANG_44256</v>
      </c>
      <c r="C544" t="s">
        <v>4</v>
      </c>
      <c r="D544" t="s">
        <v>88</v>
      </c>
      <c r="E544">
        <v>3</v>
      </c>
      <c r="F544">
        <v>2021</v>
      </c>
      <c r="G544" s="1">
        <f>DATE(Table2[[#This Row],[Tahun]],Table2[[#This Row],[Bulan]],1)</f>
        <v>44256</v>
      </c>
      <c r="H544">
        <v>78</v>
      </c>
    </row>
    <row r="545" spans="1:8" x14ac:dyDescent="0.25">
      <c r="A545">
        <v>544</v>
      </c>
      <c r="B545" t="str">
        <f>Table2[[#This Row],[Propinsi]]&amp;"_"&amp;Table2[[#This Row],[Dati 2]]&amp;"_"&amp;Table2[[#This Row],[Tanggal]]</f>
        <v>JAWA BARAT_SUMEDANG_44287</v>
      </c>
      <c r="C545" t="s">
        <v>4</v>
      </c>
      <c r="D545" t="s">
        <v>88</v>
      </c>
      <c r="E545">
        <v>4</v>
      </c>
      <c r="F545">
        <v>2021</v>
      </c>
      <c r="G545" s="1">
        <f>DATE(Table2[[#This Row],[Tahun]],Table2[[#This Row],[Bulan]],1)</f>
        <v>44287</v>
      </c>
      <c r="H545">
        <v>83</v>
      </c>
    </row>
    <row r="546" spans="1:8" x14ac:dyDescent="0.25">
      <c r="A546">
        <v>545</v>
      </c>
      <c r="B546" t="str">
        <f>Table2[[#This Row],[Propinsi]]&amp;"_"&amp;Table2[[#This Row],[Dati 2]]&amp;"_"&amp;Table2[[#This Row],[Tanggal]]</f>
        <v>JAWA BARAT_SUMEDANG_44317</v>
      </c>
      <c r="C546" t="s">
        <v>4</v>
      </c>
      <c r="D546" t="s">
        <v>88</v>
      </c>
      <c r="E546">
        <v>5</v>
      </c>
      <c r="F546">
        <v>2021</v>
      </c>
      <c r="G546" s="1">
        <f>DATE(Table2[[#This Row],[Tahun]],Table2[[#This Row],[Bulan]],1)</f>
        <v>44317</v>
      </c>
      <c r="H546">
        <v>88</v>
      </c>
    </row>
    <row r="547" spans="1:8" x14ac:dyDescent="0.25">
      <c r="A547">
        <v>546</v>
      </c>
      <c r="B547" t="str">
        <f>Table2[[#This Row],[Propinsi]]&amp;"_"&amp;Table2[[#This Row],[Dati 2]]&amp;"_"&amp;Table2[[#This Row],[Tanggal]]</f>
        <v>JAWA BARAT_SUMEDANG_44348</v>
      </c>
      <c r="C547" t="s">
        <v>4</v>
      </c>
      <c r="D547" t="s">
        <v>88</v>
      </c>
      <c r="E547">
        <v>6</v>
      </c>
      <c r="F547">
        <v>2021</v>
      </c>
      <c r="G547" s="1">
        <f>DATE(Table2[[#This Row],[Tahun]],Table2[[#This Row],[Bulan]],1)</f>
        <v>44348</v>
      </c>
      <c r="H547">
        <v>95</v>
      </c>
    </row>
    <row r="548" spans="1:8" x14ac:dyDescent="0.25">
      <c r="A548">
        <v>547</v>
      </c>
      <c r="B548" t="str">
        <f>Table2[[#This Row],[Propinsi]]&amp;"_"&amp;Table2[[#This Row],[Dati 2]]&amp;"_"&amp;Table2[[#This Row],[Tanggal]]</f>
        <v>JAWA BARAT_SUMEDANG_44378</v>
      </c>
      <c r="C548" t="s">
        <v>4</v>
      </c>
      <c r="D548" t="s">
        <v>88</v>
      </c>
      <c r="E548">
        <v>7</v>
      </c>
      <c r="F548">
        <v>2021</v>
      </c>
      <c r="G548" s="1">
        <f>DATE(Table2[[#This Row],[Tahun]],Table2[[#This Row],[Bulan]],1)</f>
        <v>44378</v>
      </c>
      <c r="H548">
        <v>93</v>
      </c>
    </row>
    <row r="549" spans="1:8" x14ac:dyDescent="0.25">
      <c r="A549">
        <v>548</v>
      </c>
      <c r="B549" t="str">
        <f>Table2[[#This Row],[Propinsi]]&amp;"_"&amp;Table2[[#This Row],[Dati 2]]&amp;"_"&amp;Table2[[#This Row],[Tanggal]]</f>
        <v>JAWA BARAT_SUMEDANG_44409</v>
      </c>
      <c r="C549" t="s">
        <v>4</v>
      </c>
      <c r="D549" t="s">
        <v>88</v>
      </c>
      <c r="E549">
        <v>8</v>
      </c>
      <c r="F549">
        <v>2021</v>
      </c>
      <c r="G549" s="1">
        <f>DATE(Table2[[#This Row],[Tahun]],Table2[[#This Row],[Bulan]],1)</f>
        <v>44409</v>
      </c>
      <c r="H549">
        <v>96</v>
      </c>
    </row>
    <row r="550" spans="1:8" x14ac:dyDescent="0.25">
      <c r="A550">
        <v>549</v>
      </c>
      <c r="B550" t="str">
        <f>Table2[[#This Row],[Propinsi]]&amp;"_"&amp;Table2[[#This Row],[Dati 2]]&amp;"_"&amp;Table2[[#This Row],[Tanggal]]</f>
        <v>JAWA BARAT_SUMEDANG_44440</v>
      </c>
      <c r="C550" t="s">
        <v>4</v>
      </c>
      <c r="D550" t="s">
        <v>88</v>
      </c>
      <c r="E550">
        <v>9</v>
      </c>
      <c r="F550">
        <v>2021</v>
      </c>
      <c r="G550" s="1">
        <f>DATE(Table2[[#This Row],[Tahun]],Table2[[#This Row],[Bulan]],1)</f>
        <v>44440</v>
      </c>
      <c r="H550">
        <v>99</v>
      </c>
    </row>
    <row r="551" spans="1:8" x14ac:dyDescent="0.25">
      <c r="A551">
        <v>550</v>
      </c>
      <c r="B551" t="str">
        <f>Table2[[#This Row],[Propinsi]]&amp;"_"&amp;Table2[[#This Row],[Dati 2]]&amp;"_"&amp;Table2[[#This Row],[Tanggal]]</f>
        <v>JAWA BARAT_SUMEDANG_44470</v>
      </c>
      <c r="C551" t="s">
        <v>4</v>
      </c>
      <c r="D551" t="s">
        <v>88</v>
      </c>
      <c r="E551">
        <v>10</v>
      </c>
      <c r="F551">
        <v>2021</v>
      </c>
      <c r="G551" s="1">
        <f>DATE(Table2[[#This Row],[Tahun]],Table2[[#This Row],[Bulan]],1)</f>
        <v>44470</v>
      </c>
      <c r="H551">
        <v>104</v>
      </c>
    </row>
    <row r="552" spans="1:8" x14ac:dyDescent="0.25">
      <c r="A552">
        <v>551</v>
      </c>
      <c r="B552" t="str">
        <f>Table2[[#This Row],[Propinsi]]&amp;"_"&amp;Table2[[#This Row],[Dati 2]]&amp;"_"&amp;Table2[[#This Row],[Tanggal]]</f>
        <v>JAWA BARAT_SUMEDANG_44501</v>
      </c>
      <c r="C552" t="s">
        <v>4</v>
      </c>
      <c r="D552" t="s">
        <v>88</v>
      </c>
      <c r="E552">
        <v>11</v>
      </c>
      <c r="F552">
        <v>2021</v>
      </c>
      <c r="G552" s="1">
        <f>DATE(Table2[[#This Row],[Tahun]],Table2[[#This Row],[Bulan]],1)</f>
        <v>44501</v>
      </c>
      <c r="H552">
        <v>110</v>
      </c>
    </row>
    <row r="553" spans="1:8" x14ac:dyDescent="0.25">
      <c r="A553">
        <v>552</v>
      </c>
      <c r="B553" t="str">
        <f>Table2[[#This Row],[Propinsi]]&amp;"_"&amp;Table2[[#This Row],[Dati 2]]&amp;"_"&amp;Table2[[#This Row],[Tanggal]]</f>
        <v>JAWA BARAT_SUMEDANG_44531</v>
      </c>
      <c r="C553" t="s">
        <v>4</v>
      </c>
      <c r="D553" t="s">
        <v>88</v>
      </c>
      <c r="E553">
        <v>12</v>
      </c>
      <c r="F553">
        <v>2021</v>
      </c>
      <c r="G553" s="1">
        <f>DATE(Table2[[#This Row],[Tahun]],Table2[[#This Row],[Bulan]],1)</f>
        <v>44531</v>
      </c>
      <c r="H553">
        <v>116</v>
      </c>
    </row>
    <row r="554" spans="1:8" x14ac:dyDescent="0.25">
      <c r="A554">
        <v>553</v>
      </c>
      <c r="B554" t="str">
        <f>Table2[[#This Row],[Propinsi]]&amp;"_"&amp;Table2[[#This Row],[Dati 2]]&amp;"_"&amp;Table2[[#This Row],[Tanggal]]</f>
        <v>JAWA BARAT_MAJALENGKA_44197</v>
      </c>
      <c r="C554" t="s">
        <v>4</v>
      </c>
      <c r="D554" t="s">
        <v>89</v>
      </c>
      <c r="E554">
        <v>1</v>
      </c>
      <c r="F554">
        <v>2021</v>
      </c>
      <c r="G554" s="1">
        <f>DATE(Table2[[#This Row],[Tahun]],Table2[[#This Row],[Bulan]],1)</f>
        <v>44197</v>
      </c>
      <c r="H554">
        <v>111</v>
      </c>
    </row>
    <row r="555" spans="1:8" x14ac:dyDescent="0.25">
      <c r="A555">
        <v>554</v>
      </c>
      <c r="B555" t="str">
        <f>Table2[[#This Row],[Propinsi]]&amp;"_"&amp;Table2[[#This Row],[Dati 2]]&amp;"_"&amp;Table2[[#This Row],[Tanggal]]</f>
        <v>JAWA BARAT_MAJALENGKA_44228</v>
      </c>
      <c r="C555" t="s">
        <v>4</v>
      </c>
      <c r="D555" t="s">
        <v>89</v>
      </c>
      <c r="E555">
        <v>2</v>
      </c>
      <c r="F555">
        <v>2021</v>
      </c>
      <c r="G555" s="1">
        <f>DATE(Table2[[#This Row],[Tahun]],Table2[[#This Row],[Bulan]],1)</f>
        <v>44228</v>
      </c>
      <c r="H555">
        <v>109</v>
      </c>
    </row>
    <row r="556" spans="1:8" x14ac:dyDescent="0.25">
      <c r="A556">
        <v>555</v>
      </c>
      <c r="B556" t="str">
        <f>Table2[[#This Row],[Propinsi]]&amp;"_"&amp;Table2[[#This Row],[Dati 2]]&amp;"_"&amp;Table2[[#This Row],[Tanggal]]</f>
        <v>JAWA BARAT_MAJALENGKA_44256</v>
      </c>
      <c r="C556" t="s">
        <v>4</v>
      </c>
      <c r="D556" t="s">
        <v>89</v>
      </c>
      <c r="E556">
        <v>3</v>
      </c>
      <c r="F556">
        <v>2021</v>
      </c>
      <c r="G556" s="1">
        <f>DATE(Table2[[#This Row],[Tahun]],Table2[[#This Row],[Bulan]],1)</f>
        <v>44256</v>
      </c>
      <c r="H556">
        <v>115</v>
      </c>
    </row>
    <row r="557" spans="1:8" x14ac:dyDescent="0.25">
      <c r="A557">
        <v>556</v>
      </c>
      <c r="B557" t="str">
        <f>Table2[[#This Row],[Propinsi]]&amp;"_"&amp;Table2[[#This Row],[Dati 2]]&amp;"_"&amp;Table2[[#This Row],[Tanggal]]</f>
        <v>JAWA BARAT_MAJALENGKA_44287</v>
      </c>
      <c r="C557" t="s">
        <v>4</v>
      </c>
      <c r="D557" t="s">
        <v>89</v>
      </c>
      <c r="E557">
        <v>4</v>
      </c>
      <c r="F557">
        <v>2021</v>
      </c>
      <c r="G557" s="1">
        <f>DATE(Table2[[#This Row],[Tahun]],Table2[[#This Row],[Bulan]],1)</f>
        <v>44287</v>
      </c>
      <c r="H557">
        <v>116</v>
      </c>
    </row>
    <row r="558" spans="1:8" x14ac:dyDescent="0.25">
      <c r="A558">
        <v>557</v>
      </c>
      <c r="B558" t="str">
        <f>Table2[[#This Row],[Propinsi]]&amp;"_"&amp;Table2[[#This Row],[Dati 2]]&amp;"_"&amp;Table2[[#This Row],[Tanggal]]</f>
        <v>JAWA BARAT_MAJALENGKA_44317</v>
      </c>
      <c r="C558" t="s">
        <v>4</v>
      </c>
      <c r="D558" t="s">
        <v>89</v>
      </c>
      <c r="E558">
        <v>5</v>
      </c>
      <c r="F558">
        <v>2021</v>
      </c>
      <c r="G558" s="1">
        <f>DATE(Table2[[#This Row],[Tahun]],Table2[[#This Row],[Bulan]],1)</f>
        <v>44317</v>
      </c>
      <c r="H558">
        <v>122</v>
      </c>
    </row>
    <row r="559" spans="1:8" x14ac:dyDescent="0.25">
      <c r="A559">
        <v>558</v>
      </c>
      <c r="B559" t="str">
        <f>Table2[[#This Row],[Propinsi]]&amp;"_"&amp;Table2[[#This Row],[Dati 2]]&amp;"_"&amp;Table2[[#This Row],[Tanggal]]</f>
        <v>JAWA BARAT_MAJALENGKA_44348</v>
      </c>
      <c r="C559" t="s">
        <v>4</v>
      </c>
      <c r="D559" t="s">
        <v>89</v>
      </c>
      <c r="E559">
        <v>6</v>
      </c>
      <c r="F559">
        <v>2021</v>
      </c>
      <c r="G559" s="1">
        <f>DATE(Table2[[#This Row],[Tahun]],Table2[[#This Row],[Bulan]],1)</f>
        <v>44348</v>
      </c>
      <c r="H559">
        <v>122</v>
      </c>
    </row>
    <row r="560" spans="1:8" x14ac:dyDescent="0.25">
      <c r="A560">
        <v>559</v>
      </c>
      <c r="B560" t="str">
        <f>Table2[[#This Row],[Propinsi]]&amp;"_"&amp;Table2[[#This Row],[Dati 2]]&amp;"_"&amp;Table2[[#This Row],[Tanggal]]</f>
        <v>JAWA BARAT_MAJALENGKA_44378</v>
      </c>
      <c r="C560" t="s">
        <v>4</v>
      </c>
      <c r="D560" t="s">
        <v>89</v>
      </c>
      <c r="E560">
        <v>7</v>
      </c>
      <c r="F560">
        <v>2021</v>
      </c>
      <c r="G560" s="1">
        <f>DATE(Table2[[#This Row],[Tahun]],Table2[[#This Row],[Bulan]],1)</f>
        <v>44378</v>
      </c>
      <c r="H560">
        <v>128</v>
      </c>
    </row>
    <row r="561" spans="1:8" x14ac:dyDescent="0.25">
      <c r="A561">
        <v>560</v>
      </c>
      <c r="B561" t="str">
        <f>Table2[[#This Row],[Propinsi]]&amp;"_"&amp;Table2[[#This Row],[Dati 2]]&amp;"_"&amp;Table2[[#This Row],[Tanggal]]</f>
        <v>JAWA BARAT_MAJALENGKA_44409</v>
      </c>
      <c r="C561" t="s">
        <v>4</v>
      </c>
      <c r="D561" t="s">
        <v>89</v>
      </c>
      <c r="E561">
        <v>8</v>
      </c>
      <c r="F561">
        <v>2021</v>
      </c>
      <c r="G561" s="1">
        <f>DATE(Table2[[#This Row],[Tahun]],Table2[[#This Row],[Bulan]],1)</f>
        <v>44409</v>
      </c>
      <c r="H561">
        <v>127</v>
      </c>
    </row>
    <row r="562" spans="1:8" x14ac:dyDescent="0.25">
      <c r="A562">
        <v>561</v>
      </c>
      <c r="B562" t="str">
        <f>Table2[[#This Row],[Propinsi]]&amp;"_"&amp;Table2[[#This Row],[Dati 2]]&amp;"_"&amp;Table2[[#This Row],[Tanggal]]</f>
        <v>JAWA BARAT_MAJALENGKA_44440</v>
      </c>
      <c r="C562" t="s">
        <v>4</v>
      </c>
      <c r="D562" t="s">
        <v>89</v>
      </c>
      <c r="E562">
        <v>9</v>
      </c>
      <c r="F562">
        <v>2021</v>
      </c>
      <c r="G562" s="1">
        <f>DATE(Table2[[#This Row],[Tahun]],Table2[[#This Row],[Bulan]],1)</f>
        <v>44440</v>
      </c>
      <c r="H562">
        <v>131</v>
      </c>
    </row>
    <row r="563" spans="1:8" x14ac:dyDescent="0.25">
      <c r="A563">
        <v>562</v>
      </c>
      <c r="B563" t="str">
        <f>Table2[[#This Row],[Propinsi]]&amp;"_"&amp;Table2[[#This Row],[Dati 2]]&amp;"_"&amp;Table2[[#This Row],[Tanggal]]</f>
        <v>JAWA BARAT_MAJALENGKA_44470</v>
      </c>
      <c r="C563" t="s">
        <v>4</v>
      </c>
      <c r="D563" t="s">
        <v>89</v>
      </c>
      <c r="E563">
        <v>10</v>
      </c>
      <c r="F563">
        <v>2021</v>
      </c>
      <c r="G563" s="1">
        <f>DATE(Table2[[#This Row],[Tahun]],Table2[[#This Row],[Bulan]],1)</f>
        <v>44470</v>
      </c>
      <c r="H563">
        <v>134</v>
      </c>
    </row>
    <row r="564" spans="1:8" x14ac:dyDescent="0.25">
      <c r="A564">
        <v>563</v>
      </c>
      <c r="B564" t="str">
        <f>Table2[[#This Row],[Propinsi]]&amp;"_"&amp;Table2[[#This Row],[Dati 2]]&amp;"_"&amp;Table2[[#This Row],[Tanggal]]</f>
        <v>JAWA BARAT_MAJALENGKA_44501</v>
      </c>
      <c r="C564" t="s">
        <v>4</v>
      </c>
      <c r="D564" t="s">
        <v>89</v>
      </c>
      <c r="E564">
        <v>11</v>
      </c>
      <c r="F564">
        <v>2021</v>
      </c>
      <c r="G564" s="1">
        <f>DATE(Table2[[#This Row],[Tahun]],Table2[[#This Row],[Bulan]],1)</f>
        <v>44501</v>
      </c>
      <c r="H564">
        <v>139</v>
      </c>
    </row>
    <row r="565" spans="1:8" x14ac:dyDescent="0.25">
      <c r="A565">
        <v>564</v>
      </c>
      <c r="B565" t="str">
        <f>Table2[[#This Row],[Propinsi]]&amp;"_"&amp;Table2[[#This Row],[Dati 2]]&amp;"_"&amp;Table2[[#This Row],[Tanggal]]</f>
        <v>JAWA BARAT_MAJALENGKA_44531</v>
      </c>
      <c r="C565" t="s">
        <v>4</v>
      </c>
      <c r="D565" t="s">
        <v>89</v>
      </c>
      <c r="E565">
        <v>12</v>
      </c>
      <c r="F565">
        <v>2021</v>
      </c>
      <c r="G565" s="1">
        <f>DATE(Table2[[#This Row],[Tahun]],Table2[[#This Row],[Bulan]],1)</f>
        <v>44531</v>
      </c>
      <c r="H565">
        <v>142</v>
      </c>
    </row>
    <row r="566" spans="1:8" x14ac:dyDescent="0.25">
      <c r="A566">
        <v>565</v>
      </c>
      <c r="B566" t="str">
        <f>Table2[[#This Row],[Propinsi]]&amp;"_"&amp;Table2[[#This Row],[Dati 2]]&amp;"_"&amp;Table2[[#This Row],[Tanggal]]</f>
        <v>JAWA BARAT_KUNINGAN_44197</v>
      </c>
      <c r="C566" t="s">
        <v>4</v>
      </c>
      <c r="D566" t="s">
        <v>90</v>
      </c>
      <c r="E566">
        <v>1</v>
      </c>
      <c r="F566">
        <v>2021</v>
      </c>
      <c r="G566" s="1">
        <f>DATE(Table2[[#This Row],[Tahun]],Table2[[#This Row],[Bulan]],1)</f>
        <v>44197</v>
      </c>
      <c r="H566">
        <v>91</v>
      </c>
    </row>
    <row r="567" spans="1:8" x14ac:dyDescent="0.25">
      <c r="A567">
        <v>566</v>
      </c>
      <c r="B567" t="str">
        <f>Table2[[#This Row],[Propinsi]]&amp;"_"&amp;Table2[[#This Row],[Dati 2]]&amp;"_"&amp;Table2[[#This Row],[Tanggal]]</f>
        <v>JAWA BARAT_KUNINGAN_44228</v>
      </c>
      <c r="C567" t="s">
        <v>4</v>
      </c>
      <c r="D567" t="s">
        <v>90</v>
      </c>
      <c r="E567">
        <v>2</v>
      </c>
      <c r="F567">
        <v>2021</v>
      </c>
      <c r="G567" s="1">
        <f>DATE(Table2[[#This Row],[Tahun]],Table2[[#This Row],[Bulan]],1)</f>
        <v>44228</v>
      </c>
      <c r="H567">
        <v>89</v>
      </c>
    </row>
    <row r="568" spans="1:8" x14ac:dyDescent="0.25">
      <c r="A568">
        <v>567</v>
      </c>
      <c r="B568" t="str">
        <f>Table2[[#This Row],[Propinsi]]&amp;"_"&amp;Table2[[#This Row],[Dati 2]]&amp;"_"&amp;Table2[[#This Row],[Tanggal]]</f>
        <v>JAWA BARAT_KUNINGAN_44256</v>
      </c>
      <c r="C568" t="s">
        <v>4</v>
      </c>
      <c r="D568" t="s">
        <v>90</v>
      </c>
      <c r="E568">
        <v>3</v>
      </c>
      <c r="F568">
        <v>2021</v>
      </c>
      <c r="G568" s="1">
        <f>DATE(Table2[[#This Row],[Tahun]],Table2[[#This Row],[Bulan]],1)</f>
        <v>44256</v>
      </c>
      <c r="H568">
        <v>95</v>
      </c>
    </row>
    <row r="569" spans="1:8" x14ac:dyDescent="0.25">
      <c r="A569">
        <v>568</v>
      </c>
      <c r="B569" t="str">
        <f>Table2[[#This Row],[Propinsi]]&amp;"_"&amp;Table2[[#This Row],[Dati 2]]&amp;"_"&amp;Table2[[#This Row],[Tanggal]]</f>
        <v>JAWA BARAT_KUNINGAN_44287</v>
      </c>
      <c r="C569" t="s">
        <v>4</v>
      </c>
      <c r="D569" t="s">
        <v>90</v>
      </c>
      <c r="E569">
        <v>4</v>
      </c>
      <c r="F569">
        <v>2021</v>
      </c>
      <c r="G569" s="1">
        <f>DATE(Table2[[#This Row],[Tahun]],Table2[[#This Row],[Bulan]],1)</f>
        <v>44287</v>
      </c>
      <c r="H569">
        <v>100</v>
      </c>
    </row>
    <row r="570" spans="1:8" x14ac:dyDescent="0.25">
      <c r="A570">
        <v>569</v>
      </c>
      <c r="B570" t="str">
        <f>Table2[[#This Row],[Propinsi]]&amp;"_"&amp;Table2[[#This Row],[Dati 2]]&amp;"_"&amp;Table2[[#This Row],[Tanggal]]</f>
        <v>JAWA BARAT_KUNINGAN_44317</v>
      </c>
      <c r="C570" t="s">
        <v>4</v>
      </c>
      <c r="D570" t="s">
        <v>90</v>
      </c>
      <c r="E570">
        <v>5</v>
      </c>
      <c r="F570">
        <v>2021</v>
      </c>
      <c r="G570" s="1">
        <f>DATE(Table2[[#This Row],[Tahun]],Table2[[#This Row],[Bulan]],1)</f>
        <v>44317</v>
      </c>
      <c r="H570">
        <v>105</v>
      </c>
    </row>
    <row r="571" spans="1:8" x14ac:dyDescent="0.25">
      <c r="A571">
        <v>570</v>
      </c>
      <c r="B571" t="str">
        <f>Table2[[#This Row],[Propinsi]]&amp;"_"&amp;Table2[[#This Row],[Dati 2]]&amp;"_"&amp;Table2[[#This Row],[Tanggal]]</f>
        <v>JAWA BARAT_KUNINGAN_44348</v>
      </c>
      <c r="C571" t="s">
        <v>4</v>
      </c>
      <c r="D571" t="s">
        <v>90</v>
      </c>
      <c r="E571">
        <v>6</v>
      </c>
      <c r="F571">
        <v>2021</v>
      </c>
      <c r="G571" s="1">
        <f>DATE(Table2[[#This Row],[Tahun]],Table2[[#This Row],[Bulan]],1)</f>
        <v>44348</v>
      </c>
      <c r="H571">
        <v>110</v>
      </c>
    </row>
    <row r="572" spans="1:8" x14ac:dyDescent="0.25">
      <c r="A572">
        <v>571</v>
      </c>
      <c r="B572" t="str">
        <f>Table2[[#This Row],[Propinsi]]&amp;"_"&amp;Table2[[#This Row],[Dati 2]]&amp;"_"&amp;Table2[[#This Row],[Tanggal]]</f>
        <v>JAWA BARAT_KUNINGAN_44378</v>
      </c>
      <c r="C572" t="s">
        <v>4</v>
      </c>
      <c r="D572" t="s">
        <v>90</v>
      </c>
      <c r="E572">
        <v>7</v>
      </c>
      <c r="F572">
        <v>2021</v>
      </c>
      <c r="G572" s="1">
        <f>DATE(Table2[[#This Row],[Tahun]],Table2[[#This Row],[Bulan]],1)</f>
        <v>44378</v>
      </c>
      <c r="H572">
        <v>109</v>
      </c>
    </row>
    <row r="573" spans="1:8" x14ac:dyDescent="0.25">
      <c r="A573">
        <v>572</v>
      </c>
      <c r="B573" t="str">
        <f>Table2[[#This Row],[Propinsi]]&amp;"_"&amp;Table2[[#This Row],[Dati 2]]&amp;"_"&amp;Table2[[#This Row],[Tanggal]]</f>
        <v>JAWA BARAT_KUNINGAN_44409</v>
      </c>
      <c r="C573" t="s">
        <v>4</v>
      </c>
      <c r="D573" t="s">
        <v>90</v>
      </c>
      <c r="E573">
        <v>8</v>
      </c>
      <c r="F573">
        <v>2021</v>
      </c>
      <c r="G573" s="1">
        <f>DATE(Table2[[#This Row],[Tahun]],Table2[[#This Row],[Bulan]],1)</f>
        <v>44409</v>
      </c>
      <c r="H573">
        <v>107</v>
      </c>
    </row>
    <row r="574" spans="1:8" x14ac:dyDescent="0.25">
      <c r="A574">
        <v>573</v>
      </c>
      <c r="B574" t="str">
        <f>Table2[[#This Row],[Propinsi]]&amp;"_"&amp;Table2[[#This Row],[Dati 2]]&amp;"_"&amp;Table2[[#This Row],[Tanggal]]</f>
        <v>JAWA BARAT_KUNINGAN_44440</v>
      </c>
      <c r="C574" t="s">
        <v>4</v>
      </c>
      <c r="D574" t="s">
        <v>90</v>
      </c>
      <c r="E574">
        <v>9</v>
      </c>
      <c r="F574">
        <v>2021</v>
      </c>
      <c r="G574" s="1">
        <f>DATE(Table2[[#This Row],[Tahun]],Table2[[#This Row],[Bulan]],1)</f>
        <v>44440</v>
      </c>
      <c r="H574">
        <v>111</v>
      </c>
    </row>
    <row r="575" spans="1:8" x14ac:dyDescent="0.25">
      <c r="A575">
        <v>574</v>
      </c>
      <c r="B575" t="str">
        <f>Table2[[#This Row],[Propinsi]]&amp;"_"&amp;Table2[[#This Row],[Dati 2]]&amp;"_"&amp;Table2[[#This Row],[Tanggal]]</f>
        <v>JAWA BARAT_KUNINGAN_44470</v>
      </c>
      <c r="C575" t="s">
        <v>4</v>
      </c>
      <c r="D575" t="s">
        <v>90</v>
      </c>
      <c r="E575">
        <v>10</v>
      </c>
      <c r="F575">
        <v>2021</v>
      </c>
      <c r="G575" s="1">
        <f>DATE(Table2[[#This Row],[Tahun]],Table2[[#This Row],[Bulan]],1)</f>
        <v>44470</v>
      </c>
      <c r="H575">
        <v>118</v>
      </c>
    </row>
    <row r="576" spans="1:8" x14ac:dyDescent="0.25">
      <c r="A576">
        <v>575</v>
      </c>
      <c r="B576" t="str">
        <f>Table2[[#This Row],[Propinsi]]&amp;"_"&amp;Table2[[#This Row],[Dati 2]]&amp;"_"&amp;Table2[[#This Row],[Tanggal]]</f>
        <v>JAWA BARAT_KUNINGAN_44501</v>
      </c>
      <c r="C576" t="s">
        <v>4</v>
      </c>
      <c r="D576" t="s">
        <v>90</v>
      </c>
      <c r="E576">
        <v>11</v>
      </c>
      <c r="F576">
        <v>2021</v>
      </c>
      <c r="G576" s="1">
        <f>DATE(Table2[[#This Row],[Tahun]],Table2[[#This Row],[Bulan]],1)</f>
        <v>44501</v>
      </c>
      <c r="H576">
        <v>123</v>
      </c>
    </row>
    <row r="577" spans="1:8" x14ac:dyDescent="0.25">
      <c r="A577">
        <v>576</v>
      </c>
      <c r="B577" t="str">
        <f>Table2[[#This Row],[Propinsi]]&amp;"_"&amp;Table2[[#This Row],[Dati 2]]&amp;"_"&amp;Table2[[#This Row],[Tanggal]]</f>
        <v>JAWA BARAT_KUNINGAN_44531</v>
      </c>
      <c r="C577" t="s">
        <v>4</v>
      </c>
      <c r="D577" t="s">
        <v>90</v>
      </c>
      <c r="E577">
        <v>12</v>
      </c>
      <c r="F577">
        <v>2021</v>
      </c>
      <c r="G577" s="1">
        <f>DATE(Table2[[#This Row],[Tahun]],Table2[[#This Row],[Bulan]],1)</f>
        <v>44531</v>
      </c>
      <c r="H577">
        <v>129</v>
      </c>
    </row>
    <row r="578" spans="1:8" x14ac:dyDescent="0.25">
      <c r="A578">
        <v>577</v>
      </c>
      <c r="B578" t="str">
        <f>Table2[[#This Row],[Propinsi]]&amp;"_"&amp;Table2[[#This Row],[Dati 2]]&amp;"_"&amp;Table2[[#This Row],[Tanggal]]</f>
        <v>JAWA BARAT_TASIKMALAYA_44197</v>
      </c>
      <c r="C578" t="s">
        <v>4</v>
      </c>
      <c r="D578" t="s">
        <v>91</v>
      </c>
      <c r="E578">
        <v>1</v>
      </c>
      <c r="F578">
        <v>2021</v>
      </c>
      <c r="G578" s="1">
        <f>DATE(Table2[[#This Row],[Tahun]],Table2[[#This Row],[Bulan]],1)</f>
        <v>44197</v>
      </c>
      <c r="H578">
        <v>106</v>
      </c>
    </row>
    <row r="579" spans="1:8" x14ac:dyDescent="0.25">
      <c r="A579">
        <v>578</v>
      </c>
      <c r="B579" t="str">
        <f>Table2[[#This Row],[Propinsi]]&amp;"_"&amp;Table2[[#This Row],[Dati 2]]&amp;"_"&amp;Table2[[#This Row],[Tanggal]]</f>
        <v>JAWA BARAT_TASIKMALAYA_44228</v>
      </c>
      <c r="C579" t="s">
        <v>4</v>
      </c>
      <c r="D579" t="s">
        <v>91</v>
      </c>
      <c r="E579">
        <v>2</v>
      </c>
      <c r="F579">
        <v>2021</v>
      </c>
      <c r="G579" s="1">
        <f>DATE(Table2[[#This Row],[Tahun]],Table2[[#This Row],[Bulan]],1)</f>
        <v>44228</v>
      </c>
      <c r="H579">
        <v>112</v>
      </c>
    </row>
    <row r="580" spans="1:8" x14ac:dyDescent="0.25">
      <c r="A580">
        <v>579</v>
      </c>
      <c r="B580" t="str">
        <f>Table2[[#This Row],[Propinsi]]&amp;"_"&amp;Table2[[#This Row],[Dati 2]]&amp;"_"&amp;Table2[[#This Row],[Tanggal]]</f>
        <v>JAWA BARAT_TASIKMALAYA_44256</v>
      </c>
      <c r="C580" t="s">
        <v>4</v>
      </c>
      <c r="D580" t="s">
        <v>91</v>
      </c>
      <c r="E580">
        <v>3</v>
      </c>
      <c r="F580">
        <v>2021</v>
      </c>
      <c r="G580" s="1">
        <f>DATE(Table2[[#This Row],[Tahun]],Table2[[#This Row],[Bulan]],1)</f>
        <v>44256</v>
      </c>
      <c r="H580">
        <v>112</v>
      </c>
    </row>
    <row r="581" spans="1:8" x14ac:dyDescent="0.25">
      <c r="A581">
        <v>580</v>
      </c>
      <c r="B581" t="str">
        <f>Table2[[#This Row],[Propinsi]]&amp;"_"&amp;Table2[[#This Row],[Dati 2]]&amp;"_"&amp;Table2[[#This Row],[Tanggal]]</f>
        <v>JAWA BARAT_TASIKMALAYA_44287</v>
      </c>
      <c r="C581" t="s">
        <v>4</v>
      </c>
      <c r="D581" t="s">
        <v>91</v>
      </c>
      <c r="E581">
        <v>4</v>
      </c>
      <c r="F581">
        <v>2021</v>
      </c>
      <c r="G581" s="1">
        <f>DATE(Table2[[#This Row],[Tahun]],Table2[[#This Row],[Bulan]],1)</f>
        <v>44287</v>
      </c>
      <c r="H581">
        <v>117</v>
      </c>
    </row>
    <row r="582" spans="1:8" x14ac:dyDescent="0.25">
      <c r="A582">
        <v>581</v>
      </c>
      <c r="B582" t="str">
        <f>Table2[[#This Row],[Propinsi]]&amp;"_"&amp;Table2[[#This Row],[Dati 2]]&amp;"_"&amp;Table2[[#This Row],[Tanggal]]</f>
        <v>JAWA BARAT_TASIKMALAYA_44317</v>
      </c>
      <c r="C582" t="s">
        <v>4</v>
      </c>
      <c r="D582" t="s">
        <v>91</v>
      </c>
      <c r="E582">
        <v>5</v>
      </c>
      <c r="F582">
        <v>2021</v>
      </c>
      <c r="G582" s="1">
        <f>DATE(Table2[[#This Row],[Tahun]],Table2[[#This Row],[Bulan]],1)</f>
        <v>44317</v>
      </c>
      <c r="H582">
        <v>121</v>
      </c>
    </row>
    <row r="583" spans="1:8" x14ac:dyDescent="0.25">
      <c r="A583">
        <v>582</v>
      </c>
      <c r="B583" t="str">
        <f>Table2[[#This Row],[Propinsi]]&amp;"_"&amp;Table2[[#This Row],[Dati 2]]&amp;"_"&amp;Table2[[#This Row],[Tanggal]]</f>
        <v>JAWA BARAT_TASIKMALAYA_44348</v>
      </c>
      <c r="C583" t="s">
        <v>4</v>
      </c>
      <c r="D583" t="s">
        <v>91</v>
      </c>
      <c r="E583">
        <v>6</v>
      </c>
      <c r="F583">
        <v>2021</v>
      </c>
      <c r="G583" s="1">
        <f>DATE(Table2[[#This Row],[Tahun]],Table2[[#This Row],[Bulan]],1)</f>
        <v>44348</v>
      </c>
      <c r="H583">
        <v>127</v>
      </c>
    </row>
    <row r="584" spans="1:8" x14ac:dyDescent="0.25">
      <c r="A584">
        <v>583</v>
      </c>
      <c r="B584" t="str">
        <f>Table2[[#This Row],[Propinsi]]&amp;"_"&amp;Table2[[#This Row],[Dati 2]]&amp;"_"&amp;Table2[[#This Row],[Tanggal]]</f>
        <v>JAWA BARAT_TASIKMALAYA_44378</v>
      </c>
      <c r="C584" t="s">
        <v>4</v>
      </c>
      <c r="D584" t="s">
        <v>91</v>
      </c>
      <c r="E584">
        <v>7</v>
      </c>
      <c r="F584">
        <v>2021</v>
      </c>
      <c r="G584" s="1">
        <f>DATE(Table2[[#This Row],[Tahun]],Table2[[#This Row],[Bulan]],1)</f>
        <v>44378</v>
      </c>
      <c r="H584">
        <v>128</v>
      </c>
    </row>
    <row r="585" spans="1:8" x14ac:dyDescent="0.25">
      <c r="A585">
        <v>584</v>
      </c>
      <c r="B585" t="str">
        <f>Table2[[#This Row],[Propinsi]]&amp;"_"&amp;Table2[[#This Row],[Dati 2]]&amp;"_"&amp;Table2[[#This Row],[Tanggal]]</f>
        <v>JAWA BARAT_TASIKMALAYA_44409</v>
      </c>
      <c r="C585" t="s">
        <v>4</v>
      </c>
      <c r="D585" t="s">
        <v>91</v>
      </c>
      <c r="E585">
        <v>8</v>
      </c>
      <c r="F585">
        <v>2021</v>
      </c>
      <c r="G585" s="1">
        <f>DATE(Table2[[#This Row],[Tahun]],Table2[[#This Row],[Bulan]],1)</f>
        <v>44409</v>
      </c>
      <c r="H585">
        <v>127</v>
      </c>
    </row>
    <row r="586" spans="1:8" x14ac:dyDescent="0.25">
      <c r="A586">
        <v>585</v>
      </c>
      <c r="B586" t="str">
        <f>Table2[[#This Row],[Propinsi]]&amp;"_"&amp;Table2[[#This Row],[Dati 2]]&amp;"_"&amp;Table2[[#This Row],[Tanggal]]</f>
        <v>JAWA BARAT_TASIKMALAYA_44440</v>
      </c>
      <c r="C586" t="s">
        <v>4</v>
      </c>
      <c r="D586" t="s">
        <v>91</v>
      </c>
      <c r="E586">
        <v>9</v>
      </c>
      <c r="F586">
        <v>2021</v>
      </c>
      <c r="G586" s="1">
        <f>DATE(Table2[[#This Row],[Tahun]],Table2[[#This Row],[Bulan]],1)</f>
        <v>44440</v>
      </c>
      <c r="H586">
        <v>129</v>
      </c>
    </row>
    <row r="587" spans="1:8" x14ac:dyDescent="0.25">
      <c r="A587">
        <v>586</v>
      </c>
      <c r="B587" t="str">
        <f>Table2[[#This Row],[Propinsi]]&amp;"_"&amp;Table2[[#This Row],[Dati 2]]&amp;"_"&amp;Table2[[#This Row],[Tanggal]]</f>
        <v>JAWA BARAT_TASIKMALAYA_44470</v>
      </c>
      <c r="C587" t="s">
        <v>4</v>
      </c>
      <c r="D587" t="s">
        <v>91</v>
      </c>
      <c r="E587">
        <v>10</v>
      </c>
      <c r="F587">
        <v>2021</v>
      </c>
      <c r="G587" s="1">
        <f>DATE(Table2[[#This Row],[Tahun]],Table2[[#This Row],[Bulan]],1)</f>
        <v>44470</v>
      </c>
      <c r="H587">
        <v>129</v>
      </c>
    </row>
    <row r="588" spans="1:8" x14ac:dyDescent="0.25">
      <c r="A588">
        <v>587</v>
      </c>
      <c r="B588" t="str">
        <f>Table2[[#This Row],[Propinsi]]&amp;"_"&amp;Table2[[#This Row],[Dati 2]]&amp;"_"&amp;Table2[[#This Row],[Tanggal]]</f>
        <v>JAWA BARAT_TASIKMALAYA_44501</v>
      </c>
      <c r="C588" t="s">
        <v>4</v>
      </c>
      <c r="D588" t="s">
        <v>91</v>
      </c>
      <c r="E588">
        <v>11</v>
      </c>
      <c r="F588">
        <v>2021</v>
      </c>
      <c r="G588" s="1">
        <f>DATE(Table2[[#This Row],[Tahun]],Table2[[#This Row],[Bulan]],1)</f>
        <v>44501</v>
      </c>
      <c r="H588">
        <v>129</v>
      </c>
    </row>
    <row r="589" spans="1:8" x14ac:dyDescent="0.25">
      <c r="A589">
        <v>588</v>
      </c>
      <c r="B589" t="str">
        <f>Table2[[#This Row],[Propinsi]]&amp;"_"&amp;Table2[[#This Row],[Dati 2]]&amp;"_"&amp;Table2[[#This Row],[Tanggal]]</f>
        <v>JAWA BARAT_TASIKMALAYA_44531</v>
      </c>
      <c r="C589" t="s">
        <v>4</v>
      </c>
      <c r="D589" t="s">
        <v>91</v>
      </c>
      <c r="E589">
        <v>12</v>
      </c>
      <c r="F589">
        <v>2021</v>
      </c>
      <c r="G589" s="1">
        <f>DATE(Table2[[#This Row],[Tahun]],Table2[[#This Row],[Bulan]],1)</f>
        <v>44531</v>
      </c>
      <c r="H589">
        <v>132</v>
      </c>
    </row>
    <row r="590" spans="1:8" x14ac:dyDescent="0.25">
      <c r="A590">
        <v>589</v>
      </c>
      <c r="B590" t="str">
        <f>Table2[[#This Row],[Propinsi]]&amp;"_"&amp;Table2[[#This Row],[Dati 2]]&amp;"_"&amp;Table2[[#This Row],[Tanggal]]</f>
        <v>JAWA BARAT_CIAMIS_44197</v>
      </c>
      <c r="C590" t="s">
        <v>4</v>
      </c>
      <c r="D590" t="s">
        <v>92</v>
      </c>
      <c r="E590">
        <v>1</v>
      </c>
      <c r="F590">
        <v>2021</v>
      </c>
      <c r="G590" s="1">
        <f>DATE(Table2[[#This Row],[Tahun]],Table2[[#This Row],[Bulan]],1)</f>
        <v>44197</v>
      </c>
      <c r="H590">
        <v>107</v>
      </c>
    </row>
    <row r="591" spans="1:8" x14ac:dyDescent="0.25">
      <c r="A591">
        <v>590</v>
      </c>
      <c r="B591" t="str">
        <f>Table2[[#This Row],[Propinsi]]&amp;"_"&amp;Table2[[#This Row],[Dati 2]]&amp;"_"&amp;Table2[[#This Row],[Tanggal]]</f>
        <v>JAWA BARAT_CIAMIS_44228</v>
      </c>
      <c r="C591" t="s">
        <v>4</v>
      </c>
      <c r="D591" t="s">
        <v>92</v>
      </c>
      <c r="E591">
        <v>2</v>
      </c>
      <c r="F591">
        <v>2021</v>
      </c>
      <c r="G591" s="1">
        <f>DATE(Table2[[#This Row],[Tahun]],Table2[[#This Row],[Bulan]],1)</f>
        <v>44228</v>
      </c>
      <c r="H591">
        <v>112</v>
      </c>
    </row>
    <row r="592" spans="1:8" x14ac:dyDescent="0.25">
      <c r="A592">
        <v>591</v>
      </c>
      <c r="B592" t="str">
        <f>Table2[[#This Row],[Propinsi]]&amp;"_"&amp;Table2[[#This Row],[Dati 2]]&amp;"_"&amp;Table2[[#This Row],[Tanggal]]</f>
        <v>JAWA BARAT_CIAMIS_44256</v>
      </c>
      <c r="C592" t="s">
        <v>4</v>
      </c>
      <c r="D592" t="s">
        <v>92</v>
      </c>
      <c r="E592">
        <v>3</v>
      </c>
      <c r="F592">
        <v>2021</v>
      </c>
      <c r="G592" s="1">
        <f>DATE(Table2[[#This Row],[Tahun]],Table2[[#This Row],[Bulan]],1)</f>
        <v>44256</v>
      </c>
      <c r="H592">
        <v>116</v>
      </c>
    </row>
    <row r="593" spans="1:8" x14ac:dyDescent="0.25">
      <c r="A593">
        <v>592</v>
      </c>
      <c r="B593" t="str">
        <f>Table2[[#This Row],[Propinsi]]&amp;"_"&amp;Table2[[#This Row],[Dati 2]]&amp;"_"&amp;Table2[[#This Row],[Tanggal]]</f>
        <v>JAWA BARAT_CIAMIS_44287</v>
      </c>
      <c r="C593" t="s">
        <v>4</v>
      </c>
      <c r="D593" t="s">
        <v>92</v>
      </c>
      <c r="E593">
        <v>4</v>
      </c>
      <c r="F593">
        <v>2021</v>
      </c>
      <c r="G593" s="1">
        <f>DATE(Table2[[#This Row],[Tahun]],Table2[[#This Row],[Bulan]],1)</f>
        <v>44287</v>
      </c>
      <c r="H593">
        <v>117</v>
      </c>
    </row>
    <row r="594" spans="1:8" x14ac:dyDescent="0.25">
      <c r="A594">
        <v>593</v>
      </c>
      <c r="B594" t="str">
        <f>Table2[[#This Row],[Propinsi]]&amp;"_"&amp;Table2[[#This Row],[Dati 2]]&amp;"_"&amp;Table2[[#This Row],[Tanggal]]</f>
        <v>JAWA BARAT_CIAMIS_44317</v>
      </c>
      <c r="C594" t="s">
        <v>4</v>
      </c>
      <c r="D594" t="s">
        <v>92</v>
      </c>
      <c r="E594">
        <v>5</v>
      </c>
      <c r="F594">
        <v>2021</v>
      </c>
      <c r="G594" s="1">
        <f>DATE(Table2[[#This Row],[Tahun]],Table2[[#This Row],[Bulan]],1)</f>
        <v>44317</v>
      </c>
      <c r="H594">
        <v>117</v>
      </c>
    </row>
    <row r="595" spans="1:8" x14ac:dyDescent="0.25">
      <c r="A595">
        <v>594</v>
      </c>
      <c r="B595" t="str">
        <f>Table2[[#This Row],[Propinsi]]&amp;"_"&amp;Table2[[#This Row],[Dati 2]]&amp;"_"&amp;Table2[[#This Row],[Tanggal]]</f>
        <v>JAWA BARAT_CIAMIS_44348</v>
      </c>
      <c r="C595" t="s">
        <v>4</v>
      </c>
      <c r="D595" t="s">
        <v>92</v>
      </c>
      <c r="E595">
        <v>6</v>
      </c>
      <c r="F595">
        <v>2021</v>
      </c>
      <c r="G595" s="1">
        <f>DATE(Table2[[#This Row],[Tahun]],Table2[[#This Row],[Bulan]],1)</f>
        <v>44348</v>
      </c>
      <c r="H595">
        <v>117</v>
      </c>
    </row>
    <row r="596" spans="1:8" x14ac:dyDescent="0.25">
      <c r="A596">
        <v>595</v>
      </c>
      <c r="B596" t="str">
        <f>Table2[[#This Row],[Propinsi]]&amp;"_"&amp;Table2[[#This Row],[Dati 2]]&amp;"_"&amp;Table2[[#This Row],[Tanggal]]</f>
        <v>JAWA BARAT_CIAMIS_44378</v>
      </c>
      <c r="C596" t="s">
        <v>4</v>
      </c>
      <c r="D596" t="s">
        <v>92</v>
      </c>
      <c r="E596">
        <v>7</v>
      </c>
      <c r="F596">
        <v>2021</v>
      </c>
      <c r="G596" s="1">
        <f>DATE(Table2[[#This Row],[Tahun]],Table2[[#This Row],[Bulan]],1)</f>
        <v>44378</v>
      </c>
      <c r="H596">
        <v>122</v>
      </c>
    </row>
    <row r="597" spans="1:8" x14ac:dyDescent="0.25">
      <c r="A597">
        <v>596</v>
      </c>
      <c r="B597" t="str">
        <f>Table2[[#This Row],[Propinsi]]&amp;"_"&amp;Table2[[#This Row],[Dati 2]]&amp;"_"&amp;Table2[[#This Row],[Tanggal]]</f>
        <v>JAWA BARAT_CIAMIS_44409</v>
      </c>
      <c r="C597" t="s">
        <v>4</v>
      </c>
      <c r="D597" t="s">
        <v>92</v>
      </c>
      <c r="E597">
        <v>8</v>
      </c>
      <c r="F597">
        <v>2021</v>
      </c>
      <c r="G597" s="1">
        <f>DATE(Table2[[#This Row],[Tahun]],Table2[[#This Row],[Bulan]],1)</f>
        <v>44409</v>
      </c>
      <c r="H597">
        <v>121</v>
      </c>
    </row>
    <row r="598" spans="1:8" x14ac:dyDescent="0.25">
      <c r="A598">
        <v>597</v>
      </c>
      <c r="B598" t="str">
        <f>Table2[[#This Row],[Propinsi]]&amp;"_"&amp;Table2[[#This Row],[Dati 2]]&amp;"_"&amp;Table2[[#This Row],[Tanggal]]</f>
        <v>JAWA BARAT_CIAMIS_44440</v>
      </c>
      <c r="C598" t="s">
        <v>4</v>
      </c>
      <c r="D598" t="s">
        <v>92</v>
      </c>
      <c r="E598">
        <v>9</v>
      </c>
      <c r="F598">
        <v>2021</v>
      </c>
      <c r="G598" s="1">
        <f>DATE(Table2[[#This Row],[Tahun]],Table2[[#This Row],[Bulan]],1)</f>
        <v>44440</v>
      </c>
      <c r="H598">
        <v>125</v>
      </c>
    </row>
    <row r="599" spans="1:8" x14ac:dyDescent="0.25">
      <c r="A599">
        <v>598</v>
      </c>
      <c r="B599" t="str">
        <f>Table2[[#This Row],[Propinsi]]&amp;"_"&amp;Table2[[#This Row],[Dati 2]]&amp;"_"&amp;Table2[[#This Row],[Tanggal]]</f>
        <v>JAWA BARAT_CIAMIS_44470</v>
      </c>
      <c r="C599" t="s">
        <v>4</v>
      </c>
      <c r="D599" t="s">
        <v>92</v>
      </c>
      <c r="E599">
        <v>10</v>
      </c>
      <c r="F599">
        <v>2021</v>
      </c>
      <c r="G599" s="1">
        <f>DATE(Table2[[#This Row],[Tahun]],Table2[[#This Row],[Bulan]],1)</f>
        <v>44470</v>
      </c>
      <c r="H599">
        <v>124</v>
      </c>
    </row>
    <row r="600" spans="1:8" x14ac:dyDescent="0.25">
      <c r="A600">
        <v>599</v>
      </c>
      <c r="B600" t="str">
        <f>Table2[[#This Row],[Propinsi]]&amp;"_"&amp;Table2[[#This Row],[Dati 2]]&amp;"_"&amp;Table2[[#This Row],[Tanggal]]</f>
        <v>JAWA BARAT_CIAMIS_44501</v>
      </c>
      <c r="C600" t="s">
        <v>4</v>
      </c>
      <c r="D600" t="s">
        <v>92</v>
      </c>
      <c r="E600">
        <v>11</v>
      </c>
      <c r="F600">
        <v>2021</v>
      </c>
      <c r="G600" s="1">
        <f>DATE(Table2[[#This Row],[Tahun]],Table2[[#This Row],[Bulan]],1)</f>
        <v>44501</v>
      </c>
      <c r="H600">
        <v>127</v>
      </c>
    </row>
    <row r="601" spans="1:8" x14ac:dyDescent="0.25">
      <c r="A601">
        <v>600</v>
      </c>
      <c r="B601" t="str">
        <f>Table2[[#This Row],[Propinsi]]&amp;"_"&amp;Table2[[#This Row],[Dati 2]]&amp;"_"&amp;Table2[[#This Row],[Tanggal]]</f>
        <v>JAWA BARAT_CIAMIS_44531</v>
      </c>
      <c r="C601" t="s">
        <v>4</v>
      </c>
      <c r="D601" t="s">
        <v>92</v>
      </c>
      <c r="E601">
        <v>12</v>
      </c>
      <c r="F601">
        <v>2021</v>
      </c>
      <c r="G601" s="1">
        <f>DATE(Table2[[#This Row],[Tahun]],Table2[[#This Row],[Bulan]],1)</f>
        <v>44531</v>
      </c>
      <c r="H601">
        <v>131</v>
      </c>
    </row>
    <row r="602" spans="1:8" x14ac:dyDescent="0.25">
      <c r="A602">
        <v>601</v>
      </c>
      <c r="B602" t="str">
        <f>Table2[[#This Row],[Propinsi]]&amp;"_"&amp;Table2[[#This Row],[Dati 2]]&amp;"_"&amp;Table2[[#This Row],[Tanggal]]</f>
        <v>JAWA BARAT_PANGANDARAN_44197</v>
      </c>
      <c r="C602" t="s">
        <v>4</v>
      </c>
      <c r="D602" t="s">
        <v>93</v>
      </c>
      <c r="E602">
        <v>1</v>
      </c>
      <c r="F602">
        <v>2021</v>
      </c>
      <c r="G602" s="1">
        <f>DATE(Table2[[#This Row],[Tahun]],Table2[[#This Row],[Bulan]],1)</f>
        <v>44197</v>
      </c>
      <c r="H602">
        <v>47</v>
      </c>
    </row>
    <row r="603" spans="1:8" x14ac:dyDescent="0.25">
      <c r="A603">
        <v>602</v>
      </c>
      <c r="B603" t="str">
        <f>Table2[[#This Row],[Propinsi]]&amp;"_"&amp;Table2[[#This Row],[Dati 2]]&amp;"_"&amp;Table2[[#This Row],[Tanggal]]</f>
        <v>JAWA BARAT_PANGANDARAN_44228</v>
      </c>
      <c r="C603" t="s">
        <v>4</v>
      </c>
      <c r="D603" t="s">
        <v>93</v>
      </c>
      <c r="E603">
        <v>2</v>
      </c>
      <c r="F603">
        <v>2021</v>
      </c>
      <c r="G603" s="1">
        <f>DATE(Table2[[#This Row],[Tahun]],Table2[[#This Row],[Bulan]],1)</f>
        <v>44228</v>
      </c>
      <c r="H603">
        <v>45</v>
      </c>
    </row>
    <row r="604" spans="1:8" x14ac:dyDescent="0.25">
      <c r="A604">
        <v>603</v>
      </c>
      <c r="B604" t="str">
        <f>Table2[[#This Row],[Propinsi]]&amp;"_"&amp;Table2[[#This Row],[Dati 2]]&amp;"_"&amp;Table2[[#This Row],[Tanggal]]</f>
        <v>JAWA BARAT_PANGANDARAN_44256</v>
      </c>
      <c r="C604" t="s">
        <v>4</v>
      </c>
      <c r="D604" t="s">
        <v>93</v>
      </c>
      <c r="E604">
        <v>3</v>
      </c>
      <c r="F604">
        <v>2021</v>
      </c>
      <c r="G604" s="1">
        <f>DATE(Table2[[#This Row],[Tahun]],Table2[[#This Row],[Bulan]],1)</f>
        <v>44256</v>
      </c>
      <c r="H604">
        <v>44</v>
      </c>
    </row>
    <row r="605" spans="1:8" x14ac:dyDescent="0.25">
      <c r="A605">
        <v>604</v>
      </c>
      <c r="B605" t="str">
        <f>Table2[[#This Row],[Propinsi]]&amp;"_"&amp;Table2[[#This Row],[Dati 2]]&amp;"_"&amp;Table2[[#This Row],[Tanggal]]</f>
        <v>JAWA BARAT_PANGANDARAN_44287</v>
      </c>
      <c r="C605" t="s">
        <v>4</v>
      </c>
      <c r="D605" t="s">
        <v>93</v>
      </c>
      <c r="E605">
        <v>4</v>
      </c>
      <c r="F605">
        <v>2021</v>
      </c>
      <c r="G605" s="1">
        <f>DATE(Table2[[#This Row],[Tahun]],Table2[[#This Row],[Bulan]],1)</f>
        <v>44287</v>
      </c>
      <c r="H605">
        <v>51</v>
      </c>
    </row>
    <row r="606" spans="1:8" x14ac:dyDescent="0.25">
      <c r="A606">
        <v>605</v>
      </c>
      <c r="B606" t="str">
        <f>Table2[[#This Row],[Propinsi]]&amp;"_"&amp;Table2[[#This Row],[Dati 2]]&amp;"_"&amp;Table2[[#This Row],[Tanggal]]</f>
        <v>JAWA BARAT_PANGANDARAN_44317</v>
      </c>
      <c r="C606" t="s">
        <v>4</v>
      </c>
      <c r="D606" t="s">
        <v>93</v>
      </c>
      <c r="E606">
        <v>5</v>
      </c>
      <c r="F606">
        <v>2021</v>
      </c>
      <c r="G606" s="1">
        <f>DATE(Table2[[#This Row],[Tahun]],Table2[[#This Row],[Bulan]],1)</f>
        <v>44317</v>
      </c>
      <c r="H606">
        <v>58</v>
      </c>
    </row>
    <row r="607" spans="1:8" x14ac:dyDescent="0.25">
      <c r="A607">
        <v>606</v>
      </c>
      <c r="B607" t="str">
        <f>Table2[[#This Row],[Propinsi]]&amp;"_"&amp;Table2[[#This Row],[Dati 2]]&amp;"_"&amp;Table2[[#This Row],[Tanggal]]</f>
        <v>JAWA BARAT_PANGANDARAN_44348</v>
      </c>
      <c r="C607" t="s">
        <v>4</v>
      </c>
      <c r="D607" t="s">
        <v>93</v>
      </c>
      <c r="E607">
        <v>6</v>
      </c>
      <c r="F607">
        <v>2021</v>
      </c>
      <c r="G607" s="1">
        <f>DATE(Table2[[#This Row],[Tahun]],Table2[[#This Row],[Bulan]],1)</f>
        <v>44348</v>
      </c>
      <c r="H607">
        <v>56</v>
      </c>
    </row>
    <row r="608" spans="1:8" x14ac:dyDescent="0.25">
      <c r="A608">
        <v>607</v>
      </c>
      <c r="B608" t="str">
        <f>Table2[[#This Row],[Propinsi]]&amp;"_"&amp;Table2[[#This Row],[Dati 2]]&amp;"_"&amp;Table2[[#This Row],[Tanggal]]</f>
        <v>JAWA BARAT_PANGANDARAN_44378</v>
      </c>
      <c r="C608" t="s">
        <v>4</v>
      </c>
      <c r="D608" t="s">
        <v>93</v>
      </c>
      <c r="E608">
        <v>7</v>
      </c>
      <c r="F608">
        <v>2021</v>
      </c>
      <c r="G608" s="1">
        <f>DATE(Table2[[#This Row],[Tahun]],Table2[[#This Row],[Bulan]],1)</f>
        <v>44378</v>
      </c>
      <c r="H608">
        <v>60</v>
      </c>
    </row>
    <row r="609" spans="1:8" x14ac:dyDescent="0.25">
      <c r="A609">
        <v>608</v>
      </c>
      <c r="B609" t="str">
        <f>Table2[[#This Row],[Propinsi]]&amp;"_"&amp;Table2[[#This Row],[Dati 2]]&amp;"_"&amp;Table2[[#This Row],[Tanggal]]</f>
        <v>JAWA BARAT_PANGANDARAN_44409</v>
      </c>
      <c r="C609" t="s">
        <v>4</v>
      </c>
      <c r="D609" t="s">
        <v>93</v>
      </c>
      <c r="E609">
        <v>8</v>
      </c>
      <c r="F609">
        <v>2021</v>
      </c>
      <c r="G609" s="1">
        <f>DATE(Table2[[#This Row],[Tahun]],Table2[[#This Row],[Bulan]],1)</f>
        <v>44409</v>
      </c>
      <c r="H609">
        <v>64</v>
      </c>
    </row>
    <row r="610" spans="1:8" x14ac:dyDescent="0.25">
      <c r="A610">
        <v>609</v>
      </c>
      <c r="B610" t="str">
        <f>Table2[[#This Row],[Propinsi]]&amp;"_"&amp;Table2[[#This Row],[Dati 2]]&amp;"_"&amp;Table2[[#This Row],[Tanggal]]</f>
        <v>JAWA BARAT_PANGANDARAN_44440</v>
      </c>
      <c r="C610" t="s">
        <v>4</v>
      </c>
      <c r="D610" t="s">
        <v>93</v>
      </c>
      <c r="E610">
        <v>9</v>
      </c>
      <c r="F610">
        <v>2021</v>
      </c>
      <c r="G610" s="1">
        <f>DATE(Table2[[#This Row],[Tahun]],Table2[[#This Row],[Bulan]],1)</f>
        <v>44440</v>
      </c>
      <c r="H610">
        <v>64</v>
      </c>
    </row>
    <row r="611" spans="1:8" x14ac:dyDescent="0.25">
      <c r="A611">
        <v>610</v>
      </c>
      <c r="B611" t="str">
        <f>Table2[[#This Row],[Propinsi]]&amp;"_"&amp;Table2[[#This Row],[Dati 2]]&amp;"_"&amp;Table2[[#This Row],[Tanggal]]</f>
        <v>JAWA BARAT_PANGANDARAN_44470</v>
      </c>
      <c r="C611" t="s">
        <v>4</v>
      </c>
      <c r="D611" t="s">
        <v>93</v>
      </c>
      <c r="E611">
        <v>10</v>
      </c>
      <c r="F611">
        <v>2021</v>
      </c>
      <c r="G611" s="1">
        <f>DATE(Table2[[#This Row],[Tahun]],Table2[[#This Row],[Bulan]],1)</f>
        <v>44470</v>
      </c>
      <c r="H611">
        <v>66</v>
      </c>
    </row>
    <row r="612" spans="1:8" x14ac:dyDescent="0.25">
      <c r="A612">
        <v>611</v>
      </c>
      <c r="B612" t="str">
        <f>Table2[[#This Row],[Propinsi]]&amp;"_"&amp;Table2[[#This Row],[Dati 2]]&amp;"_"&amp;Table2[[#This Row],[Tanggal]]</f>
        <v>JAWA BARAT_PANGANDARAN_44501</v>
      </c>
      <c r="C612" t="s">
        <v>4</v>
      </c>
      <c r="D612" t="s">
        <v>93</v>
      </c>
      <c r="E612">
        <v>11</v>
      </c>
      <c r="F612">
        <v>2021</v>
      </c>
      <c r="G612" s="1">
        <f>DATE(Table2[[#This Row],[Tahun]],Table2[[#This Row],[Bulan]],1)</f>
        <v>44501</v>
      </c>
      <c r="H612">
        <v>73</v>
      </c>
    </row>
    <row r="613" spans="1:8" x14ac:dyDescent="0.25">
      <c r="A613">
        <v>612</v>
      </c>
      <c r="B613" t="str">
        <f>Table2[[#This Row],[Propinsi]]&amp;"_"&amp;Table2[[#This Row],[Dati 2]]&amp;"_"&amp;Table2[[#This Row],[Tanggal]]</f>
        <v>JAWA BARAT_PANGANDARAN_44531</v>
      </c>
      <c r="C613" t="s">
        <v>4</v>
      </c>
      <c r="D613" t="s">
        <v>93</v>
      </c>
      <c r="E613">
        <v>12</v>
      </c>
      <c r="F613">
        <v>2021</v>
      </c>
      <c r="G613" s="1">
        <f>DATE(Table2[[#This Row],[Tahun]],Table2[[#This Row],[Bulan]],1)</f>
        <v>44531</v>
      </c>
      <c r="H613">
        <v>75</v>
      </c>
    </row>
    <row r="614" spans="1:8" x14ac:dyDescent="0.25">
      <c r="A614">
        <v>613</v>
      </c>
      <c r="B614" t="str">
        <f>Table2[[#This Row],[Propinsi]]&amp;"_"&amp;Table2[[#This Row],[Dati 2]]&amp;"_"&amp;Table2[[#This Row],[Tanggal]]</f>
        <v>JAWA BARAT_BANJAR_44197</v>
      </c>
      <c r="C614" t="s">
        <v>4</v>
      </c>
      <c r="D614" t="s">
        <v>94</v>
      </c>
      <c r="E614">
        <v>1</v>
      </c>
      <c r="F614">
        <v>2021</v>
      </c>
      <c r="G614" s="1">
        <f>DATE(Table2[[#This Row],[Tahun]],Table2[[#This Row],[Bulan]],1)</f>
        <v>44197</v>
      </c>
      <c r="H614">
        <v>45</v>
      </c>
    </row>
    <row r="615" spans="1:8" x14ac:dyDescent="0.25">
      <c r="A615">
        <v>614</v>
      </c>
      <c r="B615" t="str">
        <f>Table2[[#This Row],[Propinsi]]&amp;"_"&amp;Table2[[#This Row],[Dati 2]]&amp;"_"&amp;Table2[[#This Row],[Tanggal]]</f>
        <v>JAWA BARAT_BANJAR_44228</v>
      </c>
      <c r="C615" t="s">
        <v>4</v>
      </c>
      <c r="D615" t="s">
        <v>94</v>
      </c>
      <c r="E615">
        <v>2</v>
      </c>
      <c r="F615">
        <v>2021</v>
      </c>
      <c r="G615" s="1">
        <f>DATE(Table2[[#This Row],[Tahun]],Table2[[#This Row],[Bulan]],1)</f>
        <v>44228</v>
      </c>
      <c r="H615">
        <v>51</v>
      </c>
    </row>
    <row r="616" spans="1:8" x14ac:dyDescent="0.25">
      <c r="A616">
        <v>615</v>
      </c>
      <c r="B616" t="str">
        <f>Table2[[#This Row],[Propinsi]]&amp;"_"&amp;Table2[[#This Row],[Dati 2]]&amp;"_"&amp;Table2[[#This Row],[Tanggal]]</f>
        <v>JAWA BARAT_BANJAR_44256</v>
      </c>
      <c r="C616" t="s">
        <v>4</v>
      </c>
      <c r="D616" t="s">
        <v>94</v>
      </c>
      <c r="E616">
        <v>3</v>
      </c>
      <c r="F616">
        <v>2021</v>
      </c>
      <c r="G616" s="1">
        <f>DATE(Table2[[#This Row],[Tahun]],Table2[[#This Row],[Bulan]],1)</f>
        <v>44256</v>
      </c>
      <c r="H616">
        <v>51</v>
      </c>
    </row>
    <row r="617" spans="1:8" x14ac:dyDescent="0.25">
      <c r="A617">
        <v>616</v>
      </c>
      <c r="B617" t="str">
        <f>Table2[[#This Row],[Propinsi]]&amp;"_"&amp;Table2[[#This Row],[Dati 2]]&amp;"_"&amp;Table2[[#This Row],[Tanggal]]</f>
        <v>JAWA BARAT_BANJAR_44287</v>
      </c>
      <c r="C617" t="s">
        <v>4</v>
      </c>
      <c r="D617" t="s">
        <v>94</v>
      </c>
      <c r="E617">
        <v>4</v>
      </c>
      <c r="F617">
        <v>2021</v>
      </c>
      <c r="G617" s="1">
        <f>DATE(Table2[[#This Row],[Tahun]],Table2[[#This Row],[Bulan]],1)</f>
        <v>44287</v>
      </c>
      <c r="H617">
        <v>57</v>
      </c>
    </row>
    <row r="618" spans="1:8" x14ac:dyDescent="0.25">
      <c r="A618">
        <v>617</v>
      </c>
      <c r="B618" t="str">
        <f>Table2[[#This Row],[Propinsi]]&amp;"_"&amp;Table2[[#This Row],[Dati 2]]&amp;"_"&amp;Table2[[#This Row],[Tanggal]]</f>
        <v>JAWA BARAT_BANJAR_44317</v>
      </c>
      <c r="C618" t="s">
        <v>4</v>
      </c>
      <c r="D618" t="s">
        <v>94</v>
      </c>
      <c r="E618">
        <v>5</v>
      </c>
      <c r="F618">
        <v>2021</v>
      </c>
      <c r="G618" s="1">
        <f>DATE(Table2[[#This Row],[Tahun]],Table2[[#This Row],[Bulan]],1)</f>
        <v>44317</v>
      </c>
      <c r="H618">
        <v>63</v>
      </c>
    </row>
    <row r="619" spans="1:8" x14ac:dyDescent="0.25">
      <c r="A619">
        <v>618</v>
      </c>
      <c r="B619" t="str">
        <f>Table2[[#This Row],[Propinsi]]&amp;"_"&amp;Table2[[#This Row],[Dati 2]]&amp;"_"&amp;Table2[[#This Row],[Tanggal]]</f>
        <v>JAWA BARAT_BANJAR_44348</v>
      </c>
      <c r="C619" t="s">
        <v>4</v>
      </c>
      <c r="D619" t="s">
        <v>94</v>
      </c>
      <c r="E619">
        <v>6</v>
      </c>
      <c r="F619">
        <v>2021</v>
      </c>
      <c r="G619" s="1">
        <f>DATE(Table2[[#This Row],[Tahun]],Table2[[#This Row],[Bulan]],1)</f>
        <v>44348</v>
      </c>
      <c r="H619">
        <v>65</v>
      </c>
    </row>
    <row r="620" spans="1:8" x14ac:dyDescent="0.25">
      <c r="A620">
        <v>619</v>
      </c>
      <c r="B620" t="str">
        <f>Table2[[#This Row],[Propinsi]]&amp;"_"&amp;Table2[[#This Row],[Dati 2]]&amp;"_"&amp;Table2[[#This Row],[Tanggal]]</f>
        <v>JAWA BARAT_BANJAR_44378</v>
      </c>
      <c r="C620" t="s">
        <v>4</v>
      </c>
      <c r="D620" t="s">
        <v>94</v>
      </c>
      <c r="E620">
        <v>7</v>
      </c>
      <c r="F620">
        <v>2021</v>
      </c>
      <c r="G620" s="1">
        <f>DATE(Table2[[#This Row],[Tahun]],Table2[[#This Row],[Bulan]],1)</f>
        <v>44378</v>
      </c>
      <c r="H620">
        <v>68</v>
      </c>
    </row>
    <row r="621" spans="1:8" x14ac:dyDescent="0.25">
      <c r="A621">
        <v>620</v>
      </c>
      <c r="B621" t="str">
        <f>Table2[[#This Row],[Propinsi]]&amp;"_"&amp;Table2[[#This Row],[Dati 2]]&amp;"_"&amp;Table2[[#This Row],[Tanggal]]</f>
        <v>JAWA BARAT_BANJAR_44409</v>
      </c>
      <c r="C621" t="s">
        <v>4</v>
      </c>
      <c r="D621" t="s">
        <v>94</v>
      </c>
      <c r="E621">
        <v>8</v>
      </c>
      <c r="F621">
        <v>2021</v>
      </c>
      <c r="G621" s="1">
        <f>DATE(Table2[[#This Row],[Tahun]],Table2[[#This Row],[Bulan]],1)</f>
        <v>44409</v>
      </c>
      <c r="H621">
        <v>67</v>
      </c>
    </row>
    <row r="622" spans="1:8" x14ac:dyDescent="0.25">
      <c r="A622">
        <v>621</v>
      </c>
      <c r="B622" t="str">
        <f>Table2[[#This Row],[Propinsi]]&amp;"_"&amp;Table2[[#This Row],[Dati 2]]&amp;"_"&amp;Table2[[#This Row],[Tanggal]]</f>
        <v>JAWA BARAT_BANJAR_44440</v>
      </c>
      <c r="C622" t="s">
        <v>4</v>
      </c>
      <c r="D622" t="s">
        <v>94</v>
      </c>
      <c r="E622">
        <v>9</v>
      </c>
      <c r="F622">
        <v>2021</v>
      </c>
      <c r="G622" s="1">
        <f>DATE(Table2[[#This Row],[Tahun]],Table2[[#This Row],[Bulan]],1)</f>
        <v>44440</v>
      </c>
      <c r="H622">
        <v>74</v>
      </c>
    </row>
    <row r="623" spans="1:8" x14ac:dyDescent="0.25">
      <c r="A623">
        <v>622</v>
      </c>
      <c r="B623" t="str">
        <f>Table2[[#This Row],[Propinsi]]&amp;"_"&amp;Table2[[#This Row],[Dati 2]]&amp;"_"&amp;Table2[[#This Row],[Tanggal]]</f>
        <v>JAWA BARAT_BANJAR_44470</v>
      </c>
      <c r="C623" t="s">
        <v>4</v>
      </c>
      <c r="D623" t="s">
        <v>94</v>
      </c>
      <c r="E623">
        <v>10</v>
      </c>
      <c r="F623">
        <v>2021</v>
      </c>
      <c r="G623" s="1">
        <f>DATE(Table2[[#This Row],[Tahun]],Table2[[#This Row],[Bulan]],1)</f>
        <v>44470</v>
      </c>
      <c r="H623">
        <v>76</v>
      </c>
    </row>
    <row r="624" spans="1:8" x14ac:dyDescent="0.25">
      <c r="A624">
        <v>623</v>
      </c>
      <c r="B624" t="str">
        <f>Table2[[#This Row],[Propinsi]]&amp;"_"&amp;Table2[[#This Row],[Dati 2]]&amp;"_"&amp;Table2[[#This Row],[Tanggal]]</f>
        <v>JAWA BARAT_BANJAR_44501</v>
      </c>
      <c r="C624" t="s">
        <v>4</v>
      </c>
      <c r="D624" t="s">
        <v>94</v>
      </c>
      <c r="E624">
        <v>11</v>
      </c>
      <c r="F624">
        <v>2021</v>
      </c>
      <c r="G624" s="1">
        <f>DATE(Table2[[#This Row],[Tahun]],Table2[[#This Row],[Bulan]],1)</f>
        <v>44501</v>
      </c>
      <c r="H624">
        <v>75</v>
      </c>
    </row>
    <row r="625" spans="1:8" x14ac:dyDescent="0.25">
      <c r="A625">
        <v>624</v>
      </c>
      <c r="B625" t="str">
        <f>Table2[[#This Row],[Propinsi]]&amp;"_"&amp;Table2[[#This Row],[Dati 2]]&amp;"_"&amp;Table2[[#This Row],[Tanggal]]</f>
        <v>JAWA BARAT_BANJAR_44531</v>
      </c>
      <c r="C625" t="s">
        <v>4</v>
      </c>
      <c r="D625" t="s">
        <v>94</v>
      </c>
      <c r="E625">
        <v>12</v>
      </c>
      <c r="F625">
        <v>2021</v>
      </c>
      <c r="G625" s="1">
        <f>DATE(Table2[[#This Row],[Tahun]],Table2[[#This Row],[Bulan]],1)</f>
        <v>44531</v>
      </c>
      <c r="H625">
        <v>77</v>
      </c>
    </row>
    <row r="626" spans="1:8" x14ac:dyDescent="0.25">
      <c r="A626">
        <v>625</v>
      </c>
      <c r="B626" t="str">
        <f>Table2[[#This Row],[Propinsi]]&amp;"_"&amp;Table2[[#This Row],[Dati 2]]&amp;"_"&amp;Table2[[#This Row],[Tanggal]]</f>
        <v>JAWA TENGAH_SEMARANG_44197</v>
      </c>
      <c r="C626" t="s">
        <v>5</v>
      </c>
      <c r="D626" t="s">
        <v>95</v>
      </c>
      <c r="E626">
        <v>1</v>
      </c>
      <c r="F626">
        <v>2021</v>
      </c>
      <c r="G626" s="1">
        <f>DATE(Table2[[#This Row],[Tahun]],Table2[[#This Row],[Bulan]],1)</f>
        <v>44197</v>
      </c>
      <c r="H626">
        <v>31</v>
      </c>
    </row>
    <row r="627" spans="1:8" x14ac:dyDescent="0.25">
      <c r="A627">
        <v>626</v>
      </c>
      <c r="B627" t="str">
        <f>Table2[[#This Row],[Propinsi]]&amp;"_"&amp;Table2[[#This Row],[Dati 2]]&amp;"_"&amp;Table2[[#This Row],[Tanggal]]</f>
        <v>JAWA TENGAH_SEMARANG_44228</v>
      </c>
      <c r="C627" t="s">
        <v>5</v>
      </c>
      <c r="D627" t="s">
        <v>95</v>
      </c>
      <c r="E627">
        <v>2</v>
      </c>
      <c r="F627">
        <v>2021</v>
      </c>
      <c r="G627" s="1">
        <f>DATE(Table2[[#This Row],[Tahun]],Table2[[#This Row],[Bulan]],1)</f>
        <v>44228</v>
      </c>
      <c r="H627">
        <v>37</v>
      </c>
    </row>
    <row r="628" spans="1:8" x14ac:dyDescent="0.25">
      <c r="A628">
        <v>627</v>
      </c>
      <c r="B628" t="str">
        <f>Table2[[#This Row],[Propinsi]]&amp;"_"&amp;Table2[[#This Row],[Dati 2]]&amp;"_"&amp;Table2[[#This Row],[Tanggal]]</f>
        <v>JAWA TENGAH_SEMARANG_44256</v>
      </c>
      <c r="C628" t="s">
        <v>5</v>
      </c>
      <c r="D628" t="s">
        <v>95</v>
      </c>
      <c r="E628">
        <v>3</v>
      </c>
      <c r="F628">
        <v>2021</v>
      </c>
      <c r="G628" s="1">
        <f>DATE(Table2[[#This Row],[Tahun]],Table2[[#This Row],[Bulan]],1)</f>
        <v>44256</v>
      </c>
      <c r="H628">
        <v>38</v>
      </c>
    </row>
    <row r="629" spans="1:8" x14ac:dyDescent="0.25">
      <c r="A629">
        <v>628</v>
      </c>
      <c r="B629" t="str">
        <f>Table2[[#This Row],[Propinsi]]&amp;"_"&amp;Table2[[#This Row],[Dati 2]]&amp;"_"&amp;Table2[[#This Row],[Tanggal]]</f>
        <v>JAWA TENGAH_SEMARANG_44287</v>
      </c>
      <c r="C629" t="s">
        <v>5</v>
      </c>
      <c r="D629" t="s">
        <v>95</v>
      </c>
      <c r="E629">
        <v>4</v>
      </c>
      <c r="F629">
        <v>2021</v>
      </c>
      <c r="G629" s="1">
        <f>DATE(Table2[[#This Row],[Tahun]],Table2[[#This Row],[Bulan]],1)</f>
        <v>44287</v>
      </c>
      <c r="H629">
        <v>36</v>
      </c>
    </row>
    <row r="630" spans="1:8" x14ac:dyDescent="0.25">
      <c r="A630">
        <v>629</v>
      </c>
      <c r="B630" t="str">
        <f>Table2[[#This Row],[Propinsi]]&amp;"_"&amp;Table2[[#This Row],[Dati 2]]&amp;"_"&amp;Table2[[#This Row],[Tanggal]]</f>
        <v>JAWA TENGAH_SEMARANG_44317</v>
      </c>
      <c r="C630" t="s">
        <v>5</v>
      </c>
      <c r="D630" t="s">
        <v>95</v>
      </c>
      <c r="E630">
        <v>5</v>
      </c>
      <c r="F630">
        <v>2021</v>
      </c>
      <c r="G630" s="1">
        <f>DATE(Table2[[#This Row],[Tahun]],Table2[[#This Row],[Bulan]],1)</f>
        <v>44317</v>
      </c>
      <c r="H630">
        <v>40</v>
      </c>
    </row>
    <row r="631" spans="1:8" x14ac:dyDescent="0.25">
      <c r="A631">
        <v>630</v>
      </c>
      <c r="B631" t="str">
        <f>Table2[[#This Row],[Propinsi]]&amp;"_"&amp;Table2[[#This Row],[Dati 2]]&amp;"_"&amp;Table2[[#This Row],[Tanggal]]</f>
        <v>JAWA TENGAH_SEMARANG_44348</v>
      </c>
      <c r="C631" t="s">
        <v>5</v>
      </c>
      <c r="D631" t="s">
        <v>95</v>
      </c>
      <c r="E631">
        <v>6</v>
      </c>
      <c r="F631">
        <v>2021</v>
      </c>
      <c r="G631" s="1">
        <f>DATE(Table2[[#This Row],[Tahun]],Table2[[#This Row],[Bulan]],1)</f>
        <v>44348</v>
      </c>
      <c r="H631">
        <v>43</v>
      </c>
    </row>
    <row r="632" spans="1:8" x14ac:dyDescent="0.25">
      <c r="A632">
        <v>631</v>
      </c>
      <c r="B632" t="str">
        <f>Table2[[#This Row],[Propinsi]]&amp;"_"&amp;Table2[[#This Row],[Dati 2]]&amp;"_"&amp;Table2[[#This Row],[Tanggal]]</f>
        <v>JAWA TENGAH_SEMARANG_44378</v>
      </c>
      <c r="C632" t="s">
        <v>5</v>
      </c>
      <c r="D632" t="s">
        <v>95</v>
      </c>
      <c r="E632">
        <v>7</v>
      </c>
      <c r="F632">
        <v>2021</v>
      </c>
      <c r="G632" s="1">
        <f>DATE(Table2[[#This Row],[Tahun]],Table2[[#This Row],[Bulan]],1)</f>
        <v>44378</v>
      </c>
      <c r="H632">
        <v>46</v>
      </c>
    </row>
    <row r="633" spans="1:8" x14ac:dyDescent="0.25">
      <c r="A633">
        <v>632</v>
      </c>
      <c r="B633" t="str">
        <f>Table2[[#This Row],[Propinsi]]&amp;"_"&amp;Table2[[#This Row],[Dati 2]]&amp;"_"&amp;Table2[[#This Row],[Tanggal]]</f>
        <v>JAWA TENGAH_SEMARANG_44409</v>
      </c>
      <c r="C633" t="s">
        <v>5</v>
      </c>
      <c r="D633" t="s">
        <v>95</v>
      </c>
      <c r="E633">
        <v>8</v>
      </c>
      <c r="F633">
        <v>2021</v>
      </c>
      <c r="G633" s="1">
        <f>DATE(Table2[[#This Row],[Tahun]],Table2[[#This Row],[Bulan]],1)</f>
        <v>44409</v>
      </c>
      <c r="H633">
        <v>52</v>
      </c>
    </row>
    <row r="634" spans="1:8" x14ac:dyDescent="0.25">
      <c r="A634">
        <v>633</v>
      </c>
      <c r="B634" t="str">
        <f>Table2[[#This Row],[Propinsi]]&amp;"_"&amp;Table2[[#This Row],[Dati 2]]&amp;"_"&amp;Table2[[#This Row],[Tanggal]]</f>
        <v>JAWA TENGAH_SEMARANG_44440</v>
      </c>
      <c r="C634" t="s">
        <v>5</v>
      </c>
      <c r="D634" t="s">
        <v>95</v>
      </c>
      <c r="E634">
        <v>9</v>
      </c>
      <c r="F634">
        <v>2021</v>
      </c>
      <c r="G634" s="1">
        <f>DATE(Table2[[#This Row],[Tahun]],Table2[[#This Row],[Bulan]],1)</f>
        <v>44440</v>
      </c>
      <c r="H634">
        <v>51</v>
      </c>
    </row>
    <row r="635" spans="1:8" x14ac:dyDescent="0.25">
      <c r="A635">
        <v>634</v>
      </c>
      <c r="B635" t="str">
        <f>Table2[[#This Row],[Propinsi]]&amp;"_"&amp;Table2[[#This Row],[Dati 2]]&amp;"_"&amp;Table2[[#This Row],[Tanggal]]</f>
        <v>JAWA TENGAH_SEMARANG_44470</v>
      </c>
      <c r="C635" t="s">
        <v>5</v>
      </c>
      <c r="D635" t="s">
        <v>95</v>
      </c>
      <c r="E635">
        <v>10</v>
      </c>
      <c r="F635">
        <v>2021</v>
      </c>
      <c r="G635" s="1">
        <f>DATE(Table2[[#This Row],[Tahun]],Table2[[#This Row],[Bulan]],1)</f>
        <v>44470</v>
      </c>
      <c r="H635">
        <v>57</v>
      </c>
    </row>
    <row r="636" spans="1:8" x14ac:dyDescent="0.25">
      <c r="A636">
        <v>635</v>
      </c>
      <c r="B636" t="str">
        <f>Table2[[#This Row],[Propinsi]]&amp;"_"&amp;Table2[[#This Row],[Dati 2]]&amp;"_"&amp;Table2[[#This Row],[Tanggal]]</f>
        <v>JAWA TENGAH_SEMARANG_44501</v>
      </c>
      <c r="C636" t="s">
        <v>5</v>
      </c>
      <c r="D636" t="s">
        <v>95</v>
      </c>
      <c r="E636">
        <v>11</v>
      </c>
      <c r="F636">
        <v>2021</v>
      </c>
      <c r="G636" s="1">
        <f>DATE(Table2[[#This Row],[Tahun]],Table2[[#This Row],[Bulan]],1)</f>
        <v>44501</v>
      </c>
      <c r="H636">
        <v>62</v>
      </c>
    </row>
    <row r="637" spans="1:8" x14ac:dyDescent="0.25">
      <c r="A637">
        <v>636</v>
      </c>
      <c r="B637" t="str">
        <f>Table2[[#This Row],[Propinsi]]&amp;"_"&amp;Table2[[#This Row],[Dati 2]]&amp;"_"&amp;Table2[[#This Row],[Tanggal]]</f>
        <v>JAWA TENGAH_SEMARANG_44531</v>
      </c>
      <c r="C637" t="s">
        <v>5</v>
      </c>
      <c r="D637" t="s">
        <v>95</v>
      </c>
      <c r="E637">
        <v>12</v>
      </c>
      <c r="F637">
        <v>2021</v>
      </c>
      <c r="G637" s="1">
        <f>DATE(Table2[[#This Row],[Tahun]],Table2[[#This Row],[Bulan]],1)</f>
        <v>44531</v>
      </c>
      <c r="H637">
        <v>67</v>
      </c>
    </row>
    <row r="638" spans="1:8" x14ac:dyDescent="0.25">
      <c r="A638">
        <v>637</v>
      </c>
      <c r="B638" t="str">
        <f>Table2[[#This Row],[Propinsi]]&amp;"_"&amp;Table2[[#This Row],[Dati 2]]&amp;"_"&amp;Table2[[#This Row],[Tanggal]]</f>
        <v>JAWA TENGAH_SALATIGA_44197</v>
      </c>
      <c r="C638" t="s">
        <v>5</v>
      </c>
      <c r="D638" t="s">
        <v>96</v>
      </c>
      <c r="E638">
        <v>1</v>
      </c>
      <c r="F638">
        <v>2021</v>
      </c>
      <c r="G638" s="1">
        <f>DATE(Table2[[#This Row],[Tahun]],Table2[[#This Row],[Bulan]],1)</f>
        <v>44197</v>
      </c>
      <c r="H638">
        <v>60</v>
      </c>
    </row>
    <row r="639" spans="1:8" x14ac:dyDescent="0.25">
      <c r="A639">
        <v>638</v>
      </c>
      <c r="B639" t="str">
        <f>Table2[[#This Row],[Propinsi]]&amp;"_"&amp;Table2[[#This Row],[Dati 2]]&amp;"_"&amp;Table2[[#This Row],[Tanggal]]</f>
        <v>JAWA TENGAH_SALATIGA_44228</v>
      </c>
      <c r="C639" t="s">
        <v>5</v>
      </c>
      <c r="D639" t="s">
        <v>96</v>
      </c>
      <c r="E639">
        <v>2</v>
      </c>
      <c r="F639">
        <v>2021</v>
      </c>
      <c r="G639" s="1">
        <f>DATE(Table2[[#This Row],[Tahun]],Table2[[#This Row],[Bulan]],1)</f>
        <v>44228</v>
      </c>
      <c r="H639">
        <v>60</v>
      </c>
    </row>
    <row r="640" spans="1:8" x14ac:dyDescent="0.25">
      <c r="A640">
        <v>639</v>
      </c>
      <c r="B640" t="str">
        <f>Table2[[#This Row],[Propinsi]]&amp;"_"&amp;Table2[[#This Row],[Dati 2]]&amp;"_"&amp;Table2[[#This Row],[Tanggal]]</f>
        <v>JAWA TENGAH_SALATIGA_44256</v>
      </c>
      <c r="C640" t="s">
        <v>5</v>
      </c>
      <c r="D640" t="s">
        <v>96</v>
      </c>
      <c r="E640">
        <v>3</v>
      </c>
      <c r="F640">
        <v>2021</v>
      </c>
      <c r="G640" s="1">
        <f>DATE(Table2[[#This Row],[Tahun]],Table2[[#This Row],[Bulan]],1)</f>
        <v>44256</v>
      </c>
      <c r="H640">
        <v>63</v>
      </c>
    </row>
    <row r="641" spans="1:8" x14ac:dyDescent="0.25">
      <c r="A641">
        <v>640</v>
      </c>
      <c r="B641" t="str">
        <f>Table2[[#This Row],[Propinsi]]&amp;"_"&amp;Table2[[#This Row],[Dati 2]]&amp;"_"&amp;Table2[[#This Row],[Tanggal]]</f>
        <v>JAWA TENGAH_SALATIGA_44287</v>
      </c>
      <c r="C641" t="s">
        <v>5</v>
      </c>
      <c r="D641" t="s">
        <v>96</v>
      </c>
      <c r="E641">
        <v>4</v>
      </c>
      <c r="F641">
        <v>2021</v>
      </c>
      <c r="G641" s="1">
        <f>DATE(Table2[[#This Row],[Tahun]],Table2[[#This Row],[Bulan]],1)</f>
        <v>44287</v>
      </c>
      <c r="H641">
        <v>69</v>
      </c>
    </row>
    <row r="642" spans="1:8" x14ac:dyDescent="0.25">
      <c r="A642">
        <v>641</v>
      </c>
      <c r="B642" t="str">
        <f>Table2[[#This Row],[Propinsi]]&amp;"_"&amp;Table2[[#This Row],[Dati 2]]&amp;"_"&amp;Table2[[#This Row],[Tanggal]]</f>
        <v>JAWA TENGAH_SALATIGA_44317</v>
      </c>
      <c r="C642" t="s">
        <v>5</v>
      </c>
      <c r="D642" t="s">
        <v>96</v>
      </c>
      <c r="E642">
        <v>5</v>
      </c>
      <c r="F642">
        <v>2021</v>
      </c>
      <c r="G642" s="1">
        <f>DATE(Table2[[#This Row],[Tahun]],Table2[[#This Row],[Bulan]],1)</f>
        <v>44317</v>
      </c>
      <c r="H642">
        <v>68</v>
      </c>
    </row>
    <row r="643" spans="1:8" x14ac:dyDescent="0.25">
      <c r="A643">
        <v>642</v>
      </c>
      <c r="B643" t="str">
        <f>Table2[[#This Row],[Propinsi]]&amp;"_"&amp;Table2[[#This Row],[Dati 2]]&amp;"_"&amp;Table2[[#This Row],[Tanggal]]</f>
        <v>JAWA TENGAH_SALATIGA_44348</v>
      </c>
      <c r="C643" t="s">
        <v>5</v>
      </c>
      <c r="D643" t="s">
        <v>96</v>
      </c>
      <c r="E643">
        <v>6</v>
      </c>
      <c r="F643">
        <v>2021</v>
      </c>
      <c r="G643" s="1">
        <f>DATE(Table2[[#This Row],[Tahun]],Table2[[#This Row],[Bulan]],1)</f>
        <v>44348</v>
      </c>
      <c r="H643">
        <v>68</v>
      </c>
    </row>
    <row r="644" spans="1:8" x14ac:dyDescent="0.25">
      <c r="A644">
        <v>643</v>
      </c>
      <c r="B644" t="str">
        <f>Table2[[#This Row],[Propinsi]]&amp;"_"&amp;Table2[[#This Row],[Dati 2]]&amp;"_"&amp;Table2[[#This Row],[Tanggal]]</f>
        <v>JAWA TENGAH_SALATIGA_44378</v>
      </c>
      <c r="C644" t="s">
        <v>5</v>
      </c>
      <c r="D644" t="s">
        <v>96</v>
      </c>
      <c r="E644">
        <v>7</v>
      </c>
      <c r="F644">
        <v>2021</v>
      </c>
      <c r="G644" s="1">
        <f>DATE(Table2[[#This Row],[Tahun]],Table2[[#This Row],[Bulan]],1)</f>
        <v>44378</v>
      </c>
      <c r="H644">
        <v>72</v>
      </c>
    </row>
    <row r="645" spans="1:8" x14ac:dyDescent="0.25">
      <c r="A645">
        <v>644</v>
      </c>
      <c r="B645" t="str">
        <f>Table2[[#This Row],[Propinsi]]&amp;"_"&amp;Table2[[#This Row],[Dati 2]]&amp;"_"&amp;Table2[[#This Row],[Tanggal]]</f>
        <v>JAWA TENGAH_SALATIGA_44409</v>
      </c>
      <c r="C645" t="s">
        <v>5</v>
      </c>
      <c r="D645" t="s">
        <v>96</v>
      </c>
      <c r="E645">
        <v>8</v>
      </c>
      <c r="F645">
        <v>2021</v>
      </c>
      <c r="G645" s="1">
        <f>DATE(Table2[[#This Row],[Tahun]],Table2[[#This Row],[Bulan]],1)</f>
        <v>44409</v>
      </c>
      <c r="H645">
        <v>77</v>
      </c>
    </row>
    <row r="646" spans="1:8" x14ac:dyDescent="0.25">
      <c r="A646">
        <v>645</v>
      </c>
      <c r="B646" t="str">
        <f>Table2[[#This Row],[Propinsi]]&amp;"_"&amp;Table2[[#This Row],[Dati 2]]&amp;"_"&amp;Table2[[#This Row],[Tanggal]]</f>
        <v>JAWA TENGAH_SALATIGA_44440</v>
      </c>
      <c r="C646" t="s">
        <v>5</v>
      </c>
      <c r="D646" t="s">
        <v>96</v>
      </c>
      <c r="E646">
        <v>9</v>
      </c>
      <c r="F646">
        <v>2021</v>
      </c>
      <c r="G646" s="1">
        <f>DATE(Table2[[#This Row],[Tahun]],Table2[[#This Row],[Bulan]],1)</f>
        <v>44440</v>
      </c>
      <c r="H646">
        <v>84</v>
      </c>
    </row>
    <row r="647" spans="1:8" x14ac:dyDescent="0.25">
      <c r="A647">
        <v>646</v>
      </c>
      <c r="B647" t="str">
        <f>Table2[[#This Row],[Propinsi]]&amp;"_"&amp;Table2[[#This Row],[Dati 2]]&amp;"_"&amp;Table2[[#This Row],[Tanggal]]</f>
        <v>JAWA TENGAH_SALATIGA_44470</v>
      </c>
      <c r="C647" t="s">
        <v>5</v>
      </c>
      <c r="D647" t="s">
        <v>96</v>
      </c>
      <c r="E647">
        <v>10</v>
      </c>
      <c r="F647">
        <v>2021</v>
      </c>
      <c r="G647" s="1">
        <f>DATE(Table2[[#This Row],[Tahun]],Table2[[#This Row],[Bulan]],1)</f>
        <v>44470</v>
      </c>
      <c r="H647">
        <v>85</v>
      </c>
    </row>
    <row r="648" spans="1:8" x14ac:dyDescent="0.25">
      <c r="A648">
        <v>647</v>
      </c>
      <c r="B648" t="str">
        <f>Table2[[#This Row],[Propinsi]]&amp;"_"&amp;Table2[[#This Row],[Dati 2]]&amp;"_"&amp;Table2[[#This Row],[Tanggal]]</f>
        <v>JAWA TENGAH_SALATIGA_44501</v>
      </c>
      <c r="C648" t="s">
        <v>5</v>
      </c>
      <c r="D648" t="s">
        <v>96</v>
      </c>
      <c r="E648">
        <v>11</v>
      </c>
      <c r="F648">
        <v>2021</v>
      </c>
      <c r="G648" s="1">
        <f>DATE(Table2[[#This Row],[Tahun]],Table2[[#This Row],[Bulan]],1)</f>
        <v>44501</v>
      </c>
      <c r="H648">
        <v>89</v>
      </c>
    </row>
    <row r="649" spans="1:8" x14ac:dyDescent="0.25">
      <c r="A649">
        <v>648</v>
      </c>
      <c r="B649" t="str">
        <f>Table2[[#This Row],[Propinsi]]&amp;"_"&amp;Table2[[#This Row],[Dati 2]]&amp;"_"&amp;Table2[[#This Row],[Tanggal]]</f>
        <v>JAWA TENGAH_SALATIGA_44531</v>
      </c>
      <c r="C649" t="s">
        <v>5</v>
      </c>
      <c r="D649" t="s">
        <v>96</v>
      </c>
      <c r="E649">
        <v>12</v>
      </c>
      <c r="F649">
        <v>2021</v>
      </c>
      <c r="G649" s="1">
        <f>DATE(Table2[[#This Row],[Tahun]],Table2[[#This Row],[Bulan]],1)</f>
        <v>44531</v>
      </c>
      <c r="H649">
        <v>91</v>
      </c>
    </row>
    <row r="650" spans="1:8" x14ac:dyDescent="0.25">
      <c r="A650">
        <v>649</v>
      </c>
      <c r="B650" t="str">
        <f>Table2[[#This Row],[Propinsi]]&amp;"_"&amp;Table2[[#This Row],[Dati 2]]&amp;"_"&amp;Table2[[#This Row],[Tanggal]]</f>
        <v>JAWA TENGAH_PEKALONGAN_44197</v>
      </c>
      <c r="C650" t="s">
        <v>5</v>
      </c>
      <c r="D650" t="s">
        <v>97</v>
      </c>
      <c r="E650">
        <v>1</v>
      </c>
      <c r="F650">
        <v>2021</v>
      </c>
      <c r="G650" s="1">
        <f>DATE(Table2[[#This Row],[Tahun]],Table2[[#This Row],[Bulan]],1)</f>
        <v>44197</v>
      </c>
      <c r="H650">
        <v>87</v>
      </c>
    </row>
    <row r="651" spans="1:8" x14ac:dyDescent="0.25">
      <c r="A651">
        <v>650</v>
      </c>
      <c r="B651" t="str">
        <f>Table2[[#This Row],[Propinsi]]&amp;"_"&amp;Table2[[#This Row],[Dati 2]]&amp;"_"&amp;Table2[[#This Row],[Tanggal]]</f>
        <v>JAWA TENGAH_PEKALONGAN_44228</v>
      </c>
      <c r="C651" t="s">
        <v>5</v>
      </c>
      <c r="D651" t="s">
        <v>97</v>
      </c>
      <c r="E651">
        <v>2</v>
      </c>
      <c r="F651">
        <v>2021</v>
      </c>
      <c r="G651" s="1">
        <f>DATE(Table2[[#This Row],[Tahun]],Table2[[#This Row],[Bulan]],1)</f>
        <v>44228</v>
      </c>
      <c r="H651">
        <v>88</v>
      </c>
    </row>
    <row r="652" spans="1:8" x14ac:dyDescent="0.25">
      <c r="A652">
        <v>651</v>
      </c>
      <c r="B652" t="str">
        <f>Table2[[#This Row],[Propinsi]]&amp;"_"&amp;Table2[[#This Row],[Dati 2]]&amp;"_"&amp;Table2[[#This Row],[Tanggal]]</f>
        <v>JAWA TENGAH_PEKALONGAN_44256</v>
      </c>
      <c r="C652" t="s">
        <v>5</v>
      </c>
      <c r="D652" t="s">
        <v>97</v>
      </c>
      <c r="E652">
        <v>3</v>
      </c>
      <c r="F652">
        <v>2021</v>
      </c>
      <c r="G652" s="1">
        <f>DATE(Table2[[#This Row],[Tahun]],Table2[[#This Row],[Bulan]],1)</f>
        <v>44256</v>
      </c>
      <c r="H652">
        <v>93</v>
      </c>
    </row>
    <row r="653" spans="1:8" x14ac:dyDescent="0.25">
      <c r="A653">
        <v>652</v>
      </c>
      <c r="B653" t="str">
        <f>Table2[[#This Row],[Propinsi]]&amp;"_"&amp;Table2[[#This Row],[Dati 2]]&amp;"_"&amp;Table2[[#This Row],[Tanggal]]</f>
        <v>JAWA TENGAH_PEKALONGAN_44287</v>
      </c>
      <c r="C653" t="s">
        <v>5</v>
      </c>
      <c r="D653" t="s">
        <v>97</v>
      </c>
      <c r="E653">
        <v>4</v>
      </c>
      <c r="F653">
        <v>2021</v>
      </c>
      <c r="G653" s="1">
        <f>DATE(Table2[[#This Row],[Tahun]],Table2[[#This Row],[Bulan]],1)</f>
        <v>44287</v>
      </c>
      <c r="H653">
        <v>96</v>
      </c>
    </row>
    <row r="654" spans="1:8" x14ac:dyDescent="0.25">
      <c r="A654">
        <v>653</v>
      </c>
      <c r="B654" t="str">
        <f>Table2[[#This Row],[Propinsi]]&amp;"_"&amp;Table2[[#This Row],[Dati 2]]&amp;"_"&amp;Table2[[#This Row],[Tanggal]]</f>
        <v>JAWA TENGAH_PEKALONGAN_44317</v>
      </c>
      <c r="C654" t="s">
        <v>5</v>
      </c>
      <c r="D654" t="s">
        <v>97</v>
      </c>
      <c r="E654">
        <v>5</v>
      </c>
      <c r="F654">
        <v>2021</v>
      </c>
      <c r="G654" s="1">
        <f>DATE(Table2[[#This Row],[Tahun]],Table2[[#This Row],[Bulan]],1)</f>
        <v>44317</v>
      </c>
      <c r="H654">
        <v>97</v>
      </c>
    </row>
    <row r="655" spans="1:8" x14ac:dyDescent="0.25">
      <c r="A655">
        <v>654</v>
      </c>
      <c r="B655" t="str">
        <f>Table2[[#This Row],[Propinsi]]&amp;"_"&amp;Table2[[#This Row],[Dati 2]]&amp;"_"&amp;Table2[[#This Row],[Tanggal]]</f>
        <v>JAWA TENGAH_PEKALONGAN_44348</v>
      </c>
      <c r="C655" t="s">
        <v>5</v>
      </c>
      <c r="D655" t="s">
        <v>97</v>
      </c>
      <c r="E655">
        <v>6</v>
      </c>
      <c r="F655">
        <v>2021</v>
      </c>
      <c r="G655" s="1">
        <f>DATE(Table2[[#This Row],[Tahun]],Table2[[#This Row],[Bulan]],1)</f>
        <v>44348</v>
      </c>
      <c r="H655">
        <v>102</v>
      </c>
    </row>
    <row r="656" spans="1:8" x14ac:dyDescent="0.25">
      <c r="A656">
        <v>655</v>
      </c>
      <c r="B656" t="str">
        <f>Table2[[#This Row],[Propinsi]]&amp;"_"&amp;Table2[[#This Row],[Dati 2]]&amp;"_"&amp;Table2[[#This Row],[Tanggal]]</f>
        <v>JAWA TENGAH_PEKALONGAN_44378</v>
      </c>
      <c r="C656" t="s">
        <v>5</v>
      </c>
      <c r="D656" t="s">
        <v>97</v>
      </c>
      <c r="E656">
        <v>7</v>
      </c>
      <c r="F656">
        <v>2021</v>
      </c>
      <c r="G656" s="1">
        <f>DATE(Table2[[#This Row],[Tahun]],Table2[[#This Row],[Bulan]],1)</f>
        <v>44378</v>
      </c>
      <c r="H656">
        <v>103</v>
      </c>
    </row>
    <row r="657" spans="1:8" x14ac:dyDescent="0.25">
      <c r="A657">
        <v>656</v>
      </c>
      <c r="B657" t="str">
        <f>Table2[[#This Row],[Propinsi]]&amp;"_"&amp;Table2[[#This Row],[Dati 2]]&amp;"_"&amp;Table2[[#This Row],[Tanggal]]</f>
        <v>JAWA TENGAH_PEKALONGAN_44409</v>
      </c>
      <c r="C657" t="s">
        <v>5</v>
      </c>
      <c r="D657" t="s">
        <v>97</v>
      </c>
      <c r="E657">
        <v>8</v>
      </c>
      <c r="F657">
        <v>2021</v>
      </c>
      <c r="G657" s="1">
        <f>DATE(Table2[[#This Row],[Tahun]],Table2[[#This Row],[Bulan]],1)</f>
        <v>44409</v>
      </c>
      <c r="H657">
        <v>107</v>
      </c>
    </row>
    <row r="658" spans="1:8" x14ac:dyDescent="0.25">
      <c r="A658">
        <v>657</v>
      </c>
      <c r="B658" t="str">
        <f>Table2[[#This Row],[Propinsi]]&amp;"_"&amp;Table2[[#This Row],[Dati 2]]&amp;"_"&amp;Table2[[#This Row],[Tanggal]]</f>
        <v>JAWA TENGAH_PEKALONGAN_44440</v>
      </c>
      <c r="C658" t="s">
        <v>5</v>
      </c>
      <c r="D658" t="s">
        <v>97</v>
      </c>
      <c r="E658">
        <v>9</v>
      </c>
      <c r="F658">
        <v>2021</v>
      </c>
      <c r="G658" s="1">
        <f>DATE(Table2[[#This Row],[Tahun]],Table2[[#This Row],[Bulan]],1)</f>
        <v>44440</v>
      </c>
      <c r="H658">
        <v>114</v>
      </c>
    </row>
    <row r="659" spans="1:8" x14ac:dyDescent="0.25">
      <c r="A659">
        <v>658</v>
      </c>
      <c r="B659" t="str">
        <f>Table2[[#This Row],[Propinsi]]&amp;"_"&amp;Table2[[#This Row],[Dati 2]]&amp;"_"&amp;Table2[[#This Row],[Tanggal]]</f>
        <v>JAWA TENGAH_PEKALONGAN_44470</v>
      </c>
      <c r="C659" t="s">
        <v>5</v>
      </c>
      <c r="D659" t="s">
        <v>97</v>
      </c>
      <c r="E659">
        <v>10</v>
      </c>
      <c r="F659">
        <v>2021</v>
      </c>
      <c r="G659" s="1">
        <f>DATE(Table2[[#This Row],[Tahun]],Table2[[#This Row],[Bulan]],1)</f>
        <v>44470</v>
      </c>
      <c r="H659">
        <v>118</v>
      </c>
    </row>
    <row r="660" spans="1:8" x14ac:dyDescent="0.25">
      <c r="A660">
        <v>659</v>
      </c>
      <c r="B660" t="str">
        <f>Table2[[#This Row],[Propinsi]]&amp;"_"&amp;Table2[[#This Row],[Dati 2]]&amp;"_"&amp;Table2[[#This Row],[Tanggal]]</f>
        <v>JAWA TENGAH_PEKALONGAN_44501</v>
      </c>
      <c r="C660" t="s">
        <v>5</v>
      </c>
      <c r="D660" t="s">
        <v>97</v>
      </c>
      <c r="E660">
        <v>11</v>
      </c>
      <c r="F660">
        <v>2021</v>
      </c>
      <c r="G660" s="1">
        <f>DATE(Table2[[#This Row],[Tahun]],Table2[[#This Row],[Bulan]],1)</f>
        <v>44501</v>
      </c>
      <c r="H660">
        <v>117</v>
      </c>
    </row>
    <row r="661" spans="1:8" x14ac:dyDescent="0.25">
      <c r="A661">
        <v>660</v>
      </c>
      <c r="B661" t="str">
        <f>Table2[[#This Row],[Propinsi]]&amp;"_"&amp;Table2[[#This Row],[Dati 2]]&amp;"_"&amp;Table2[[#This Row],[Tanggal]]</f>
        <v>JAWA TENGAH_PEKALONGAN_44531</v>
      </c>
      <c r="C661" t="s">
        <v>5</v>
      </c>
      <c r="D661" t="s">
        <v>97</v>
      </c>
      <c r="E661">
        <v>12</v>
      </c>
      <c r="F661">
        <v>2021</v>
      </c>
      <c r="G661" s="1">
        <f>DATE(Table2[[#This Row],[Tahun]],Table2[[#This Row],[Bulan]],1)</f>
        <v>44531</v>
      </c>
      <c r="H661">
        <v>117</v>
      </c>
    </row>
    <row r="662" spans="1:8" x14ac:dyDescent="0.25">
      <c r="A662">
        <v>661</v>
      </c>
      <c r="B662" t="str">
        <f>Table2[[#This Row],[Propinsi]]&amp;"_"&amp;Table2[[#This Row],[Dati 2]]&amp;"_"&amp;Table2[[#This Row],[Tanggal]]</f>
        <v>JAWA TENGAH_BATANG_44197</v>
      </c>
      <c r="C662" t="s">
        <v>5</v>
      </c>
      <c r="D662" t="s">
        <v>98</v>
      </c>
      <c r="E662">
        <v>1</v>
      </c>
      <c r="F662">
        <v>2021</v>
      </c>
      <c r="G662" s="1">
        <f>DATE(Table2[[#This Row],[Tahun]],Table2[[#This Row],[Bulan]],1)</f>
        <v>44197</v>
      </c>
      <c r="H662">
        <v>58</v>
      </c>
    </row>
    <row r="663" spans="1:8" x14ac:dyDescent="0.25">
      <c r="A663">
        <v>662</v>
      </c>
      <c r="B663" t="str">
        <f>Table2[[#This Row],[Propinsi]]&amp;"_"&amp;Table2[[#This Row],[Dati 2]]&amp;"_"&amp;Table2[[#This Row],[Tanggal]]</f>
        <v>JAWA TENGAH_BATANG_44228</v>
      </c>
      <c r="C663" t="s">
        <v>5</v>
      </c>
      <c r="D663" t="s">
        <v>98</v>
      </c>
      <c r="E663">
        <v>2</v>
      </c>
      <c r="F663">
        <v>2021</v>
      </c>
      <c r="G663" s="1">
        <f>DATE(Table2[[#This Row],[Tahun]],Table2[[#This Row],[Bulan]],1)</f>
        <v>44228</v>
      </c>
      <c r="H663">
        <v>63</v>
      </c>
    </row>
    <row r="664" spans="1:8" x14ac:dyDescent="0.25">
      <c r="A664">
        <v>663</v>
      </c>
      <c r="B664" t="str">
        <f>Table2[[#This Row],[Propinsi]]&amp;"_"&amp;Table2[[#This Row],[Dati 2]]&amp;"_"&amp;Table2[[#This Row],[Tanggal]]</f>
        <v>JAWA TENGAH_BATANG_44256</v>
      </c>
      <c r="C664" t="s">
        <v>5</v>
      </c>
      <c r="D664" t="s">
        <v>98</v>
      </c>
      <c r="E664">
        <v>3</v>
      </c>
      <c r="F664">
        <v>2021</v>
      </c>
      <c r="G664" s="1">
        <f>DATE(Table2[[#This Row],[Tahun]],Table2[[#This Row],[Bulan]],1)</f>
        <v>44256</v>
      </c>
      <c r="H664">
        <v>64</v>
      </c>
    </row>
    <row r="665" spans="1:8" x14ac:dyDescent="0.25">
      <c r="A665">
        <v>664</v>
      </c>
      <c r="B665" t="str">
        <f>Table2[[#This Row],[Propinsi]]&amp;"_"&amp;Table2[[#This Row],[Dati 2]]&amp;"_"&amp;Table2[[#This Row],[Tanggal]]</f>
        <v>JAWA TENGAH_BATANG_44287</v>
      </c>
      <c r="C665" t="s">
        <v>5</v>
      </c>
      <c r="D665" t="s">
        <v>98</v>
      </c>
      <c r="E665">
        <v>4</v>
      </c>
      <c r="F665">
        <v>2021</v>
      </c>
      <c r="G665" s="1">
        <f>DATE(Table2[[#This Row],[Tahun]],Table2[[#This Row],[Bulan]],1)</f>
        <v>44287</v>
      </c>
      <c r="H665">
        <v>68</v>
      </c>
    </row>
    <row r="666" spans="1:8" x14ac:dyDescent="0.25">
      <c r="A666">
        <v>665</v>
      </c>
      <c r="B666" t="str">
        <f>Table2[[#This Row],[Propinsi]]&amp;"_"&amp;Table2[[#This Row],[Dati 2]]&amp;"_"&amp;Table2[[#This Row],[Tanggal]]</f>
        <v>JAWA TENGAH_BATANG_44317</v>
      </c>
      <c r="C666" t="s">
        <v>5</v>
      </c>
      <c r="D666" t="s">
        <v>98</v>
      </c>
      <c r="E666">
        <v>5</v>
      </c>
      <c r="F666">
        <v>2021</v>
      </c>
      <c r="G666" s="1">
        <f>DATE(Table2[[#This Row],[Tahun]],Table2[[#This Row],[Bulan]],1)</f>
        <v>44317</v>
      </c>
      <c r="H666">
        <v>67</v>
      </c>
    </row>
    <row r="667" spans="1:8" x14ac:dyDescent="0.25">
      <c r="A667">
        <v>666</v>
      </c>
      <c r="B667" t="str">
        <f>Table2[[#This Row],[Propinsi]]&amp;"_"&amp;Table2[[#This Row],[Dati 2]]&amp;"_"&amp;Table2[[#This Row],[Tanggal]]</f>
        <v>JAWA TENGAH_BATANG_44348</v>
      </c>
      <c r="C667" t="s">
        <v>5</v>
      </c>
      <c r="D667" t="s">
        <v>98</v>
      </c>
      <c r="E667">
        <v>6</v>
      </c>
      <c r="F667">
        <v>2021</v>
      </c>
      <c r="G667" s="1">
        <f>DATE(Table2[[#This Row],[Tahun]],Table2[[#This Row],[Bulan]],1)</f>
        <v>44348</v>
      </c>
      <c r="H667">
        <v>67</v>
      </c>
    </row>
    <row r="668" spans="1:8" x14ac:dyDescent="0.25">
      <c r="A668">
        <v>667</v>
      </c>
      <c r="B668" t="str">
        <f>Table2[[#This Row],[Propinsi]]&amp;"_"&amp;Table2[[#This Row],[Dati 2]]&amp;"_"&amp;Table2[[#This Row],[Tanggal]]</f>
        <v>JAWA TENGAH_BATANG_44378</v>
      </c>
      <c r="C668" t="s">
        <v>5</v>
      </c>
      <c r="D668" t="s">
        <v>98</v>
      </c>
      <c r="E668">
        <v>7</v>
      </c>
      <c r="F668">
        <v>2021</v>
      </c>
      <c r="G668" s="1">
        <f>DATE(Table2[[#This Row],[Tahun]],Table2[[#This Row],[Bulan]],1)</f>
        <v>44378</v>
      </c>
      <c r="H668">
        <v>69</v>
      </c>
    </row>
    <row r="669" spans="1:8" x14ac:dyDescent="0.25">
      <c r="A669">
        <v>668</v>
      </c>
      <c r="B669" t="str">
        <f>Table2[[#This Row],[Propinsi]]&amp;"_"&amp;Table2[[#This Row],[Dati 2]]&amp;"_"&amp;Table2[[#This Row],[Tanggal]]</f>
        <v>JAWA TENGAH_BATANG_44409</v>
      </c>
      <c r="C669" t="s">
        <v>5</v>
      </c>
      <c r="D669" t="s">
        <v>98</v>
      </c>
      <c r="E669">
        <v>8</v>
      </c>
      <c r="F669">
        <v>2021</v>
      </c>
      <c r="G669" s="1">
        <f>DATE(Table2[[#This Row],[Tahun]],Table2[[#This Row],[Bulan]],1)</f>
        <v>44409</v>
      </c>
      <c r="H669">
        <v>73</v>
      </c>
    </row>
    <row r="670" spans="1:8" x14ac:dyDescent="0.25">
      <c r="A670">
        <v>669</v>
      </c>
      <c r="B670" t="str">
        <f>Table2[[#This Row],[Propinsi]]&amp;"_"&amp;Table2[[#This Row],[Dati 2]]&amp;"_"&amp;Table2[[#This Row],[Tanggal]]</f>
        <v>JAWA TENGAH_BATANG_44440</v>
      </c>
      <c r="C670" t="s">
        <v>5</v>
      </c>
      <c r="D670" t="s">
        <v>98</v>
      </c>
      <c r="E670">
        <v>9</v>
      </c>
      <c r="F670">
        <v>2021</v>
      </c>
      <c r="G670" s="1">
        <f>DATE(Table2[[#This Row],[Tahun]],Table2[[#This Row],[Bulan]],1)</f>
        <v>44440</v>
      </c>
      <c r="H670">
        <v>78</v>
      </c>
    </row>
    <row r="671" spans="1:8" x14ac:dyDescent="0.25">
      <c r="A671">
        <v>670</v>
      </c>
      <c r="B671" t="str">
        <f>Table2[[#This Row],[Propinsi]]&amp;"_"&amp;Table2[[#This Row],[Dati 2]]&amp;"_"&amp;Table2[[#This Row],[Tanggal]]</f>
        <v>JAWA TENGAH_BATANG_44470</v>
      </c>
      <c r="C671" t="s">
        <v>5</v>
      </c>
      <c r="D671" t="s">
        <v>98</v>
      </c>
      <c r="E671">
        <v>10</v>
      </c>
      <c r="F671">
        <v>2021</v>
      </c>
      <c r="G671" s="1">
        <f>DATE(Table2[[#This Row],[Tahun]],Table2[[#This Row],[Bulan]],1)</f>
        <v>44470</v>
      </c>
      <c r="H671">
        <v>77</v>
      </c>
    </row>
    <row r="672" spans="1:8" x14ac:dyDescent="0.25">
      <c r="A672">
        <v>671</v>
      </c>
      <c r="B672" t="str">
        <f>Table2[[#This Row],[Propinsi]]&amp;"_"&amp;Table2[[#This Row],[Dati 2]]&amp;"_"&amp;Table2[[#This Row],[Tanggal]]</f>
        <v>JAWA TENGAH_BATANG_44501</v>
      </c>
      <c r="C672" t="s">
        <v>5</v>
      </c>
      <c r="D672" t="s">
        <v>98</v>
      </c>
      <c r="E672">
        <v>11</v>
      </c>
      <c r="F672">
        <v>2021</v>
      </c>
      <c r="G672" s="1">
        <f>DATE(Table2[[#This Row],[Tahun]],Table2[[#This Row],[Bulan]],1)</f>
        <v>44501</v>
      </c>
      <c r="H672">
        <v>75</v>
      </c>
    </row>
    <row r="673" spans="1:8" x14ac:dyDescent="0.25">
      <c r="A673">
        <v>672</v>
      </c>
      <c r="B673" t="str">
        <f>Table2[[#This Row],[Propinsi]]&amp;"_"&amp;Table2[[#This Row],[Dati 2]]&amp;"_"&amp;Table2[[#This Row],[Tanggal]]</f>
        <v>JAWA TENGAH_BATANG_44531</v>
      </c>
      <c r="C673" t="s">
        <v>5</v>
      </c>
      <c r="D673" t="s">
        <v>98</v>
      </c>
      <c r="E673">
        <v>12</v>
      </c>
      <c r="F673">
        <v>2021</v>
      </c>
      <c r="G673" s="1">
        <f>DATE(Table2[[#This Row],[Tahun]],Table2[[#This Row],[Bulan]],1)</f>
        <v>44531</v>
      </c>
      <c r="H673">
        <v>75</v>
      </c>
    </row>
    <row r="674" spans="1:8" x14ac:dyDescent="0.25">
      <c r="A674">
        <v>673</v>
      </c>
      <c r="B674" t="str">
        <f>Table2[[#This Row],[Propinsi]]&amp;"_"&amp;Table2[[#This Row],[Dati 2]]&amp;"_"&amp;Table2[[#This Row],[Tanggal]]</f>
        <v>JAWA TENGAH_KENDAL_44197</v>
      </c>
      <c r="C674" t="s">
        <v>5</v>
      </c>
      <c r="D674" t="s">
        <v>99</v>
      </c>
      <c r="E674">
        <v>1</v>
      </c>
      <c r="F674">
        <v>2021</v>
      </c>
      <c r="G674" s="1">
        <f>DATE(Table2[[#This Row],[Tahun]],Table2[[#This Row],[Bulan]],1)</f>
        <v>44197</v>
      </c>
      <c r="H674">
        <v>61</v>
      </c>
    </row>
    <row r="675" spans="1:8" x14ac:dyDescent="0.25">
      <c r="A675">
        <v>674</v>
      </c>
      <c r="B675" t="str">
        <f>Table2[[#This Row],[Propinsi]]&amp;"_"&amp;Table2[[#This Row],[Dati 2]]&amp;"_"&amp;Table2[[#This Row],[Tanggal]]</f>
        <v>JAWA TENGAH_KENDAL_44228</v>
      </c>
      <c r="C675" t="s">
        <v>5</v>
      </c>
      <c r="D675" t="s">
        <v>99</v>
      </c>
      <c r="E675">
        <v>2</v>
      </c>
      <c r="F675">
        <v>2021</v>
      </c>
      <c r="G675" s="1">
        <f>DATE(Table2[[#This Row],[Tahun]],Table2[[#This Row],[Bulan]],1)</f>
        <v>44228</v>
      </c>
      <c r="H675">
        <v>59</v>
      </c>
    </row>
    <row r="676" spans="1:8" x14ac:dyDescent="0.25">
      <c r="A676">
        <v>675</v>
      </c>
      <c r="B676" t="str">
        <f>Table2[[#This Row],[Propinsi]]&amp;"_"&amp;Table2[[#This Row],[Dati 2]]&amp;"_"&amp;Table2[[#This Row],[Tanggal]]</f>
        <v>JAWA TENGAH_KENDAL_44256</v>
      </c>
      <c r="C676" t="s">
        <v>5</v>
      </c>
      <c r="D676" t="s">
        <v>99</v>
      </c>
      <c r="E676">
        <v>3</v>
      </c>
      <c r="F676">
        <v>2021</v>
      </c>
      <c r="G676" s="1">
        <f>DATE(Table2[[#This Row],[Tahun]],Table2[[#This Row],[Bulan]],1)</f>
        <v>44256</v>
      </c>
      <c r="H676">
        <v>59</v>
      </c>
    </row>
    <row r="677" spans="1:8" x14ac:dyDescent="0.25">
      <c r="A677">
        <v>676</v>
      </c>
      <c r="B677" t="str">
        <f>Table2[[#This Row],[Propinsi]]&amp;"_"&amp;Table2[[#This Row],[Dati 2]]&amp;"_"&amp;Table2[[#This Row],[Tanggal]]</f>
        <v>JAWA TENGAH_KENDAL_44287</v>
      </c>
      <c r="C677" t="s">
        <v>5</v>
      </c>
      <c r="D677" t="s">
        <v>99</v>
      </c>
      <c r="E677">
        <v>4</v>
      </c>
      <c r="F677">
        <v>2021</v>
      </c>
      <c r="G677" s="1">
        <f>DATE(Table2[[#This Row],[Tahun]],Table2[[#This Row],[Bulan]],1)</f>
        <v>44287</v>
      </c>
      <c r="H677">
        <v>65</v>
      </c>
    </row>
    <row r="678" spans="1:8" x14ac:dyDescent="0.25">
      <c r="A678">
        <v>677</v>
      </c>
      <c r="B678" t="str">
        <f>Table2[[#This Row],[Propinsi]]&amp;"_"&amp;Table2[[#This Row],[Dati 2]]&amp;"_"&amp;Table2[[#This Row],[Tanggal]]</f>
        <v>JAWA TENGAH_KENDAL_44317</v>
      </c>
      <c r="C678" t="s">
        <v>5</v>
      </c>
      <c r="D678" t="s">
        <v>99</v>
      </c>
      <c r="E678">
        <v>5</v>
      </c>
      <c r="F678">
        <v>2021</v>
      </c>
      <c r="G678" s="1">
        <f>DATE(Table2[[#This Row],[Tahun]],Table2[[#This Row],[Bulan]],1)</f>
        <v>44317</v>
      </c>
      <c r="H678">
        <v>64</v>
      </c>
    </row>
    <row r="679" spans="1:8" x14ac:dyDescent="0.25">
      <c r="A679">
        <v>678</v>
      </c>
      <c r="B679" t="str">
        <f>Table2[[#This Row],[Propinsi]]&amp;"_"&amp;Table2[[#This Row],[Dati 2]]&amp;"_"&amp;Table2[[#This Row],[Tanggal]]</f>
        <v>JAWA TENGAH_KENDAL_44348</v>
      </c>
      <c r="C679" t="s">
        <v>5</v>
      </c>
      <c r="D679" t="s">
        <v>99</v>
      </c>
      <c r="E679">
        <v>6</v>
      </c>
      <c r="F679">
        <v>2021</v>
      </c>
      <c r="G679" s="1">
        <f>DATE(Table2[[#This Row],[Tahun]],Table2[[#This Row],[Bulan]],1)</f>
        <v>44348</v>
      </c>
      <c r="H679">
        <v>67</v>
      </c>
    </row>
    <row r="680" spans="1:8" x14ac:dyDescent="0.25">
      <c r="A680">
        <v>679</v>
      </c>
      <c r="B680" t="str">
        <f>Table2[[#This Row],[Propinsi]]&amp;"_"&amp;Table2[[#This Row],[Dati 2]]&amp;"_"&amp;Table2[[#This Row],[Tanggal]]</f>
        <v>JAWA TENGAH_KENDAL_44378</v>
      </c>
      <c r="C680" t="s">
        <v>5</v>
      </c>
      <c r="D680" t="s">
        <v>99</v>
      </c>
      <c r="E680">
        <v>7</v>
      </c>
      <c r="F680">
        <v>2021</v>
      </c>
      <c r="G680" s="1">
        <f>DATE(Table2[[#This Row],[Tahun]],Table2[[#This Row],[Bulan]],1)</f>
        <v>44378</v>
      </c>
      <c r="H680">
        <v>72</v>
      </c>
    </row>
    <row r="681" spans="1:8" x14ac:dyDescent="0.25">
      <c r="A681">
        <v>680</v>
      </c>
      <c r="B681" t="str">
        <f>Table2[[#This Row],[Propinsi]]&amp;"_"&amp;Table2[[#This Row],[Dati 2]]&amp;"_"&amp;Table2[[#This Row],[Tanggal]]</f>
        <v>JAWA TENGAH_KENDAL_44409</v>
      </c>
      <c r="C681" t="s">
        <v>5</v>
      </c>
      <c r="D681" t="s">
        <v>99</v>
      </c>
      <c r="E681">
        <v>8</v>
      </c>
      <c r="F681">
        <v>2021</v>
      </c>
      <c r="G681" s="1">
        <f>DATE(Table2[[#This Row],[Tahun]],Table2[[#This Row],[Bulan]],1)</f>
        <v>44409</v>
      </c>
      <c r="H681">
        <v>78</v>
      </c>
    </row>
    <row r="682" spans="1:8" x14ac:dyDescent="0.25">
      <c r="A682">
        <v>681</v>
      </c>
      <c r="B682" t="str">
        <f>Table2[[#This Row],[Propinsi]]&amp;"_"&amp;Table2[[#This Row],[Dati 2]]&amp;"_"&amp;Table2[[#This Row],[Tanggal]]</f>
        <v>JAWA TENGAH_KENDAL_44440</v>
      </c>
      <c r="C682" t="s">
        <v>5</v>
      </c>
      <c r="D682" t="s">
        <v>99</v>
      </c>
      <c r="E682">
        <v>9</v>
      </c>
      <c r="F682">
        <v>2021</v>
      </c>
      <c r="G682" s="1">
        <f>DATE(Table2[[#This Row],[Tahun]],Table2[[#This Row],[Bulan]],1)</f>
        <v>44440</v>
      </c>
      <c r="H682">
        <v>76</v>
      </c>
    </row>
    <row r="683" spans="1:8" x14ac:dyDescent="0.25">
      <c r="A683">
        <v>682</v>
      </c>
      <c r="B683" t="str">
        <f>Table2[[#This Row],[Propinsi]]&amp;"_"&amp;Table2[[#This Row],[Dati 2]]&amp;"_"&amp;Table2[[#This Row],[Tanggal]]</f>
        <v>JAWA TENGAH_KENDAL_44470</v>
      </c>
      <c r="C683" t="s">
        <v>5</v>
      </c>
      <c r="D683" t="s">
        <v>99</v>
      </c>
      <c r="E683">
        <v>10</v>
      </c>
      <c r="F683">
        <v>2021</v>
      </c>
      <c r="G683" s="1">
        <f>DATE(Table2[[#This Row],[Tahun]],Table2[[#This Row],[Bulan]],1)</f>
        <v>44470</v>
      </c>
      <c r="H683">
        <v>78</v>
      </c>
    </row>
    <row r="684" spans="1:8" x14ac:dyDescent="0.25">
      <c r="A684">
        <v>683</v>
      </c>
      <c r="B684" t="str">
        <f>Table2[[#This Row],[Propinsi]]&amp;"_"&amp;Table2[[#This Row],[Dati 2]]&amp;"_"&amp;Table2[[#This Row],[Tanggal]]</f>
        <v>JAWA TENGAH_KENDAL_44501</v>
      </c>
      <c r="C684" t="s">
        <v>5</v>
      </c>
      <c r="D684" t="s">
        <v>99</v>
      </c>
      <c r="E684">
        <v>11</v>
      </c>
      <c r="F684">
        <v>2021</v>
      </c>
      <c r="G684" s="1">
        <f>DATE(Table2[[#This Row],[Tahun]],Table2[[#This Row],[Bulan]],1)</f>
        <v>44501</v>
      </c>
      <c r="H684">
        <v>78</v>
      </c>
    </row>
    <row r="685" spans="1:8" x14ac:dyDescent="0.25">
      <c r="A685">
        <v>684</v>
      </c>
      <c r="B685" t="str">
        <f>Table2[[#This Row],[Propinsi]]&amp;"_"&amp;Table2[[#This Row],[Dati 2]]&amp;"_"&amp;Table2[[#This Row],[Tanggal]]</f>
        <v>JAWA TENGAH_KENDAL_44531</v>
      </c>
      <c r="C685" t="s">
        <v>5</v>
      </c>
      <c r="D685" t="s">
        <v>99</v>
      </c>
      <c r="E685">
        <v>12</v>
      </c>
      <c r="F685">
        <v>2021</v>
      </c>
      <c r="G685" s="1">
        <f>DATE(Table2[[#This Row],[Tahun]],Table2[[#This Row],[Bulan]],1)</f>
        <v>44531</v>
      </c>
      <c r="H685">
        <v>78</v>
      </c>
    </row>
    <row r="686" spans="1:8" x14ac:dyDescent="0.25">
      <c r="A686">
        <v>685</v>
      </c>
      <c r="B686" t="str">
        <f>Table2[[#This Row],[Propinsi]]&amp;"_"&amp;Table2[[#This Row],[Dati 2]]&amp;"_"&amp;Table2[[#This Row],[Tanggal]]</f>
        <v>JAWA TENGAH_TEGAL_44197</v>
      </c>
      <c r="C686" t="s">
        <v>5</v>
      </c>
      <c r="D686" t="s">
        <v>100</v>
      </c>
      <c r="E686">
        <v>1</v>
      </c>
      <c r="F686">
        <v>2021</v>
      </c>
      <c r="G686" s="1">
        <f>DATE(Table2[[#This Row],[Tahun]],Table2[[#This Row],[Bulan]],1)</f>
        <v>44197</v>
      </c>
      <c r="H686">
        <v>146</v>
      </c>
    </row>
    <row r="687" spans="1:8" x14ac:dyDescent="0.25">
      <c r="A687">
        <v>686</v>
      </c>
      <c r="B687" t="str">
        <f>Table2[[#This Row],[Propinsi]]&amp;"_"&amp;Table2[[#This Row],[Dati 2]]&amp;"_"&amp;Table2[[#This Row],[Tanggal]]</f>
        <v>JAWA TENGAH_TEGAL_44228</v>
      </c>
      <c r="C687" t="s">
        <v>5</v>
      </c>
      <c r="D687" t="s">
        <v>100</v>
      </c>
      <c r="E687">
        <v>2</v>
      </c>
      <c r="F687">
        <v>2021</v>
      </c>
      <c r="G687" s="1">
        <f>DATE(Table2[[#This Row],[Tahun]],Table2[[#This Row],[Bulan]],1)</f>
        <v>44228</v>
      </c>
      <c r="H687">
        <v>148</v>
      </c>
    </row>
    <row r="688" spans="1:8" x14ac:dyDescent="0.25">
      <c r="A688">
        <v>687</v>
      </c>
      <c r="B688" t="str">
        <f>Table2[[#This Row],[Propinsi]]&amp;"_"&amp;Table2[[#This Row],[Dati 2]]&amp;"_"&amp;Table2[[#This Row],[Tanggal]]</f>
        <v>JAWA TENGAH_TEGAL_44256</v>
      </c>
      <c r="C688" t="s">
        <v>5</v>
      </c>
      <c r="D688" t="s">
        <v>100</v>
      </c>
      <c r="E688">
        <v>3</v>
      </c>
      <c r="F688">
        <v>2021</v>
      </c>
      <c r="G688" s="1">
        <f>DATE(Table2[[#This Row],[Tahun]],Table2[[#This Row],[Bulan]],1)</f>
        <v>44256</v>
      </c>
      <c r="H688">
        <v>153</v>
      </c>
    </row>
    <row r="689" spans="1:8" x14ac:dyDescent="0.25">
      <c r="A689">
        <v>688</v>
      </c>
      <c r="B689" t="str">
        <f>Table2[[#This Row],[Propinsi]]&amp;"_"&amp;Table2[[#This Row],[Dati 2]]&amp;"_"&amp;Table2[[#This Row],[Tanggal]]</f>
        <v>JAWA TENGAH_TEGAL_44287</v>
      </c>
      <c r="C689" t="s">
        <v>5</v>
      </c>
      <c r="D689" t="s">
        <v>100</v>
      </c>
      <c r="E689">
        <v>4</v>
      </c>
      <c r="F689">
        <v>2021</v>
      </c>
      <c r="G689" s="1">
        <f>DATE(Table2[[#This Row],[Tahun]],Table2[[#This Row],[Bulan]],1)</f>
        <v>44287</v>
      </c>
      <c r="H689">
        <v>152</v>
      </c>
    </row>
    <row r="690" spans="1:8" x14ac:dyDescent="0.25">
      <c r="A690">
        <v>689</v>
      </c>
      <c r="B690" t="str">
        <f>Table2[[#This Row],[Propinsi]]&amp;"_"&amp;Table2[[#This Row],[Dati 2]]&amp;"_"&amp;Table2[[#This Row],[Tanggal]]</f>
        <v>JAWA TENGAH_TEGAL_44317</v>
      </c>
      <c r="C690" t="s">
        <v>5</v>
      </c>
      <c r="D690" t="s">
        <v>100</v>
      </c>
      <c r="E690">
        <v>5</v>
      </c>
      <c r="F690">
        <v>2021</v>
      </c>
      <c r="G690" s="1">
        <f>DATE(Table2[[#This Row],[Tahun]],Table2[[#This Row],[Bulan]],1)</f>
        <v>44317</v>
      </c>
      <c r="H690">
        <v>153</v>
      </c>
    </row>
    <row r="691" spans="1:8" x14ac:dyDescent="0.25">
      <c r="A691">
        <v>690</v>
      </c>
      <c r="B691" t="str">
        <f>Table2[[#This Row],[Propinsi]]&amp;"_"&amp;Table2[[#This Row],[Dati 2]]&amp;"_"&amp;Table2[[#This Row],[Tanggal]]</f>
        <v>JAWA TENGAH_TEGAL_44348</v>
      </c>
      <c r="C691" t="s">
        <v>5</v>
      </c>
      <c r="D691" t="s">
        <v>100</v>
      </c>
      <c r="E691">
        <v>6</v>
      </c>
      <c r="F691">
        <v>2021</v>
      </c>
      <c r="G691" s="1">
        <f>DATE(Table2[[#This Row],[Tahun]],Table2[[#This Row],[Bulan]],1)</f>
        <v>44348</v>
      </c>
      <c r="H691">
        <v>152</v>
      </c>
    </row>
    <row r="692" spans="1:8" x14ac:dyDescent="0.25">
      <c r="A692">
        <v>691</v>
      </c>
      <c r="B692" t="str">
        <f>Table2[[#This Row],[Propinsi]]&amp;"_"&amp;Table2[[#This Row],[Dati 2]]&amp;"_"&amp;Table2[[#This Row],[Tanggal]]</f>
        <v>JAWA TENGAH_TEGAL_44378</v>
      </c>
      <c r="C692" t="s">
        <v>5</v>
      </c>
      <c r="D692" t="s">
        <v>100</v>
      </c>
      <c r="E692">
        <v>7</v>
      </c>
      <c r="F692">
        <v>2021</v>
      </c>
      <c r="G692" s="1">
        <f>DATE(Table2[[#This Row],[Tahun]],Table2[[#This Row],[Bulan]],1)</f>
        <v>44378</v>
      </c>
      <c r="H692">
        <v>151</v>
      </c>
    </row>
    <row r="693" spans="1:8" x14ac:dyDescent="0.25">
      <c r="A693">
        <v>692</v>
      </c>
      <c r="B693" t="str">
        <f>Table2[[#This Row],[Propinsi]]&amp;"_"&amp;Table2[[#This Row],[Dati 2]]&amp;"_"&amp;Table2[[#This Row],[Tanggal]]</f>
        <v>JAWA TENGAH_TEGAL_44409</v>
      </c>
      <c r="C693" t="s">
        <v>5</v>
      </c>
      <c r="D693" t="s">
        <v>100</v>
      </c>
      <c r="E693">
        <v>8</v>
      </c>
      <c r="F693">
        <v>2021</v>
      </c>
      <c r="G693" s="1">
        <f>DATE(Table2[[#This Row],[Tahun]],Table2[[#This Row],[Bulan]],1)</f>
        <v>44409</v>
      </c>
      <c r="H693">
        <v>157</v>
      </c>
    </row>
    <row r="694" spans="1:8" x14ac:dyDescent="0.25">
      <c r="A694">
        <v>693</v>
      </c>
      <c r="B694" t="str">
        <f>Table2[[#This Row],[Propinsi]]&amp;"_"&amp;Table2[[#This Row],[Dati 2]]&amp;"_"&amp;Table2[[#This Row],[Tanggal]]</f>
        <v>JAWA TENGAH_TEGAL_44440</v>
      </c>
      <c r="C694" t="s">
        <v>5</v>
      </c>
      <c r="D694" t="s">
        <v>100</v>
      </c>
      <c r="E694">
        <v>9</v>
      </c>
      <c r="F694">
        <v>2021</v>
      </c>
      <c r="G694" s="1">
        <f>DATE(Table2[[#This Row],[Tahun]],Table2[[#This Row],[Bulan]],1)</f>
        <v>44440</v>
      </c>
      <c r="H694">
        <v>162</v>
      </c>
    </row>
    <row r="695" spans="1:8" x14ac:dyDescent="0.25">
      <c r="A695">
        <v>694</v>
      </c>
      <c r="B695" t="str">
        <f>Table2[[#This Row],[Propinsi]]&amp;"_"&amp;Table2[[#This Row],[Dati 2]]&amp;"_"&amp;Table2[[#This Row],[Tanggal]]</f>
        <v>JAWA TENGAH_TEGAL_44470</v>
      </c>
      <c r="C695" t="s">
        <v>5</v>
      </c>
      <c r="D695" t="s">
        <v>100</v>
      </c>
      <c r="E695">
        <v>10</v>
      </c>
      <c r="F695">
        <v>2021</v>
      </c>
      <c r="G695" s="1">
        <f>DATE(Table2[[#This Row],[Tahun]],Table2[[#This Row],[Bulan]],1)</f>
        <v>44470</v>
      </c>
      <c r="H695">
        <v>168</v>
      </c>
    </row>
    <row r="696" spans="1:8" x14ac:dyDescent="0.25">
      <c r="A696">
        <v>695</v>
      </c>
      <c r="B696" t="str">
        <f>Table2[[#This Row],[Propinsi]]&amp;"_"&amp;Table2[[#This Row],[Dati 2]]&amp;"_"&amp;Table2[[#This Row],[Tanggal]]</f>
        <v>JAWA TENGAH_TEGAL_44501</v>
      </c>
      <c r="C696" t="s">
        <v>5</v>
      </c>
      <c r="D696" t="s">
        <v>100</v>
      </c>
      <c r="E696">
        <v>11</v>
      </c>
      <c r="F696">
        <v>2021</v>
      </c>
      <c r="G696" s="1">
        <f>DATE(Table2[[#This Row],[Tahun]],Table2[[#This Row],[Bulan]],1)</f>
        <v>44501</v>
      </c>
      <c r="H696">
        <v>170</v>
      </c>
    </row>
    <row r="697" spans="1:8" x14ac:dyDescent="0.25">
      <c r="A697">
        <v>696</v>
      </c>
      <c r="B697" t="str">
        <f>Table2[[#This Row],[Propinsi]]&amp;"_"&amp;Table2[[#This Row],[Dati 2]]&amp;"_"&amp;Table2[[#This Row],[Tanggal]]</f>
        <v>JAWA TENGAH_TEGAL_44531</v>
      </c>
      <c r="C697" t="s">
        <v>5</v>
      </c>
      <c r="D697" t="s">
        <v>100</v>
      </c>
      <c r="E697">
        <v>12</v>
      </c>
      <c r="F697">
        <v>2021</v>
      </c>
      <c r="G697" s="1">
        <f>DATE(Table2[[#This Row],[Tahun]],Table2[[#This Row],[Bulan]],1)</f>
        <v>44531</v>
      </c>
      <c r="H697">
        <v>169</v>
      </c>
    </row>
    <row r="698" spans="1:8" x14ac:dyDescent="0.25">
      <c r="A698">
        <v>697</v>
      </c>
      <c r="B698" t="str">
        <f>Table2[[#This Row],[Propinsi]]&amp;"_"&amp;Table2[[#This Row],[Dati 2]]&amp;"_"&amp;Table2[[#This Row],[Tanggal]]</f>
        <v>JAWA TENGAH_BREBES_44197</v>
      </c>
      <c r="C698" t="s">
        <v>5</v>
      </c>
      <c r="D698" t="s">
        <v>101</v>
      </c>
      <c r="E698">
        <v>1</v>
      </c>
      <c r="F698">
        <v>2021</v>
      </c>
      <c r="G698" s="1">
        <f>DATE(Table2[[#This Row],[Tahun]],Table2[[#This Row],[Bulan]],1)</f>
        <v>44197</v>
      </c>
      <c r="H698">
        <v>83</v>
      </c>
    </row>
    <row r="699" spans="1:8" x14ac:dyDescent="0.25">
      <c r="A699">
        <v>698</v>
      </c>
      <c r="B699" t="str">
        <f>Table2[[#This Row],[Propinsi]]&amp;"_"&amp;Table2[[#This Row],[Dati 2]]&amp;"_"&amp;Table2[[#This Row],[Tanggal]]</f>
        <v>JAWA TENGAH_BREBES_44228</v>
      </c>
      <c r="C699" t="s">
        <v>5</v>
      </c>
      <c r="D699" t="s">
        <v>101</v>
      </c>
      <c r="E699">
        <v>2</v>
      </c>
      <c r="F699">
        <v>2021</v>
      </c>
      <c r="G699" s="1">
        <f>DATE(Table2[[#This Row],[Tahun]],Table2[[#This Row],[Bulan]],1)</f>
        <v>44228</v>
      </c>
      <c r="H699">
        <v>86</v>
      </c>
    </row>
    <row r="700" spans="1:8" x14ac:dyDescent="0.25">
      <c r="A700">
        <v>699</v>
      </c>
      <c r="B700" t="str">
        <f>Table2[[#This Row],[Propinsi]]&amp;"_"&amp;Table2[[#This Row],[Dati 2]]&amp;"_"&amp;Table2[[#This Row],[Tanggal]]</f>
        <v>JAWA TENGAH_BREBES_44256</v>
      </c>
      <c r="C700" t="s">
        <v>5</v>
      </c>
      <c r="D700" t="s">
        <v>101</v>
      </c>
      <c r="E700">
        <v>3</v>
      </c>
      <c r="F700">
        <v>2021</v>
      </c>
      <c r="G700" s="1">
        <f>DATE(Table2[[#This Row],[Tahun]],Table2[[#This Row],[Bulan]],1)</f>
        <v>44256</v>
      </c>
      <c r="H700">
        <v>92</v>
      </c>
    </row>
    <row r="701" spans="1:8" x14ac:dyDescent="0.25">
      <c r="A701">
        <v>700</v>
      </c>
      <c r="B701" t="str">
        <f>Table2[[#This Row],[Propinsi]]&amp;"_"&amp;Table2[[#This Row],[Dati 2]]&amp;"_"&amp;Table2[[#This Row],[Tanggal]]</f>
        <v>JAWA TENGAH_BREBES_44287</v>
      </c>
      <c r="C701" t="s">
        <v>5</v>
      </c>
      <c r="D701" t="s">
        <v>101</v>
      </c>
      <c r="E701">
        <v>4</v>
      </c>
      <c r="F701">
        <v>2021</v>
      </c>
      <c r="G701" s="1">
        <f>DATE(Table2[[#This Row],[Tahun]],Table2[[#This Row],[Bulan]],1)</f>
        <v>44287</v>
      </c>
      <c r="H701">
        <v>95</v>
      </c>
    </row>
    <row r="702" spans="1:8" x14ac:dyDescent="0.25">
      <c r="A702">
        <v>701</v>
      </c>
      <c r="B702" t="str">
        <f>Table2[[#This Row],[Propinsi]]&amp;"_"&amp;Table2[[#This Row],[Dati 2]]&amp;"_"&amp;Table2[[#This Row],[Tanggal]]</f>
        <v>JAWA TENGAH_BREBES_44317</v>
      </c>
      <c r="C702" t="s">
        <v>5</v>
      </c>
      <c r="D702" t="s">
        <v>101</v>
      </c>
      <c r="E702">
        <v>5</v>
      </c>
      <c r="F702">
        <v>2021</v>
      </c>
      <c r="G702" s="1">
        <f>DATE(Table2[[#This Row],[Tahun]],Table2[[#This Row],[Bulan]],1)</f>
        <v>44317</v>
      </c>
      <c r="H702">
        <v>96</v>
      </c>
    </row>
    <row r="703" spans="1:8" x14ac:dyDescent="0.25">
      <c r="A703">
        <v>702</v>
      </c>
      <c r="B703" t="str">
        <f>Table2[[#This Row],[Propinsi]]&amp;"_"&amp;Table2[[#This Row],[Dati 2]]&amp;"_"&amp;Table2[[#This Row],[Tanggal]]</f>
        <v>JAWA TENGAH_BREBES_44348</v>
      </c>
      <c r="C703" t="s">
        <v>5</v>
      </c>
      <c r="D703" t="s">
        <v>101</v>
      </c>
      <c r="E703">
        <v>6</v>
      </c>
      <c r="F703">
        <v>2021</v>
      </c>
      <c r="G703" s="1">
        <f>DATE(Table2[[#This Row],[Tahun]],Table2[[#This Row],[Bulan]],1)</f>
        <v>44348</v>
      </c>
      <c r="H703">
        <v>103</v>
      </c>
    </row>
    <row r="704" spans="1:8" x14ac:dyDescent="0.25">
      <c r="A704">
        <v>703</v>
      </c>
      <c r="B704" t="str">
        <f>Table2[[#This Row],[Propinsi]]&amp;"_"&amp;Table2[[#This Row],[Dati 2]]&amp;"_"&amp;Table2[[#This Row],[Tanggal]]</f>
        <v>JAWA TENGAH_BREBES_44378</v>
      </c>
      <c r="C704" t="s">
        <v>5</v>
      </c>
      <c r="D704" t="s">
        <v>101</v>
      </c>
      <c r="E704">
        <v>7</v>
      </c>
      <c r="F704">
        <v>2021</v>
      </c>
      <c r="G704" s="1">
        <f>DATE(Table2[[#This Row],[Tahun]],Table2[[#This Row],[Bulan]],1)</f>
        <v>44378</v>
      </c>
      <c r="H704">
        <v>106</v>
      </c>
    </row>
    <row r="705" spans="1:8" x14ac:dyDescent="0.25">
      <c r="A705">
        <v>704</v>
      </c>
      <c r="B705" t="str">
        <f>Table2[[#This Row],[Propinsi]]&amp;"_"&amp;Table2[[#This Row],[Dati 2]]&amp;"_"&amp;Table2[[#This Row],[Tanggal]]</f>
        <v>JAWA TENGAH_BREBES_44409</v>
      </c>
      <c r="C705" t="s">
        <v>5</v>
      </c>
      <c r="D705" t="s">
        <v>101</v>
      </c>
      <c r="E705">
        <v>8</v>
      </c>
      <c r="F705">
        <v>2021</v>
      </c>
      <c r="G705" s="1">
        <f>DATE(Table2[[#This Row],[Tahun]],Table2[[#This Row],[Bulan]],1)</f>
        <v>44409</v>
      </c>
      <c r="H705">
        <v>105</v>
      </c>
    </row>
    <row r="706" spans="1:8" x14ac:dyDescent="0.25">
      <c r="A706">
        <v>705</v>
      </c>
      <c r="B706" t="str">
        <f>Table2[[#This Row],[Propinsi]]&amp;"_"&amp;Table2[[#This Row],[Dati 2]]&amp;"_"&amp;Table2[[#This Row],[Tanggal]]</f>
        <v>JAWA TENGAH_BREBES_44440</v>
      </c>
      <c r="C706" t="s">
        <v>5</v>
      </c>
      <c r="D706" t="s">
        <v>101</v>
      </c>
      <c r="E706">
        <v>9</v>
      </c>
      <c r="F706">
        <v>2021</v>
      </c>
      <c r="G706" s="1">
        <f>DATE(Table2[[#This Row],[Tahun]],Table2[[#This Row],[Bulan]],1)</f>
        <v>44440</v>
      </c>
      <c r="H706">
        <v>108</v>
      </c>
    </row>
    <row r="707" spans="1:8" x14ac:dyDescent="0.25">
      <c r="A707">
        <v>706</v>
      </c>
      <c r="B707" t="str">
        <f>Table2[[#This Row],[Propinsi]]&amp;"_"&amp;Table2[[#This Row],[Dati 2]]&amp;"_"&amp;Table2[[#This Row],[Tanggal]]</f>
        <v>JAWA TENGAH_BREBES_44470</v>
      </c>
      <c r="C707" t="s">
        <v>5</v>
      </c>
      <c r="D707" t="s">
        <v>101</v>
      </c>
      <c r="E707">
        <v>10</v>
      </c>
      <c r="F707">
        <v>2021</v>
      </c>
      <c r="G707" s="1">
        <f>DATE(Table2[[#This Row],[Tahun]],Table2[[#This Row],[Bulan]],1)</f>
        <v>44470</v>
      </c>
      <c r="H707">
        <v>115</v>
      </c>
    </row>
    <row r="708" spans="1:8" x14ac:dyDescent="0.25">
      <c r="A708">
        <v>707</v>
      </c>
      <c r="B708" t="str">
        <f>Table2[[#This Row],[Propinsi]]&amp;"_"&amp;Table2[[#This Row],[Dati 2]]&amp;"_"&amp;Table2[[#This Row],[Tanggal]]</f>
        <v>JAWA TENGAH_BREBES_44501</v>
      </c>
      <c r="C708" t="s">
        <v>5</v>
      </c>
      <c r="D708" t="s">
        <v>101</v>
      </c>
      <c r="E708">
        <v>11</v>
      </c>
      <c r="F708">
        <v>2021</v>
      </c>
      <c r="G708" s="1">
        <f>DATE(Table2[[#This Row],[Tahun]],Table2[[#This Row],[Bulan]],1)</f>
        <v>44501</v>
      </c>
      <c r="H708">
        <v>121</v>
      </c>
    </row>
    <row r="709" spans="1:8" x14ac:dyDescent="0.25">
      <c r="A709">
        <v>708</v>
      </c>
      <c r="B709" t="str">
        <f>Table2[[#This Row],[Propinsi]]&amp;"_"&amp;Table2[[#This Row],[Dati 2]]&amp;"_"&amp;Table2[[#This Row],[Tanggal]]</f>
        <v>JAWA TENGAH_BREBES_44531</v>
      </c>
      <c r="C709" t="s">
        <v>5</v>
      </c>
      <c r="D709" t="s">
        <v>101</v>
      </c>
      <c r="E709">
        <v>12</v>
      </c>
      <c r="F709">
        <v>2021</v>
      </c>
      <c r="G709" s="1">
        <f>DATE(Table2[[#This Row],[Tahun]],Table2[[#This Row],[Bulan]],1)</f>
        <v>44531</v>
      </c>
      <c r="H709">
        <v>120</v>
      </c>
    </row>
    <row r="710" spans="1:8" x14ac:dyDescent="0.25">
      <c r="A710">
        <v>709</v>
      </c>
      <c r="B710" t="str">
        <f>Table2[[#This Row],[Propinsi]]&amp;"_"&amp;Table2[[#This Row],[Dati 2]]&amp;"_"&amp;Table2[[#This Row],[Tanggal]]</f>
        <v>JAWA TENGAH_PEMALANG_44197</v>
      </c>
      <c r="C710" t="s">
        <v>5</v>
      </c>
      <c r="D710" t="s">
        <v>102</v>
      </c>
      <c r="E710">
        <v>1</v>
      </c>
      <c r="F710">
        <v>2021</v>
      </c>
      <c r="G710" s="1">
        <f>DATE(Table2[[#This Row],[Tahun]],Table2[[#This Row],[Bulan]],1)</f>
        <v>44197</v>
      </c>
      <c r="H710">
        <v>131</v>
      </c>
    </row>
    <row r="711" spans="1:8" x14ac:dyDescent="0.25">
      <c r="A711">
        <v>710</v>
      </c>
      <c r="B711" t="str">
        <f>Table2[[#This Row],[Propinsi]]&amp;"_"&amp;Table2[[#This Row],[Dati 2]]&amp;"_"&amp;Table2[[#This Row],[Tanggal]]</f>
        <v>JAWA TENGAH_PEMALANG_44228</v>
      </c>
      <c r="C711" t="s">
        <v>5</v>
      </c>
      <c r="D711" t="s">
        <v>102</v>
      </c>
      <c r="E711">
        <v>2</v>
      </c>
      <c r="F711">
        <v>2021</v>
      </c>
      <c r="G711" s="1">
        <f>DATE(Table2[[#This Row],[Tahun]],Table2[[#This Row],[Bulan]],1)</f>
        <v>44228</v>
      </c>
      <c r="H711">
        <v>130</v>
      </c>
    </row>
    <row r="712" spans="1:8" x14ac:dyDescent="0.25">
      <c r="A712">
        <v>711</v>
      </c>
      <c r="B712" t="str">
        <f>Table2[[#This Row],[Propinsi]]&amp;"_"&amp;Table2[[#This Row],[Dati 2]]&amp;"_"&amp;Table2[[#This Row],[Tanggal]]</f>
        <v>JAWA TENGAH_PEMALANG_44256</v>
      </c>
      <c r="C712" t="s">
        <v>5</v>
      </c>
      <c r="D712" t="s">
        <v>102</v>
      </c>
      <c r="E712">
        <v>3</v>
      </c>
      <c r="F712">
        <v>2021</v>
      </c>
      <c r="G712" s="1">
        <f>DATE(Table2[[#This Row],[Tahun]],Table2[[#This Row],[Bulan]],1)</f>
        <v>44256</v>
      </c>
      <c r="H712">
        <v>134</v>
      </c>
    </row>
    <row r="713" spans="1:8" x14ac:dyDescent="0.25">
      <c r="A713">
        <v>712</v>
      </c>
      <c r="B713" t="str">
        <f>Table2[[#This Row],[Propinsi]]&amp;"_"&amp;Table2[[#This Row],[Dati 2]]&amp;"_"&amp;Table2[[#This Row],[Tanggal]]</f>
        <v>JAWA TENGAH_PEMALANG_44287</v>
      </c>
      <c r="C713" t="s">
        <v>5</v>
      </c>
      <c r="D713" t="s">
        <v>102</v>
      </c>
      <c r="E713">
        <v>4</v>
      </c>
      <c r="F713">
        <v>2021</v>
      </c>
      <c r="G713" s="1">
        <f>DATE(Table2[[#This Row],[Tahun]],Table2[[#This Row],[Bulan]],1)</f>
        <v>44287</v>
      </c>
      <c r="H713">
        <v>140</v>
      </c>
    </row>
    <row r="714" spans="1:8" x14ac:dyDescent="0.25">
      <c r="A714">
        <v>713</v>
      </c>
      <c r="B714" t="str">
        <f>Table2[[#This Row],[Propinsi]]&amp;"_"&amp;Table2[[#This Row],[Dati 2]]&amp;"_"&amp;Table2[[#This Row],[Tanggal]]</f>
        <v>JAWA TENGAH_PEMALANG_44317</v>
      </c>
      <c r="C714" t="s">
        <v>5</v>
      </c>
      <c r="D714" t="s">
        <v>102</v>
      </c>
      <c r="E714">
        <v>5</v>
      </c>
      <c r="F714">
        <v>2021</v>
      </c>
      <c r="G714" s="1">
        <f>DATE(Table2[[#This Row],[Tahun]],Table2[[#This Row],[Bulan]],1)</f>
        <v>44317</v>
      </c>
      <c r="H714">
        <v>139</v>
      </c>
    </row>
    <row r="715" spans="1:8" x14ac:dyDescent="0.25">
      <c r="A715">
        <v>714</v>
      </c>
      <c r="B715" t="str">
        <f>Table2[[#This Row],[Propinsi]]&amp;"_"&amp;Table2[[#This Row],[Dati 2]]&amp;"_"&amp;Table2[[#This Row],[Tanggal]]</f>
        <v>JAWA TENGAH_PEMALANG_44348</v>
      </c>
      <c r="C715" t="s">
        <v>5</v>
      </c>
      <c r="D715" t="s">
        <v>102</v>
      </c>
      <c r="E715">
        <v>6</v>
      </c>
      <c r="F715">
        <v>2021</v>
      </c>
      <c r="G715" s="1">
        <f>DATE(Table2[[#This Row],[Tahun]],Table2[[#This Row],[Bulan]],1)</f>
        <v>44348</v>
      </c>
      <c r="H715">
        <v>143</v>
      </c>
    </row>
    <row r="716" spans="1:8" x14ac:dyDescent="0.25">
      <c r="A716">
        <v>715</v>
      </c>
      <c r="B716" t="str">
        <f>Table2[[#This Row],[Propinsi]]&amp;"_"&amp;Table2[[#This Row],[Dati 2]]&amp;"_"&amp;Table2[[#This Row],[Tanggal]]</f>
        <v>JAWA TENGAH_PEMALANG_44378</v>
      </c>
      <c r="C716" t="s">
        <v>5</v>
      </c>
      <c r="D716" t="s">
        <v>102</v>
      </c>
      <c r="E716">
        <v>7</v>
      </c>
      <c r="F716">
        <v>2021</v>
      </c>
      <c r="G716" s="1">
        <f>DATE(Table2[[#This Row],[Tahun]],Table2[[#This Row],[Bulan]],1)</f>
        <v>44378</v>
      </c>
      <c r="H716">
        <v>146</v>
      </c>
    </row>
    <row r="717" spans="1:8" x14ac:dyDescent="0.25">
      <c r="A717">
        <v>716</v>
      </c>
      <c r="B717" t="str">
        <f>Table2[[#This Row],[Propinsi]]&amp;"_"&amp;Table2[[#This Row],[Dati 2]]&amp;"_"&amp;Table2[[#This Row],[Tanggal]]</f>
        <v>JAWA TENGAH_PEMALANG_44409</v>
      </c>
      <c r="C717" t="s">
        <v>5</v>
      </c>
      <c r="D717" t="s">
        <v>102</v>
      </c>
      <c r="E717">
        <v>8</v>
      </c>
      <c r="F717">
        <v>2021</v>
      </c>
      <c r="G717" s="1">
        <f>DATE(Table2[[#This Row],[Tahun]],Table2[[#This Row],[Bulan]],1)</f>
        <v>44409</v>
      </c>
      <c r="H717">
        <v>151</v>
      </c>
    </row>
    <row r="718" spans="1:8" x14ac:dyDescent="0.25">
      <c r="A718">
        <v>717</v>
      </c>
      <c r="B718" t="str">
        <f>Table2[[#This Row],[Propinsi]]&amp;"_"&amp;Table2[[#This Row],[Dati 2]]&amp;"_"&amp;Table2[[#This Row],[Tanggal]]</f>
        <v>JAWA TENGAH_PEMALANG_44440</v>
      </c>
      <c r="C718" t="s">
        <v>5</v>
      </c>
      <c r="D718" t="s">
        <v>102</v>
      </c>
      <c r="E718">
        <v>9</v>
      </c>
      <c r="F718">
        <v>2021</v>
      </c>
      <c r="G718" s="1">
        <f>DATE(Table2[[#This Row],[Tahun]],Table2[[#This Row],[Bulan]],1)</f>
        <v>44440</v>
      </c>
      <c r="H718">
        <v>154</v>
      </c>
    </row>
    <row r="719" spans="1:8" x14ac:dyDescent="0.25">
      <c r="A719">
        <v>718</v>
      </c>
      <c r="B719" t="str">
        <f>Table2[[#This Row],[Propinsi]]&amp;"_"&amp;Table2[[#This Row],[Dati 2]]&amp;"_"&amp;Table2[[#This Row],[Tanggal]]</f>
        <v>JAWA TENGAH_PEMALANG_44470</v>
      </c>
      <c r="C719" t="s">
        <v>5</v>
      </c>
      <c r="D719" t="s">
        <v>102</v>
      </c>
      <c r="E719">
        <v>10</v>
      </c>
      <c r="F719">
        <v>2021</v>
      </c>
      <c r="G719" s="1">
        <f>DATE(Table2[[#This Row],[Tahun]],Table2[[#This Row],[Bulan]],1)</f>
        <v>44470</v>
      </c>
      <c r="H719">
        <v>159</v>
      </c>
    </row>
    <row r="720" spans="1:8" x14ac:dyDescent="0.25">
      <c r="A720">
        <v>719</v>
      </c>
      <c r="B720" t="str">
        <f>Table2[[#This Row],[Propinsi]]&amp;"_"&amp;Table2[[#This Row],[Dati 2]]&amp;"_"&amp;Table2[[#This Row],[Tanggal]]</f>
        <v>JAWA TENGAH_PEMALANG_44501</v>
      </c>
      <c r="C720" t="s">
        <v>5</v>
      </c>
      <c r="D720" t="s">
        <v>102</v>
      </c>
      <c r="E720">
        <v>11</v>
      </c>
      <c r="F720">
        <v>2021</v>
      </c>
      <c r="G720" s="1">
        <f>DATE(Table2[[#This Row],[Tahun]],Table2[[#This Row],[Bulan]],1)</f>
        <v>44501</v>
      </c>
      <c r="H720">
        <v>163</v>
      </c>
    </row>
    <row r="721" spans="1:8" x14ac:dyDescent="0.25">
      <c r="A721">
        <v>720</v>
      </c>
      <c r="B721" t="str">
        <f>Table2[[#This Row],[Propinsi]]&amp;"_"&amp;Table2[[#This Row],[Dati 2]]&amp;"_"&amp;Table2[[#This Row],[Tanggal]]</f>
        <v>JAWA TENGAH_PEMALANG_44531</v>
      </c>
      <c r="C721" t="s">
        <v>5</v>
      </c>
      <c r="D721" t="s">
        <v>102</v>
      </c>
      <c r="E721">
        <v>12</v>
      </c>
      <c r="F721">
        <v>2021</v>
      </c>
      <c r="G721" s="1">
        <f>DATE(Table2[[#This Row],[Tahun]],Table2[[#This Row],[Bulan]],1)</f>
        <v>44531</v>
      </c>
      <c r="H721">
        <v>163</v>
      </c>
    </row>
    <row r="722" spans="1:8" x14ac:dyDescent="0.25">
      <c r="A722">
        <v>721</v>
      </c>
      <c r="B722" t="str">
        <f>Table2[[#This Row],[Propinsi]]&amp;"_"&amp;Table2[[#This Row],[Dati 2]]&amp;"_"&amp;Table2[[#This Row],[Tanggal]]</f>
        <v>JAWA TENGAH_BANYUMAS_44197</v>
      </c>
      <c r="C722" t="s">
        <v>5</v>
      </c>
      <c r="D722" t="s">
        <v>103</v>
      </c>
      <c r="E722">
        <v>1</v>
      </c>
      <c r="F722">
        <v>2021</v>
      </c>
      <c r="G722" s="1">
        <f>DATE(Table2[[#This Row],[Tahun]],Table2[[#This Row],[Bulan]],1)</f>
        <v>44197</v>
      </c>
      <c r="H722">
        <v>60</v>
      </c>
    </row>
    <row r="723" spans="1:8" x14ac:dyDescent="0.25">
      <c r="A723">
        <v>722</v>
      </c>
      <c r="B723" t="str">
        <f>Table2[[#This Row],[Propinsi]]&amp;"_"&amp;Table2[[#This Row],[Dati 2]]&amp;"_"&amp;Table2[[#This Row],[Tanggal]]</f>
        <v>JAWA TENGAH_BANYUMAS_44228</v>
      </c>
      <c r="C723" t="s">
        <v>5</v>
      </c>
      <c r="D723" t="s">
        <v>103</v>
      </c>
      <c r="E723">
        <v>2</v>
      </c>
      <c r="F723">
        <v>2021</v>
      </c>
      <c r="G723" s="1">
        <f>DATE(Table2[[#This Row],[Tahun]],Table2[[#This Row],[Bulan]],1)</f>
        <v>44228</v>
      </c>
      <c r="H723">
        <v>65</v>
      </c>
    </row>
    <row r="724" spans="1:8" x14ac:dyDescent="0.25">
      <c r="A724">
        <v>723</v>
      </c>
      <c r="B724" t="str">
        <f>Table2[[#This Row],[Propinsi]]&amp;"_"&amp;Table2[[#This Row],[Dati 2]]&amp;"_"&amp;Table2[[#This Row],[Tanggal]]</f>
        <v>JAWA TENGAH_BANYUMAS_44256</v>
      </c>
      <c r="C724" t="s">
        <v>5</v>
      </c>
      <c r="D724" t="s">
        <v>103</v>
      </c>
      <c r="E724">
        <v>3</v>
      </c>
      <c r="F724">
        <v>2021</v>
      </c>
      <c r="G724" s="1">
        <f>DATE(Table2[[#This Row],[Tahun]],Table2[[#This Row],[Bulan]],1)</f>
        <v>44256</v>
      </c>
      <c r="H724">
        <v>70</v>
      </c>
    </row>
    <row r="725" spans="1:8" x14ac:dyDescent="0.25">
      <c r="A725">
        <v>724</v>
      </c>
      <c r="B725" t="str">
        <f>Table2[[#This Row],[Propinsi]]&amp;"_"&amp;Table2[[#This Row],[Dati 2]]&amp;"_"&amp;Table2[[#This Row],[Tanggal]]</f>
        <v>JAWA TENGAH_BANYUMAS_44287</v>
      </c>
      <c r="C725" t="s">
        <v>5</v>
      </c>
      <c r="D725" t="s">
        <v>103</v>
      </c>
      <c r="E725">
        <v>4</v>
      </c>
      <c r="F725">
        <v>2021</v>
      </c>
      <c r="G725" s="1">
        <f>DATE(Table2[[#This Row],[Tahun]],Table2[[#This Row],[Bulan]],1)</f>
        <v>44287</v>
      </c>
      <c r="H725">
        <v>72</v>
      </c>
    </row>
    <row r="726" spans="1:8" x14ac:dyDescent="0.25">
      <c r="A726">
        <v>725</v>
      </c>
      <c r="B726" t="str">
        <f>Table2[[#This Row],[Propinsi]]&amp;"_"&amp;Table2[[#This Row],[Dati 2]]&amp;"_"&amp;Table2[[#This Row],[Tanggal]]</f>
        <v>JAWA TENGAH_BANYUMAS_44317</v>
      </c>
      <c r="C726" t="s">
        <v>5</v>
      </c>
      <c r="D726" t="s">
        <v>103</v>
      </c>
      <c r="E726">
        <v>5</v>
      </c>
      <c r="F726">
        <v>2021</v>
      </c>
      <c r="G726" s="1">
        <f>DATE(Table2[[#This Row],[Tahun]],Table2[[#This Row],[Bulan]],1)</f>
        <v>44317</v>
      </c>
      <c r="H726">
        <v>78</v>
      </c>
    </row>
    <row r="727" spans="1:8" x14ac:dyDescent="0.25">
      <c r="A727">
        <v>726</v>
      </c>
      <c r="B727" t="str">
        <f>Table2[[#This Row],[Propinsi]]&amp;"_"&amp;Table2[[#This Row],[Dati 2]]&amp;"_"&amp;Table2[[#This Row],[Tanggal]]</f>
        <v>JAWA TENGAH_BANYUMAS_44348</v>
      </c>
      <c r="C727" t="s">
        <v>5</v>
      </c>
      <c r="D727" t="s">
        <v>103</v>
      </c>
      <c r="E727">
        <v>6</v>
      </c>
      <c r="F727">
        <v>2021</v>
      </c>
      <c r="G727" s="1">
        <f>DATE(Table2[[#This Row],[Tahun]],Table2[[#This Row],[Bulan]],1)</f>
        <v>44348</v>
      </c>
      <c r="H727">
        <v>81</v>
      </c>
    </row>
    <row r="728" spans="1:8" x14ac:dyDescent="0.25">
      <c r="A728">
        <v>727</v>
      </c>
      <c r="B728" t="str">
        <f>Table2[[#This Row],[Propinsi]]&amp;"_"&amp;Table2[[#This Row],[Dati 2]]&amp;"_"&amp;Table2[[#This Row],[Tanggal]]</f>
        <v>JAWA TENGAH_BANYUMAS_44378</v>
      </c>
      <c r="C728" t="s">
        <v>5</v>
      </c>
      <c r="D728" t="s">
        <v>103</v>
      </c>
      <c r="E728">
        <v>7</v>
      </c>
      <c r="F728">
        <v>2021</v>
      </c>
      <c r="G728" s="1">
        <f>DATE(Table2[[#This Row],[Tahun]],Table2[[#This Row],[Bulan]],1)</f>
        <v>44378</v>
      </c>
      <c r="H728">
        <v>87</v>
      </c>
    </row>
    <row r="729" spans="1:8" x14ac:dyDescent="0.25">
      <c r="A729">
        <v>728</v>
      </c>
      <c r="B729" t="str">
        <f>Table2[[#This Row],[Propinsi]]&amp;"_"&amp;Table2[[#This Row],[Dati 2]]&amp;"_"&amp;Table2[[#This Row],[Tanggal]]</f>
        <v>JAWA TENGAH_BANYUMAS_44409</v>
      </c>
      <c r="C729" t="s">
        <v>5</v>
      </c>
      <c r="D729" t="s">
        <v>103</v>
      </c>
      <c r="E729">
        <v>8</v>
      </c>
      <c r="F729">
        <v>2021</v>
      </c>
      <c r="G729" s="1">
        <f>DATE(Table2[[#This Row],[Tahun]],Table2[[#This Row],[Bulan]],1)</f>
        <v>44409</v>
      </c>
      <c r="H729">
        <v>94</v>
      </c>
    </row>
    <row r="730" spans="1:8" x14ac:dyDescent="0.25">
      <c r="A730">
        <v>729</v>
      </c>
      <c r="B730" t="str">
        <f>Table2[[#This Row],[Propinsi]]&amp;"_"&amp;Table2[[#This Row],[Dati 2]]&amp;"_"&amp;Table2[[#This Row],[Tanggal]]</f>
        <v>JAWA TENGAH_BANYUMAS_44440</v>
      </c>
      <c r="C730" t="s">
        <v>5</v>
      </c>
      <c r="D730" t="s">
        <v>103</v>
      </c>
      <c r="E730">
        <v>9</v>
      </c>
      <c r="F730">
        <v>2021</v>
      </c>
      <c r="G730" s="1">
        <f>DATE(Table2[[#This Row],[Tahun]],Table2[[#This Row],[Bulan]],1)</f>
        <v>44440</v>
      </c>
      <c r="H730">
        <v>93</v>
      </c>
    </row>
    <row r="731" spans="1:8" x14ac:dyDescent="0.25">
      <c r="A731">
        <v>730</v>
      </c>
      <c r="B731" t="str">
        <f>Table2[[#This Row],[Propinsi]]&amp;"_"&amp;Table2[[#This Row],[Dati 2]]&amp;"_"&amp;Table2[[#This Row],[Tanggal]]</f>
        <v>JAWA TENGAH_BANYUMAS_44470</v>
      </c>
      <c r="C731" t="s">
        <v>5</v>
      </c>
      <c r="D731" t="s">
        <v>103</v>
      </c>
      <c r="E731">
        <v>10</v>
      </c>
      <c r="F731">
        <v>2021</v>
      </c>
      <c r="G731" s="1">
        <f>DATE(Table2[[#This Row],[Tahun]],Table2[[#This Row],[Bulan]],1)</f>
        <v>44470</v>
      </c>
      <c r="H731">
        <v>98</v>
      </c>
    </row>
    <row r="732" spans="1:8" x14ac:dyDescent="0.25">
      <c r="A732">
        <v>731</v>
      </c>
      <c r="B732" t="str">
        <f>Table2[[#This Row],[Propinsi]]&amp;"_"&amp;Table2[[#This Row],[Dati 2]]&amp;"_"&amp;Table2[[#This Row],[Tanggal]]</f>
        <v>JAWA TENGAH_BANYUMAS_44501</v>
      </c>
      <c r="C732" t="s">
        <v>5</v>
      </c>
      <c r="D732" t="s">
        <v>103</v>
      </c>
      <c r="E732">
        <v>11</v>
      </c>
      <c r="F732">
        <v>2021</v>
      </c>
      <c r="G732" s="1">
        <f>DATE(Table2[[#This Row],[Tahun]],Table2[[#This Row],[Bulan]],1)</f>
        <v>44501</v>
      </c>
      <c r="H732">
        <v>100</v>
      </c>
    </row>
    <row r="733" spans="1:8" x14ac:dyDescent="0.25">
      <c r="A733">
        <v>732</v>
      </c>
      <c r="B733" t="str">
        <f>Table2[[#This Row],[Propinsi]]&amp;"_"&amp;Table2[[#This Row],[Dati 2]]&amp;"_"&amp;Table2[[#This Row],[Tanggal]]</f>
        <v>JAWA TENGAH_BANYUMAS_44531</v>
      </c>
      <c r="C733" t="s">
        <v>5</v>
      </c>
      <c r="D733" t="s">
        <v>103</v>
      </c>
      <c r="E733">
        <v>12</v>
      </c>
      <c r="F733">
        <v>2021</v>
      </c>
      <c r="G733" s="1">
        <f>DATE(Table2[[#This Row],[Tahun]],Table2[[#This Row],[Bulan]],1)</f>
        <v>44531</v>
      </c>
      <c r="H733">
        <v>98</v>
      </c>
    </row>
    <row r="734" spans="1:8" x14ac:dyDescent="0.25">
      <c r="A734">
        <v>733</v>
      </c>
      <c r="B734" t="str">
        <f>Table2[[#This Row],[Propinsi]]&amp;"_"&amp;Table2[[#This Row],[Dati 2]]&amp;"_"&amp;Table2[[#This Row],[Tanggal]]</f>
        <v>JAWA TENGAH_CILACAP_44197</v>
      </c>
      <c r="C734" t="s">
        <v>5</v>
      </c>
      <c r="D734" t="s">
        <v>104</v>
      </c>
      <c r="E734">
        <v>1</v>
      </c>
      <c r="F734">
        <v>2021</v>
      </c>
      <c r="G734" s="1">
        <f>DATE(Table2[[#This Row],[Tahun]],Table2[[#This Row],[Bulan]],1)</f>
        <v>44197</v>
      </c>
      <c r="H734">
        <v>141</v>
      </c>
    </row>
    <row r="735" spans="1:8" x14ac:dyDescent="0.25">
      <c r="A735">
        <v>734</v>
      </c>
      <c r="B735" t="str">
        <f>Table2[[#This Row],[Propinsi]]&amp;"_"&amp;Table2[[#This Row],[Dati 2]]&amp;"_"&amp;Table2[[#This Row],[Tanggal]]</f>
        <v>JAWA TENGAH_CILACAP_44228</v>
      </c>
      <c r="C735" t="s">
        <v>5</v>
      </c>
      <c r="D735" t="s">
        <v>104</v>
      </c>
      <c r="E735">
        <v>2</v>
      </c>
      <c r="F735">
        <v>2021</v>
      </c>
      <c r="G735" s="1">
        <f>DATE(Table2[[#This Row],[Tahun]],Table2[[#This Row],[Bulan]],1)</f>
        <v>44228</v>
      </c>
      <c r="H735">
        <v>141</v>
      </c>
    </row>
    <row r="736" spans="1:8" x14ac:dyDescent="0.25">
      <c r="A736">
        <v>735</v>
      </c>
      <c r="B736" t="str">
        <f>Table2[[#This Row],[Propinsi]]&amp;"_"&amp;Table2[[#This Row],[Dati 2]]&amp;"_"&amp;Table2[[#This Row],[Tanggal]]</f>
        <v>JAWA TENGAH_CILACAP_44256</v>
      </c>
      <c r="C736" t="s">
        <v>5</v>
      </c>
      <c r="D736" t="s">
        <v>104</v>
      </c>
      <c r="E736">
        <v>3</v>
      </c>
      <c r="F736">
        <v>2021</v>
      </c>
      <c r="G736" s="1">
        <f>DATE(Table2[[#This Row],[Tahun]],Table2[[#This Row],[Bulan]],1)</f>
        <v>44256</v>
      </c>
      <c r="H736">
        <v>144</v>
      </c>
    </row>
    <row r="737" spans="1:8" x14ac:dyDescent="0.25">
      <c r="A737">
        <v>736</v>
      </c>
      <c r="B737" t="str">
        <f>Table2[[#This Row],[Propinsi]]&amp;"_"&amp;Table2[[#This Row],[Dati 2]]&amp;"_"&amp;Table2[[#This Row],[Tanggal]]</f>
        <v>JAWA TENGAH_CILACAP_44287</v>
      </c>
      <c r="C737" t="s">
        <v>5</v>
      </c>
      <c r="D737" t="s">
        <v>104</v>
      </c>
      <c r="E737">
        <v>4</v>
      </c>
      <c r="F737">
        <v>2021</v>
      </c>
      <c r="G737" s="1">
        <f>DATE(Table2[[#This Row],[Tahun]],Table2[[#This Row],[Bulan]],1)</f>
        <v>44287</v>
      </c>
      <c r="H737">
        <v>142</v>
      </c>
    </row>
    <row r="738" spans="1:8" x14ac:dyDescent="0.25">
      <c r="A738">
        <v>737</v>
      </c>
      <c r="B738" t="str">
        <f>Table2[[#This Row],[Propinsi]]&amp;"_"&amp;Table2[[#This Row],[Dati 2]]&amp;"_"&amp;Table2[[#This Row],[Tanggal]]</f>
        <v>JAWA TENGAH_CILACAP_44317</v>
      </c>
      <c r="C738" t="s">
        <v>5</v>
      </c>
      <c r="D738" t="s">
        <v>104</v>
      </c>
      <c r="E738">
        <v>5</v>
      </c>
      <c r="F738">
        <v>2021</v>
      </c>
      <c r="G738" s="1">
        <f>DATE(Table2[[#This Row],[Tahun]],Table2[[#This Row],[Bulan]],1)</f>
        <v>44317</v>
      </c>
      <c r="H738">
        <v>141</v>
      </c>
    </row>
    <row r="739" spans="1:8" x14ac:dyDescent="0.25">
      <c r="A739">
        <v>738</v>
      </c>
      <c r="B739" t="str">
        <f>Table2[[#This Row],[Propinsi]]&amp;"_"&amp;Table2[[#This Row],[Dati 2]]&amp;"_"&amp;Table2[[#This Row],[Tanggal]]</f>
        <v>JAWA TENGAH_CILACAP_44348</v>
      </c>
      <c r="C739" t="s">
        <v>5</v>
      </c>
      <c r="D739" t="s">
        <v>104</v>
      </c>
      <c r="E739">
        <v>6</v>
      </c>
      <c r="F739">
        <v>2021</v>
      </c>
      <c r="G739" s="1">
        <f>DATE(Table2[[#This Row],[Tahun]],Table2[[#This Row],[Bulan]],1)</f>
        <v>44348</v>
      </c>
      <c r="H739">
        <v>144</v>
      </c>
    </row>
    <row r="740" spans="1:8" x14ac:dyDescent="0.25">
      <c r="A740">
        <v>739</v>
      </c>
      <c r="B740" t="str">
        <f>Table2[[#This Row],[Propinsi]]&amp;"_"&amp;Table2[[#This Row],[Dati 2]]&amp;"_"&amp;Table2[[#This Row],[Tanggal]]</f>
        <v>JAWA TENGAH_CILACAP_44378</v>
      </c>
      <c r="C740" t="s">
        <v>5</v>
      </c>
      <c r="D740" t="s">
        <v>104</v>
      </c>
      <c r="E740">
        <v>7</v>
      </c>
      <c r="F740">
        <v>2021</v>
      </c>
      <c r="G740" s="1">
        <f>DATE(Table2[[#This Row],[Tahun]],Table2[[#This Row],[Bulan]],1)</f>
        <v>44378</v>
      </c>
      <c r="H740">
        <v>145</v>
      </c>
    </row>
    <row r="741" spans="1:8" x14ac:dyDescent="0.25">
      <c r="A741">
        <v>740</v>
      </c>
      <c r="B741" t="str">
        <f>Table2[[#This Row],[Propinsi]]&amp;"_"&amp;Table2[[#This Row],[Dati 2]]&amp;"_"&amp;Table2[[#This Row],[Tanggal]]</f>
        <v>JAWA TENGAH_CILACAP_44409</v>
      </c>
      <c r="C741" t="s">
        <v>5</v>
      </c>
      <c r="D741" t="s">
        <v>104</v>
      </c>
      <c r="E741">
        <v>8</v>
      </c>
      <c r="F741">
        <v>2021</v>
      </c>
      <c r="G741" s="1">
        <f>DATE(Table2[[#This Row],[Tahun]],Table2[[#This Row],[Bulan]],1)</f>
        <v>44409</v>
      </c>
      <c r="H741">
        <v>148</v>
      </c>
    </row>
    <row r="742" spans="1:8" x14ac:dyDescent="0.25">
      <c r="A742">
        <v>741</v>
      </c>
      <c r="B742" t="str">
        <f>Table2[[#This Row],[Propinsi]]&amp;"_"&amp;Table2[[#This Row],[Dati 2]]&amp;"_"&amp;Table2[[#This Row],[Tanggal]]</f>
        <v>JAWA TENGAH_CILACAP_44440</v>
      </c>
      <c r="C742" t="s">
        <v>5</v>
      </c>
      <c r="D742" t="s">
        <v>104</v>
      </c>
      <c r="E742">
        <v>9</v>
      </c>
      <c r="F742">
        <v>2021</v>
      </c>
      <c r="G742" s="1">
        <f>DATE(Table2[[#This Row],[Tahun]],Table2[[#This Row],[Bulan]],1)</f>
        <v>44440</v>
      </c>
      <c r="H742">
        <v>151</v>
      </c>
    </row>
    <row r="743" spans="1:8" x14ac:dyDescent="0.25">
      <c r="A743">
        <v>742</v>
      </c>
      <c r="B743" t="str">
        <f>Table2[[#This Row],[Propinsi]]&amp;"_"&amp;Table2[[#This Row],[Dati 2]]&amp;"_"&amp;Table2[[#This Row],[Tanggal]]</f>
        <v>JAWA TENGAH_CILACAP_44470</v>
      </c>
      <c r="C743" t="s">
        <v>5</v>
      </c>
      <c r="D743" t="s">
        <v>104</v>
      </c>
      <c r="E743">
        <v>10</v>
      </c>
      <c r="F743">
        <v>2021</v>
      </c>
      <c r="G743" s="1">
        <f>DATE(Table2[[#This Row],[Tahun]],Table2[[#This Row],[Bulan]],1)</f>
        <v>44470</v>
      </c>
      <c r="H743">
        <v>158</v>
      </c>
    </row>
    <row r="744" spans="1:8" x14ac:dyDescent="0.25">
      <c r="A744">
        <v>743</v>
      </c>
      <c r="B744" t="str">
        <f>Table2[[#This Row],[Propinsi]]&amp;"_"&amp;Table2[[#This Row],[Dati 2]]&amp;"_"&amp;Table2[[#This Row],[Tanggal]]</f>
        <v>JAWA TENGAH_CILACAP_44501</v>
      </c>
      <c r="C744" t="s">
        <v>5</v>
      </c>
      <c r="D744" t="s">
        <v>104</v>
      </c>
      <c r="E744">
        <v>11</v>
      </c>
      <c r="F744">
        <v>2021</v>
      </c>
      <c r="G744" s="1">
        <f>DATE(Table2[[#This Row],[Tahun]],Table2[[#This Row],[Bulan]],1)</f>
        <v>44501</v>
      </c>
      <c r="H744">
        <v>159</v>
      </c>
    </row>
    <row r="745" spans="1:8" x14ac:dyDescent="0.25">
      <c r="A745">
        <v>744</v>
      </c>
      <c r="B745" t="str">
        <f>Table2[[#This Row],[Propinsi]]&amp;"_"&amp;Table2[[#This Row],[Dati 2]]&amp;"_"&amp;Table2[[#This Row],[Tanggal]]</f>
        <v>JAWA TENGAH_CILACAP_44531</v>
      </c>
      <c r="C745" t="s">
        <v>5</v>
      </c>
      <c r="D745" t="s">
        <v>104</v>
      </c>
      <c r="E745">
        <v>12</v>
      </c>
      <c r="F745">
        <v>2021</v>
      </c>
      <c r="G745" s="1">
        <f>DATE(Table2[[#This Row],[Tahun]],Table2[[#This Row],[Bulan]],1)</f>
        <v>44531</v>
      </c>
      <c r="H745">
        <v>163</v>
      </c>
    </row>
    <row r="746" spans="1:8" x14ac:dyDescent="0.25">
      <c r="A746">
        <v>745</v>
      </c>
      <c r="B746" t="str">
        <f>Table2[[#This Row],[Propinsi]]&amp;"_"&amp;Table2[[#This Row],[Dati 2]]&amp;"_"&amp;Table2[[#This Row],[Tanggal]]</f>
        <v>JAWA TENGAH_PURBALINGGA_44197</v>
      </c>
      <c r="C746" t="s">
        <v>5</v>
      </c>
      <c r="D746" t="s">
        <v>105</v>
      </c>
      <c r="E746">
        <v>1</v>
      </c>
      <c r="F746">
        <v>2021</v>
      </c>
      <c r="G746" s="1">
        <f>DATE(Table2[[#This Row],[Tahun]],Table2[[#This Row],[Bulan]],1)</f>
        <v>44197</v>
      </c>
      <c r="H746">
        <v>65</v>
      </c>
    </row>
    <row r="747" spans="1:8" x14ac:dyDescent="0.25">
      <c r="A747">
        <v>746</v>
      </c>
      <c r="B747" t="str">
        <f>Table2[[#This Row],[Propinsi]]&amp;"_"&amp;Table2[[#This Row],[Dati 2]]&amp;"_"&amp;Table2[[#This Row],[Tanggal]]</f>
        <v>JAWA TENGAH_PURBALINGGA_44228</v>
      </c>
      <c r="C747" t="s">
        <v>5</v>
      </c>
      <c r="D747" t="s">
        <v>105</v>
      </c>
      <c r="E747">
        <v>2</v>
      </c>
      <c r="F747">
        <v>2021</v>
      </c>
      <c r="G747" s="1">
        <f>DATE(Table2[[#This Row],[Tahun]],Table2[[#This Row],[Bulan]],1)</f>
        <v>44228</v>
      </c>
      <c r="H747">
        <v>67</v>
      </c>
    </row>
    <row r="748" spans="1:8" x14ac:dyDescent="0.25">
      <c r="A748">
        <v>747</v>
      </c>
      <c r="B748" t="str">
        <f>Table2[[#This Row],[Propinsi]]&amp;"_"&amp;Table2[[#This Row],[Dati 2]]&amp;"_"&amp;Table2[[#This Row],[Tanggal]]</f>
        <v>JAWA TENGAH_PURBALINGGA_44256</v>
      </c>
      <c r="C748" t="s">
        <v>5</v>
      </c>
      <c r="D748" t="s">
        <v>105</v>
      </c>
      <c r="E748">
        <v>3</v>
      </c>
      <c r="F748">
        <v>2021</v>
      </c>
      <c r="G748" s="1">
        <f>DATE(Table2[[#This Row],[Tahun]],Table2[[#This Row],[Bulan]],1)</f>
        <v>44256</v>
      </c>
      <c r="H748">
        <v>73</v>
      </c>
    </row>
    <row r="749" spans="1:8" x14ac:dyDescent="0.25">
      <c r="A749">
        <v>748</v>
      </c>
      <c r="B749" t="str">
        <f>Table2[[#This Row],[Propinsi]]&amp;"_"&amp;Table2[[#This Row],[Dati 2]]&amp;"_"&amp;Table2[[#This Row],[Tanggal]]</f>
        <v>JAWA TENGAH_PURBALINGGA_44287</v>
      </c>
      <c r="C749" t="s">
        <v>5</v>
      </c>
      <c r="D749" t="s">
        <v>105</v>
      </c>
      <c r="E749">
        <v>4</v>
      </c>
      <c r="F749">
        <v>2021</v>
      </c>
      <c r="G749" s="1">
        <f>DATE(Table2[[#This Row],[Tahun]],Table2[[#This Row],[Bulan]],1)</f>
        <v>44287</v>
      </c>
      <c r="H749">
        <v>76</v>
      </c>
    </row>
    <row r="750" spans="1:8" x14ac:dyDescent="0.25">
      <c r="A750">
        <v>749</v>
      </c>
      <c r="B750" t="str">
        <f>Table2[[#This Row],[Propinsi]]&amp;"_"&amp;Table2[[#This Row],[Dati 2]]&amp;"_"&amp;Table2[[#This Row],[Tanggal]]</f>
        <v>JAWA TENGAH_PURBALINGGA_44317</v>
      </c>
      <c r="C750" t="s">
        <v>5</v>
      </c>
      <c r="D750" t="s">
        <v>105</v>
      </c>
      <c r="E750">
        <v>5</v>
      </c>
      <c r="F750">
        <v>2021</v>
      </c>
      <c r="G750" s="1">
        <f>DATE(Table2[[#This Row],[Tahun]],Table2[[#This Row],[Bulan]],1)</f>
        <v>44317</v>
      </c>
      <c r="H750">
        <v>81</v>
      </c>
    </row>
    <row r="751" spans="1:8" x14ac:dyDescent="0.25">
      <c r="A751">
        <v>750</v>
      </c>
      <c r="B751" t="str">
        <f>Table2[[#This Row],[Propinsi]]&amp;"_"&amp;Table2[[#This Row],[Dati 2]]&amp;"_"&amp;Table2[[#This Row],[Tanggal]]</f>
        <v>JAWA TENGAH_PURBALINGGA_44348</v>
      </c>
      <c r="C751" t="s">
        <v>5</v>
      </c>
      <c r="D751" t="s">
        <v>105</v>
      </c>
      <c r="E751">
        <v>6</v>
      </c>
      <c r="F751">
        <v>2021</v>
      </c>
      <c r="G751" s="1">
        <f>DATE(Table2[[#This Row],[Tahun]],Table2[[#This Row],[Bulan]],1)</f>
        <v>44348</v>
      </c>
      <c r="H751">
        <v>86</v>
      </c>
    </row>
    <row r="752" spans="1:8" x14ac:dyDescent="0.25">
      <c r="A752">
        <v>751</v>
      </c>
      <c r="B752" t="str">
        <f>Table2[[#This Row],[Propinsi]]&amp;"_"&amp;Table2[[#This Row],[Dati 2]]&amp;"_"&amp;Table2[[#This Row],[Tanggal]]</f>
        <v>JAWA TENGAH_PURBALINGGA_44378</v>
      </c>
      <c r="C752" t="s">
        <v>5</v>
      </c>
      <c r="D752" t="s">
        <v>105</v>
      </c>
      <c r="E752">
        <v>7</v>
      </c>
      <c r="F752">
        <v>2021</v>
      </c>
      <c r="G752" s="1">
        <f>DATE(Table2[[#This Row],[Tahun]],Table2[[#This Row],[Bulan]],1)</f>
        <v>44378</v>
      </c>
      <c r="H752">
        <v>93</v>
      </c>
    </row>
    <row r="753" spans="1:8" x14ac:dyDescent="0.25">
      <c r="A753">
        <v>752</v>
      </c>
      <c r="B753" t="str">
        <f>Table2[[#This Row],[Propinsi]]&amp;"_"&amp;Table2[[#This Row],[Dati 2]]&amp;"_"&amp;Table2[[#This Row],[Tanggal]]</f>
        <v>JAWA TENGAH_PURBALINGGA_44409</v>
      </c>
      <c r="C753" t="s">
        <v>5</v>
      </c>
      <c r="D753" t="s">
        <v>105</v>
      </c>
      <c r="E753">
        <v>8</v>
      </c>
      <c r="F753">
        <v>2021</v>
      </c>
      <c r="G753" s="1">
        <f>DATE(Table2[[#This Row],[Tahun]],Table2[[#This Row],[Bulan]],1)</f>
        <v>44409</v>
      </c>
      <c r="H753">
        <v>91</v>
      </c>
    </row>
    <row r="754" spans="1:8" x14ac:dyDescent="0.25">
      <c r="A754">
        <v>753</v>
      </c>
      <c r="B754" t="str">
        <f>Table2[[#This Row],[Propinsi]]&amp;"_"&amp;Table2[[#This Row],[Dati 2]]&amp;"_"&amp;Table2[[#This Row],[Tanggal]]</f>
        <v>JAWA TENGAH_PURBALINGGA_44440</v>
      </c>
      <c r="C754" t="s">
        <v>5</v>
      </c>
      <c r="D754" t="s">
        <v>105</v>
      </c>
      <c r="E754">
        <v>9</v>
      </c>
      <c r="F754">
        <v>2021</v>
      </c>
      <c r="G754" s="1">
        <f>DATE(Table2[[#This Row],[Tahun]],Table2[[#This Row],[Bulan]],1)</f>
        <v>44440</v>
      </c>
      <c r="H754">
        <v>93</v>
      </c>
    </row>
    <row r="755" spans="1:8" x14ac:dyDescent="0.25">
      <c r="A755">
        <v>754</v>
      </c>
      <c r="B755" t="str">
        <f>Table2[[#This Row],[Propinsi]]&amp;"_"&amp;Table2[[#This Row],[Dati 2]]&amp;"_"&amp;Table2[[#This Row],[Tanggal]]</f>
        <v>JAWA TENGAH_PURBALINGGA_44470</v>
      </c>
      <c r="C755" t="s">
        <v>5</v>
      </c>
      <c r="D755" t="s">
        <v>105</v>
      </c>
      <c r="E755">
        <v>10</v>
      </c>
      <c r="F755">
        <v>2021</v>
      </c>
      <c r="G755" s="1">
        <f>DATE(Table2[[#This Row],[Tahun]],Table2[[#This Row],[Bulan]],1)</f>
        <v>44470</v>
      </c>
      <c r="H755">
        <v>97</v>
      </c>
    </row>
    <row r="756" spans="1:8" x14ac:dyDescent="0.25">
      <c r="A756">
        <v>755</v>
      </c>
      <c r="B756" t="str">
        <f>Table2[[#This Row],[Propinsi]]&amp;"_"&amp;Table2[[#This Row],[Dati 2]]&amp;"_"&amp;Table2[[#This Row],[Tanggal]]</f>
        <v>JAWA TENGAH_PURBALINGGA_44501</v>
      </c>
      <c r="C756" t="s">
        <v>5</v>
      </c>
      <c r="D756" t="s">
        <v>105</v>
      </c>
      <c r="E756">
        <v>11</v>
      </c>
      <c r="F756">
        <v>2021</v>
      </c>
      <c r="G756" s="1">
        <f>DATE(Table2[[#This Row],[Tahun]],Table2[[#This Row],[Bulan]],1)</f>
        <v>44501</v>
      </c>
      <c r="H756">
        <v>99</v>
      </c>
    </row>
    <row r="757" spans="1:8" x14ac:dyDescent="0.25">
      <c r="A757">
        <v>756</v>
      </c>
      <c r="B757" t="str">
        <f>Table2[[#This Row],[Propinsi]]&amp;"_"&amp;Table2[[#This Row],[Dati 2]]&amp;"_"&amp;Table2[[#This Row],[Tanggal]]</f>
        <v>JAWA TENGAH_PURBALINGGA_44531</v>
      </c>
      <c r="C757" t="s">
        <v>5</v>
      </c>
      <c r="D757" t="s">
        <v>105</v>
      </c>
      <c r="E757">
        <v>12</v>
      </c>
      <c r="F757">
        <v>2021</v>
      </c>
      <c r="G757" s="1">
        <f>DATE(Table2[[#This Row],[Tahun]],Table2[[#This Row],[Bulan]],1)</f>
        <v>44531</v>
      </c>
      <c r="H757">
        <v>102</v>
      </c>
    </row>
    <row r="758" spans="1:8" x14ac:dyDescent="0.25">
      <c r="A758">
        <v>757</v>
      </c>
      <c r="B758" t="str">
        <f>Table2[[#This Row],[Propinsi]]&amp;"_"&amp;Table2[[#This Row],[Dati 2]]&amp;"_"&amp;Table2[[#This Row],[Tanggal]]</f>
        <v>JAWA TENGAH_BANJARNEGARA_44197</v>
      </c>
      <c r="C758" t="s">
        <v>5</v>
      </c>
      <c r="D758" t="s">
        <v>106</v>
      </c>
      <c r="E758">
        <v>1</v>
      </c>
      <c r="F758">
        <v>2021</v>
      </c>
      <c r="G758" s="1">
        <f>DATE(Table2[[#This Row],[Tahun]],Table2[[#This Row],[Bulan]],1)</f>
        <v>44197</v>
      </c>
      <c r="H758">
        <v>57</v>
      </c>
    </row>
    <row r="759" spans="1:8" x14ac:dyDescent="0.25">
      <c r="A759">
        <v>758</v>
      </c>
      <c r="B759" t="str">
        <f>Table2[[#This Row],[Propinsi]]&amp;"_"&amp;Table2[[#This Row],[Dati 2]]&amp;"_"&amp;Table2[[#This Row],[Tanggal]]</f>
        <v>JAWA TENGAH_BANJARNEGARA_44228</v>
      </c>
      <c r="C759" t="s">
        <v>5</v>
      </c>
      <c r="D759" t="s">
        <v>106</v>
      </c>
      <c r="E759">
        <v>2</v>
      </c>
      <c r="F759">
        <v>2021</v>
      </c>
      <c r="G759" s="1">
        <f>DATE(Table2[[#This Row],[Tahun]],Table2[[#This Row],[Bulan]],1)</f>
        <v>44228</v>
      </c>
      <c r="H759">
        <v>59</v>
      </c>
    </row>
    <row r="760" spans="1:8" x14ac:dyDescent="0.25">
      <c r="A760">
        <v>759</v>
      </c>
      <c r="B760" t="str">
        <f>Table2[[#This Row],[Propinsi]]&amp;"_"&amp;Table2[[#This Row],[Dati 2]]&amp;"_"&amp;Table2[[#This Row],[Tanggal]]</f>
        <v>JAWA TENGAH_BANJARNEGARA_44256</v>
      </c>
      <c r="C760" t="s">
        <v>5</v>
      </c>
      <c r="D760" t="s">
        <v>106</v>
      </c>
      <c r="E760">
        <v>3</v>
      </c>
      <c r="F760">
        <v>2021</v>
      </c>
      <c r="G760" s="1">
        <f>DATE(Table2[[#This Row],[Tahun]],Table2[[#This Row],[Bulan]],1)</f>
        <v>44256</v>
      </c>
      <c r="H760">
        <v>60</v>
      </c>
    </row>
    <row r="761" spans="1:8" x14ac:dyDescent="0.25">
      <c r="A761">
        <v>760</v>
      </c>
      <c r="B761" t="str">
        <f>Table2[[#This Row],[Propinsi]]&amp;"_"&amp;Table2[[#This Row],[Dati 2]]&amp;"_"&amp;Table2[[#This Row],[Tanggal]]</f>
        <v>JAWA TENGAH_BANJARNEGARA_44287</v>
      </c>
      <c r="C761" t="s">
        <v>5</v>
      </c>
      <c r="D761" t="s">
        <v>106</v>
      </c>
      <c r="E761">
        <v>4</v>
      </c>
      <c r="F761">
        <v>2021</v>
      </c>
      <c r="G761" s="1">
        <f>DATE(Table2[[#This Row],[Tahun]],Table2[[#This Row],[Bulan]],1)</f>
        <v>44287</v>
      </c>
      <c r="H761">
        <v>63</v>
      </c>
    </row>
    <row r="762" spans="1:8" x14ac:dyDescent="0.25">
      <c r="A762">
        <v>761</v>
      </c>
      <c r="B762" t="str">
        <f>Table2[[#This Row],[Propinsi]]&amp;"_"&amp;Table2[[#This Row],[Dati 2]]&amp;"_"&amp;Table2[[#This Row],[Tanggal]]</f>
        <v>JAWA TENGAH_BANJARNEGARA_44317</v>
      </c>
      <c r="C762" t="s">
        <v>5</v>
      </c>
      <c r="D762" t="s">
        <v>106</v>
      </c>
      <c r="E762">
        <v>5</v>
      </c>
      <c r="F762">
        <v>2021</v>
      </c>
      <c r="G762" s="1">
        <f>DATE(Table2[[#This Row],[Tahun]],Table2[[#This Row],[Bulan]],1)</f>
        <v>44317</v>
      </c>
      <c r="H762">
        <v>69</v>
      </c>
    </row>
    <row r="763" spans="1:8" x14ac:dyDescent="0.25">
      <c r="A763">
        <v>762</v>
      </c>
      <c r="B763" t="str">
        <f>Table2[[#This Row],[Propinsi]]&amp;"_"&amp;Table2[[#This Row],[Dati 2]]&amp;"_"&amp;Table2[[#This Row],[Tanggal]]</f>
        <v>JAWA TENGAH_BANJARNEGARA_44348</v>
      </c>
      <c r="C763" t="s">
        <v>5</v>
      </c>
      <c r="D763" t="s">
        <v>106</v>
      </c>
      <c r="E763">
        <v>6</v>
      </c>
      <c r="F763">
        <v>2021</v>
      </c>
      <c r="G763" s="1">
        <f>DATE(Table2[[#This Row],[Tahun]],Table2[[#This Row],[Bulan]],1)</f>
        <v>44348</v>
      </c>
      <c r="H763">
        <v>70</v>
      </c>
    </row>
    <row r="764" spans="1:8" x14ac:dyDescent="0.25">
      <c r="A764">
        <v>763</v>
      </c>
      <c r="B764" t="str">
        <f>Table2[[#This Row],[Propinsi]]&amp;"_"&amp;Table2[[#This Row],[Dati 2]]&amp;"_"&amp;Table2[[#This Row],[Tanggal]]</f>
        <v>JAWA TENGAH_BANJARNEGARA_44378</v>
      </c>
      <c r="C764" t="s">
        <v>5</v>
      </c>
      <c r="D764" t="s">
        <v>106</v>
      </c>
      <c r="E764">
        <v>7</v>
      </c>
      <c r="F764">
        <v>2021</v>
      </c>
      <c r="G764" s="1">
        <f>DATE(Table2[[#This Row],[Tahun]],Table2[[#This Row],[Bulan]],1)</f>
        <v>44378</v>
      </c>
      <c r="H764">
        <v>69</v>
      </c>
    </row>
    <row r="765" spans="1:8" x14ac:dyDescent="0.25">
      <c r="A765">
        <v>764</v>
      </c>
      <c r="B765" t="str">
        <f>Table2[[#This Row],[Propinsi]]&amp;"_"&amp;Table2[[#This Row],[Dati 2]]&amp;"_"&amp;Table2[[#This Row],[Tanggal]]</f>
        <v>JAWA TENGAH_BANJARNEGARA_44409</v>
      </c>
      <c r="C765" t="s">
        <v>5</v>
      </c>
      <c r="D765" t="s">
        <v>106</v>
      </c>
      <c r="E765">
        <v>8</v>
      </c>
      <c r="F765">
        <v>2021</v>
      </c>
      <c r="G765" s="1">
        <f>DATE(Table2[[#This Row],[Tahun]],Table2[[#This Row],[Bulan]],1)</f>
        <v>44409</v>
      </c>
      <c r="H765">
        <v>69</v>
      </c>
    </row>
    <row r="766" spans="1:8" x14ac:dyDescent="0.25">
      <c r="A766">
        <v>765</v>
      </c>
      <c r="B766" t="str">
        <f>Table2[[#This Row],[Propinsi]]&amp;"_"&amp;Table2[[#This Row],[Dati 2]]&amp;"_"&amp;Table2[[#This Row],[Tanggal]]</f>
        <v>JAWA TENGAH_BANJARNEGARA_44440</v>
      </c>
      <c r="C766" t="s">
        <v>5</v>
      </c>
      <c r="D766" t="s">
        <v>106</v>
      </c>
      <c r="E766">
        <v>9</v>
      </c>
      <c r="F766">
        <v>2021</v>
      </c>
      <c r="G766" s="1">
        <f>DATE(Table2[[#This Row],[Tahun]],Table2[[#This Row],[Bulan]],1)</f>
        <v>44440</v>
      </c>
      <c r="H766">
        <v>70</v>
      </c>
    </row>
    <row r="767" spans="1:8" x14ac:dyDescent="0.25">
      <c r="A767">
        <v>766</v>
      </c>
      <c r="B767" t="str">
        <f>Table2[[#This Row],[Propinsi]]&amp;"_"&amp;Table2[[#This Row],[Dati 2]]&amp;"_"&amp;Table2[[#This Row],[Tanggal]]</f>
        <v>JAWA TENGAH_BANJARNEGARA_44470</v>
      </c>
      <c r="C767" t="s">
        <v>5</v>
      </c>
      <c r="D767" t="s">
        <v>106</v>
      </c>
      <c r="E767">
        <v>10</v>
      </c>
      <c r="F767">
        <v>2021</v>
      </c>
      <c r="G767" s="1">
        <f>DATE(Table2[[#This Row],[Tahun]],Table2[[#This Row],[Bulan]],1)</f>
        <v>44470</v>
      </c>
      <c r="H767">
        <v>69</v>
      </c>
    </row>
    <row r="768" spans="1:8" x14ac:dyDescent="0.25">
      <c r="A768">
        <v>767</v>
      </c>
      <c r="B768" t="str">
        <f>Table2[[#This Row],[Propinsi]]&amp;"_"&amp;Table2[[#This Row],[Dati 2]]&amp;"_"&amp;Table2[[#This Row],[Tanggal]]</f>
        <v>JAWA TENGAH_BANJARNEGARA_44501</v>
      </c>
      <c r="C768" t="s">
        <v>5</v>
      </c>
      <c r="D768" t="s">
        <v>106</v>
      </c>
      <c r="E768">
        <v>11</v>
      </c>
      <c r="F768">
        <v>2021</v>
      </c>
      <c r="G768" s="1">
        <f>DATE(Table2[[#This Row],[Tahun]],Table2[[#This Row],[Bulan]],1)</f>
        <v>44501</v>
      </c>
      <c r="H768">
        <v>72</v>
      </c>
    </row>
    <row r="769" spans="1:8" x14ac:dyDescent="0.25">
      <c r="A769">
        <v>768</v>
      </c>
      <c r="B769" t="str">
        <f>Table2[[#This Row],[Propinsi]]&amp;"_"&amp;Table2[[#This Row],[Dati 2]]&amp;"_"&amp;Table2[[#This Row],[Tanggal]]</f>
        <v>JAWA TENGAH_BANJARNEGARA_44531</v>
      </c>
      <c r="C769" t="s">
        <v>5</v>
      </c>
      <c r="D769" t="s">
        <v>106</v>
      </c>
      <c r="E769">
        <v>12</v>
      </c>
      <c r="F769">
        <v>2021</v>
      </c>
      <c r="G769" s="1">
        <f>DATE(Table2[[#This Row],[Tahun]],Table2[[#This Row],[Bulan]],1)</f>
        <v>44531</v>
      </c>
      <c r="H769">
        <v>75</v>
      </c>
    </row>
    <row r="770" spans="1:8" x14ac:dyDescent="0.25">
      <c r="A770">
        <v>769</v>
      </c>
      <c r="B770" t="str">
        <f>Table2[[#This Row],[Propinsi]]&amp;"_"&amp;Table2[[#This Row],[Dati 2]]&amp;"_"&amp;Table2[[#This Row],[Tanggal]]</f>
        <v>JAWA TENGAH_PURWOREJO_44197</v>
      </c>
      <c r="C770" t="s">
        <v>5</v>
      </c>
      <c r="D770" t="s">
        <v>107</v>
      </c>
      <c r="E770">
        <v>1</v>
      </c>
      <c r="F770">
        <v>2021</v>
      </c>
      <c r="G770" s="1">
        <f>DATE(Table2[[#This Row],[Tahun]],Table2[[#This Row],[Bulan]],1)</f>
        <v>44197</v>
      </c>
      <c r="H770">
        <v>111</v>
      </c>
    </row>
    <row r="771" spans="1:8" x14ac:dyDescent="0.25">
      <c r="A771">
        <v>770</v>
      </c>
      <c r="B771" t="str">
        <f>Table2[[#This Row],[Propinsi]]&amp;"_"&amp;Table2[[#This Row],[Dati 2]]&amp;"_"&amp;Table2[[#This Row],[Tanggal]]</f>
        <v>JAWA TENGAH_PURWOREJO_44228</v>
      </c>
      <c r="C771" t="s">
        <v>5</v>
      </c>
      <c r="D771" t="s">
        <v>107</v>
      </c>
      <c r="E771">
        <v>2</v>
      </c>
      <c r="F771">
        <v>2021</v>
      </c>
      <c r="G771" s="1">
        <f>DATE(Table2[[#This Row],[Tahun]],Table2[[#This Row],[Bulan]],1)</f>
        <v>44228</v>
      </c>
      <c r="H771">
        <v>111</v>
      </c>
    </row>
    <row r="772" spans="1:8" x14ac:dyDescent="0.25">
      <c r="A772">
        <v>771</v>
      </c>
      <c r="B772" t="str">
        <f>Table2[[#This Row],[Propinsi]]&amp;"_"&amp;Table2[[#This Row],[Dati 2]]&amp;"_"&amp;Table2[[#This Row],[Tanggal]]</f>
        <v>JAWA TENGAH_PURWOREJO_44256</v>
      </c>
      <c r="C772" t="s">
        <v>5</v>
      </c>
      <c r="D772" t="s">
        <v>107</v>
      </c>
      <c r="E772">
        <v>3</v>
      </c>
      <c r="F772">
        <v>2021</v>
      </c>
      <c r="G772" s="1">
        <f>DATE(Table2[[#This Row],[Tahun]],Table2[[#This Row],[Bulan]],1)</f>
        <v>44256</v>
      </c>
      <c r="H772">
        <v>111</v>
      </c>
    </row>
    <row r="773" spans="1:8" x14ac:dyDescent="0.25">
      <c r="A773">
        <v>772</v>
      </c>
      <c r="B773" t="str">
        <f>Table2[[#This Row],[Propinsi]]&amp;"_"&amp;Table2[[#This Row],[Dati 2]]&amp;"_"&amp;Table2[[#This Row],[Tanggal]]</f>
        <v>JAWA TENGAH_PURWOREJO_44287</v>
      </c>
      <c r="C773" t="s">
        <v>5</v>
      </c>
      <c r="D773" t="s">
        <v>107</v>
      </c>
      <c r="E773">
        <v>4</v>
      </c>
      <c r="F773">
        <v>2021</v>
      </c>
      <c r="G773" s="1">
        <f>DATE(Table2[[#This Row],[Tahun]],Table2[[#This Row],[Bulan]],1)</f>
        <v>44287</v>
      </c>
      <c r="H773">
        <v>113</v>
      </c>
    </row>
    <row r="774" spans="1:8" x14ac:dyDescent="0.25">
      <c r="A774">
        <v>773</v>
      </c>
      <c r="B774" t="str">
        <f>Table2[[#This Row],[Propinsi]]&amp;"_"&amp;Table2[[#This Row],[Dati 2]]&amp;"_"&amp;Table2[[#This Row],[Tanggal]]</f>
        <v>JAWA TENGAH_PURWOREJO_44317</v>
      </c>
      <c r="C774" t="s">
        <v>5</v>
      </c>
      <c r="D774" t="s">
        <v>107</v>
      </c>
      <c r="E774">
        <v>5</v>
      </c>
      <c r="F774">
        <v>2021</v>
      </c>
      <c r="G774" s="1">
        <f>DATE(Table2[[#This Row],[Tahun]],Table2[[#This Row],[Bulan]],1)</f>
        <v>44317</v>
      </c>
      <c r="H774">
        <v>113</v>
      </c>
    </row>
    <row r="775" spans="1:8" x14ac:dyDescent="0.25">
      <c r="A775">
        <v>774</v>
      </c>
      <c r="B775" t="str">
        <f>Table2[[#This Row],[Propinsi]]&amp;"_"&amp;Table2[[#This Row],[Dati 2]]&amp;"_"&amp;Table2[[#This Row],[Tanggal]]</f>
        <v>JAWA TENGAH_PURWOREJO_44348</v>
      </c>
      <c r="C775" t="s">
        <v>5</v>
      </c>
      <c r="D775" t="s">
        <v>107</v>
      </c>
      <c r="E775">
        <v>6</v>
      </c>
      <c r="F775">
        <v>2021</v>
      </c>
      <c r="G775" s="1">
        <f>DATE(Table2[[#This Row],[Tahun]],Table2[[#This Row],[Bulan]],1)</f>
        <v>44348</v>
      </c>
      <c r="H775">
        <v>116</v>
      </c>
    </row>
    <row r="776" spans="1:8" x14ac:dyDescent="0.25">
      <c r="A776">
        <v>775</v>
      </c>
      <c r="B776" t="str">
        <f>Table2[[#This Row],[Propinsi]]&amp;"_"&amp;Table2[[#This Row],[Dati 2]]&amp;"_"&amp;Table2[[#This Row],[Tanggal]]</f>
        <v>JAWA TENGAH_PURWOREJO_44378</v>
      </c>
      <c r="C776" t="s">
        <v>5</v>
      </c>
      <c r="D776" t="s">
        <v>107</v>
      </c>
      <c r="E776">
        <v>7</v>
      </c>
      <c r="F776">
        <v>2021</v>
      </c>
      <c r="G776" s="1">
        <f>DATE(Table2[[#This Row],[Tahun]],Table2[[#This Row],[Bulan]],1)</f>
        <v>44378</v>
      </c>
      <c r="H776">
        <v>119</v>
      </c>
    </row>
    <row r="777" spans="1:8" x14ac:dyDescent="0.25">
      <c r="A777">
        <v>776</v>
      </c>
      <c r="B777" t="str">
        <f>Table2[[#This Row],[Propinsi]]&amp;"_"&amp;Table2[[#This Row],[Dati 2]]&amp;"_"&amp;Table2[[#This Row],[Tanggal]]</f>
        <v>JAWA TENGAH_PURWOREJO_44409</v>
      </c>
      <c r="C777" t="s">
        <v>5</v>
      </c>
      <c r="D777" t="s">
        <v>107</v>
      </c>
      <c r="E777">
        <v>8</v>
      </c>
      <c r="F777">
        <v>2021</v>
      </c>
      <c r="G777" s="1">
        <f>DATE(Table2[[#This Row],[Tahun]],Table2[[#This Row],[Bulan]],1)</f>
        <v>44409</v>
      </c>
      <c r="H777">
        <v>122</v>
      </c>
    </row>
    <row r="778" spans="1:8" x14ac:dyDescent="0.25">
      <c r="A778">
        <v>777</v>
      </c>
      <c r="B778" t="str">
        <f>Table2[[#This Row],[Propinsi]]&amp;"_"&amp;Table2[[#This Row],[Dati 2]]&amp;"_"&amp;Table2[[#This Row],[Tanggal]]</f>
        <v>JAWA TENGAH_PURWOREJO_44440</v>
      </c>
      <c r="C778" t="s">
        <v>5</v>
      </c>
      <c r="D778" t="s">
        <v>107</v>
      </c>
      <c r="E778">
        <v>9</v>
      </c>
      <c r="F778">
        <v>2021</v>
      </c>
      <c r="G778" s="1">
        <f>DATE(Table2[[#This Row],[Tahun]],Table2[[#This Row],[Bulan]],1)</f>
        <v>44440</v>
      </c>
      <c r="H778">
        <v>122</v>
      </c>
    </row>
    <row r="779" spans="1:8" x14ac:dyDescent="0.25">
      <c r="A779">
        <v>778</v>
      </c>
      <c r="B779" t="str">
        <f>Table2[[#This Row],[Propinsi]]&amp;"_"&amp;Table2[[#This Row],[Dati 2]]&amp;"_"&amp;Table2[[#This Row],[Tanggal]]</f>
        <v>JAWA TENGAH_PURWOREJO_44470</v>
      </c>
      <c r="C779" t="s">
        <v>5</v>
      </c>
      <c r="D779" t="s">
        <v>107</v>
      </c>
      <c r="E779">
        <v>10</v>
      </c>
      <c r="F779">
        <v>2021</v>
      </c>
      <c r="G779" s="1">
        <f>DATE(Table2[[#This Row],[Tahun]],Table2[[#This Row],[Bulan]],1)</f>
        <v>44470</v>
      </c>
      <c r="H779">
        <v>129</v>
      </c>
    </row>
    <row r="780" spans="1:8" x14ac:dyDescent="0.25">
      <c r="A780">
        <v>779</v>
      </c>
      <c r="B780" t="str">
        <f>Table2[[#This Row],[Propinsi]]&amp;"_"&amp;Table2[[#This Row],[Dati 2]]&amp;"_"&amp;Table2[[#This Row],[Tanggal]]</f>
        <v>JAWA TENGAH_PURWOREJO_44501</v>
      </c>
      <c r="C780" t="s">
        <v>5</v>
      </c>
      <c r="D780" t="s">
        <v>107</v>
      </c>
      <c r="E780">
        <v>11</v>
      </c>
      <c r="F780">
        <v>2021</v>
      </c>
      <c r="G780" s="1">
        <f>DATE(Table2[[#This Row],[Tahun]],Table2[[#This Row],[Bulan]],1)</f>
        <v>44501</v>
      </c>
      <c r="H780">
        <v>131</v>
      </c>
    </row>
    <row r="781" spans="1:8" x14ac:dyDescent="0.25">
      <c r="A781">
        <v>780</v>
      </c>
      <c r="B781" t="str">
        <f>Table2[[#This Row],[Propinsi]]&amp;"_"&amp;Table2[[#This Row],[Dati 2]]&amp;"_"&amp;Table2[[#This Row],[Tanggal]]</f>
        <v>JAWA TENGAH_PURWOREJO_44531</v>
      </c>
      <c r="C781" t="s">
        <v>5</v>
      </c>
      <c r="D781" t="s">
        <v>107</v>
      </c>
      <c r="E781">
        <v>12</v>
      </c>
      <c r="F781">
        <v>2021</v>
      </c>
      <c r="G781" s="1">
        <f>DATE(Table2[[#This Row],[Tahun]],Table2[[#This Row],[Bulan]],1)</f>
        <v>44531</v>
      </c>
      <c r="H781">
        <v>138</v>
      </c>
    </row>
    <row r="782" spans="1:8" x14ac:dyDescent="0.25">
      <c r="A782">
        <v>781</v>
      </c>
      <c r="B782" t="str">
        <f>Table2[[#This Row],[Propinsi]]&amp;"_"&amp;Table2[[#This Row],[Dati 2]]&amp;"_"&amp;Table2[[#This Row],[Tanggal]]</f>
        <v>JAWA TENGAH_KEBUMEN_44197</v>
      </c>
      <c r="C782" t="s">
        <v>5</v>
      </c>
      <c r="D782" t="s">
        <v>108</v>
      </c>
      <c r="E782">
        <v>1</v>
      </c>
      <c r="F782">
        <v>2021</v>
      </c>
      <c r="G782" s="1">
        <f>DATE(Table2[[#This Row],[Tahun]],Table2[[#This Row],[Bulan]],1)</f>
        <v>44197</v>
      </c>
      <c r="H782">
        <v>82</v>
      </c>
    </row>
    <row r="783" spans="1:8" x14ac:dyDescent="0.25">
      <c r="A783">
        <v>782</v>
      </c>
      <c r="B783" t="str">
        <f>Table2[[#This Row],[Propinsi]]&amp;"_"&amp;Table2[[#This Row],[Dati 2]]&amp;"_"&amp;Table2[[#This Row],[Tanggal]]</f>
        <v>JAWA TENGAH_KEBUMEN_44228</v>
      </c>
      <c r="C783" t="s">
        <v>5</v>
      </c>
      <c r="D783" t="s">
        <v>108</v>
      </c>
      <c r="E783">
        <v>2</v>
      </c>
      <c r="F783">
        <v>2021</v>
      </c>
      <c r="G783" s="1">
        <f>DATE(Table2[[#This Row],[Tahun]],Table2[[#This Row],[Bulan]],1)</f>
        <v>44228</v>
      </c>
      <c r="H783">
        <v>82</v>
      </c>
    </row>
    <row r="784" spans="1:8" x14ac:dyDescent="0.25">
      <c r="A784">
        <v>783</v>
      </c>
      <c r="B784" t="str">
        <f>Table2[[#This Row],[Propinsi]]&amp;"_"&amp;Table2[[#This Row],[Dati 2]]&amp;"_"&amp;Table2[[#This Row],[Tanggal]]</f>
        <v>JAWA TENGAH_KEBUMEN_44256</v>
      </c>
      <c r="C784" t="s">
        <v>5</v>
      </c>
      <c r="D784" t="s">
        <v>108</v>
      </c>
      <c r="E784">
        <v>3</v>
      </c>
      <c r="F784">
        <v>2021</v>
      </c>
      <c r="G784" s="1">
        <f>DATE(Table2[[#This Row],[Tahun]],Table2[[#This Row],[Bulan]],1)</f>
        <v>44256</v>
      </c>
      <c r="H784">
        <v>83</v>
      </c>
    </row>
    <row r="785" spans="1:8" x14ac:dyDescent="0.25">
      <c r="A785">
        <v>784</v>
      </c>
      <c r="B785" t="str">
        <f>Table2[[#This Row],[Propinsi]]&amp;"_"&amp;Table2[[#This Row],[Dati 2]]&amp;"_"&amp;Table2[[#This Row],[Tanggal]]</f>
        <v>JAWA TENGAH_KEBUMEN_44287</v>
      </c>
      <c r="C785" t="s">
        <v>5</v>
      </c>
      <c r="D785" t="s">
        <v>108</v>
      </c>
      <c r="E785">
        <v>4</v>
      </c>
      <c r="F785">
        <v>2021</v>
      </c>
      <c r="G785" s="1">
        <f>DATE(Table2[[#This Row],[Tahun]],Table2[[#This Row],[Bulan]],1)</f>
        <v>44287</v>
      </c>
      <c r="H785">
        <v>84</v>
      </c>
    </row>
    <row r="786" spans="1:8" x14ac:dyDescent="0.25">
      <c r="A786">
        <v>785</v>
      </c>
      <c r="B786" t="str">
        <f>Table2[[#This Row],[Propinsi]]&amp;"_"&amp;Table2[[#This Row],[Dati 2]]&amp;"_"&amp;Table2[[#This Row],[Tanggal]]</f>
        <v>JAWA TENGAH_KEBUMEN_44317</v>
      </c>
      <c r="C786" t="s">
        <v>5</v>
      </c>
      <c r="D786" t="s">
        <v>108</v>
      </c>
      <c r="E786">
        <v>5</v>
      </c>
      <c r="F786">
        <v>2021</v>
      </c>
      <c r="G786" s="1">
        <f>DATE(Table2[[#This Row],[Tahun]],Table2[[#This Row],[Bulan]],1)</f>
        <v>44317</v>
      </c>
      <c r="H786">
        <v>83</v>
      </c>
    </row>
    <row r="787" spans="1:8" x14ac:dyDescent="0.25">
      <c r="A787">
        <v>786</v>
      </c>
      <c r="B787" t="str">
        <f>Table2[[#This Row],[Propinsi]]&amp;"_"&amp;Table2[[#This Row],[Dati 2]]&amp;"_"&amp;Table2[[#This Row],[Tanggal]]</f>
        <v>JAWA TENGAH_KEBUMEN_44348</v>
      </c>
      <c r="C787" t="s">
        <v>5</v>
      </c>
      <c r="D787" t="s">
        <v>108</v>
      </c>
      <c r="E787">
        <v>6</v>
      </c>
      <c r="F787">
        <v>2021</v>
      </c>
      <c r="G787" s="1">
        <f>DATE(Table2[[#This Row],[Tahun]],Table2[[#This Row],[Bulan]],1)</f>
        <v>44348</v>
      </c>
      <c r="H787">
        <v>83</v>
      </c>
    </row>
    <row r="788" spans="1:8" x14ac:dyDescent="0.25">
      <c r="A788">
        <v>787</v>
      </c>
      <c r="B788" t="str">
        <f>Table2[[#This Row],[Propinsi]]&amp;"_"&amp;Table2[[#This Row],[Dati 2]]&amp;"_"&amp;Table2[[#This Row],[Tanggal]]</f>
        <v>JAWA TENGAH_KEBUMEN_44378</v>
      </c>
      <c r="C788" t="s">
        <v>5</v>
      </c>
      <c r="D788" t="s">
        <v>108</v>
      </c>
      <c r="E788">
        <v>7</v>
      </c>
      <c r="F788">
        <v>2021</v>
      </c>
      <c r="G788" s="1">
        <f>DATE(Table2[[#This Row],[Tahun]],Table2[[#This Row],[Bulan]],1)</f>
        <v>44378</v>
      </c>
      <c r="H788">
        <v>90</v>
      </c>
    </row>
    <row r="789" spans="1:8" x14ac:dyDescent="0.25">
      <c r="A789">
        <v>788</v>
      </c>
      <c r="B789" t="str">
        <f>Table2[[#This Row],[Propinsi]]&amp;"_"&amp;Table2[[#This Row],[Dati 2]]&amp;"_"&amp;Table2[[#This Row],[Tanggal]]</f>
        <v>JAWA TENGAH_KEBUMEN_44409</v>
      </c>
      <c r="C789" t="s">
        <v>5</v>
      </c>
      <c r="D789" t="s">
        <v>108</v>
      </c>
      <c r="E789">
        <v>8</v>
      </c>
      <c r="F789">
        <v>2021</v>
      </c>
      <c r="G789" s="1">
        <f>DATE(Table2[[#This Row],[Tahun]],Table2[[#This Row],[Bulan]],1)</f>
        <v>44409</v>
      </c>
      <c r="H789">
        <v>90</v>
      </c>
    </row>
    <row r="790" spans="1:8" x14ac:dyDescent="0.25">
      <c r="A790">
        <v>789</v>
      </c>
      <c r="B790" t="str">
        <f>Table2[[#This Row],[Propinsi]]&amp;"_"&amp;Table2[[#This Row],[Dati 2]]&amp;"_"&amp;Table2[[#This Row],[Tanggal]]</f>
        <v>JAWA TENGAH_KEBUMEN_44440</v>
      </c>
      <c r="C790" t="s">
        <v>5</v>
      </c>
      <c r="D790" t="s">
        <v>108</v>
      </c>
      <c r="E790">
        <v>9</v>
      </c>
      <c r="F790">
        <v>2021</v>
      </c>
      <c r="G790" s="1">
        <f>DATE(Table2[[#This Row],[Tahun]],Table2[[#This Row],[Bulan]],1)</f>
        <v>44440</v>
      </c>
      <c r="H790">
        <v>94</v>
      </c>
    </row>
    <row r="791" spans="1:8" x14ac:dyDescent="0.25">
      <c r="A791">
        <v>790</v>
      </c>
      <c r="B791" t="str">
        <f>Table2[[#This Row],[Propinsi]]&amp;"_"&amp;Table2[[#This Row],[Dati 2]]&amp;"_"&amp;Table2[[#This Row],[Tanggal]]</f>
        <v>JAWA TENGAH_KEBUMEN_44470</v>
      </c>
      <c r="C791" t="s">
        <v>5</v>
      </c>
      <c r="D791" t="s">
        <v>108</v>
      </c>
      <c r="E791">
        <v>10</v>
      </c>
      <c r="F791">
        <v>2021</v>
      </c>
      <c r="G791" s="1">
        <f>DATE(Table2[[#This Row],[Tahun]],Table2[[#This Row],[Bulan]],1)</f>
        <v>44470</v>
      </c>
      <c r="H791">
        <v>97</v>
      </c>
    </row>
    <row r="792" spans="1:8" x14ac:dyDescent="0.25">
      <c r="A792">
        <v>791</v>
      </c>
      <c r="B792" t="str">
        <f>Table2[[#This Row],[Propinsi]]&amp;"_"&amp;Table2[[#This Row],[Dati 2]]&amp;"_"&amp;Table2[[#This Row],[Tanggal]]</f>
        <v>JAWA TENGAH_KEBUMEN_44501</v>
      </c>
      <c r="C792" t="s">
        <v>5</v>
      </c>
      <c r="D792" t="s">
        <v>108</v>
      </c>
      <c r="E792">
        <v>11</v>
      </c>
      <c r="F792">
        <v>2021</v>
      </c>
      <c r="G792" s="1">
        <f>DATE(Table2[[#This Row],[Tahun]],Table2[[#This Row],[Bulan]],1)</f>
        <v>44501</v>
      </c>
      <c r="H792">
        <v>98</v>
      </c>
    </row>
    <row r="793" spans="1:8" x14ac:dyDescent="0.25">
      <c r="A793">
        <v>792</v>
      </c>
      <c r="B793" t="str">
        <f>Table2[[#This Row],[Propinsi]]&amp;"_"&amp;Table2[[#This Row],[Dati 2]]&amp;"_"&amp;Table2[[#This Row],[Tanggal]]</f>
        <v>JAWA TENGAH_KEBUMEN_44531</v>
      </c>
      <c r="C793" t="s">
        <v>5</v>
      </c>
      <c r="D793" t="s">
        <v>108</v>
      </c>
      <c r="E793">
        <v>12</v>
      </c>
      <c r="F793">
        <v>2021</v>
      </c>
      <c r="G793" s="1">
        <f>DATE(Table2[[#This Row],[Tahun]],Table2[[#This Row],[Bulan]],1)</f>
        <v>44531</v>
      </c>
      <c r="H793">
        <v>98</v>
      </c>
    </row>
    <row r="794" spans="1:8" x14ac:dyDescent="0.25">
      <c r="A794">
        <v>793</v>
      </c>
      <c r="B794" t="str">
        <f>Table2[[#This Row],[Propinsi]]&amp;"_"&amp;Table2[[#This Row],[Dati 2]]&amp;"_"&amp;Table2[[#This Row],[Tanggal]]</f>
        <v>JAWA TENGAH_MAGELANG_44197</v>
      </c>
      <c r="C794" t="s">
        <v>5</v>
      </c>
      <c r="D794" t="s">
        <v>109</v>
      </c>
      <c r="E794">
        <v>1</v>
      </c>
      <c r="F794">
        <v>2021</v>
      </c>
      <c r="G794" s="1">
        <f>DATE(Table2[[#This Row],[Tahun]],Table2[[#This Row],[Bulan]],1)</f>
        <v>44197</v>
      </c>
      <c r="H794">
        <v>142</v>
      </c>
    </row>
    <row r="795" spans="1:8" x14ac:dyDescent="0.25">
      <c r="A795">
        <v>794</v>
      </c>
      <c r="B795" t="str">
        <f>Table2[[#This Row],[Propinsi]]&amp;"_"&amp;Table2[[#This Row],[Dati 2]]&amp;"_"&amp;Table2[[#This Row],[Tanggal]]</f>
        <v>JAWA TENGAH_MAGELANG_44228</v>
      </c>
      <c r="C795" t="s">
        <v>5</v>
      </c>
      <c r="D795" t="s">
        <v>109</v>
      </c>
      <c r="E795">
        <v>2</v>
      </c>
      <c r="F795">
        <v>2021</v>
      </c>
      <c r="G795" s="1">
        <f>DATE(Table2[[#This Row],[Tahun]],Table2[[#This Row],[Bulan]],1)</f>
        <v>44228</v>
      </c>
      <c r="H795">
        <v>149</v>
      </c>
    </row>
    <row r="796" spans="1:8" x14ac:dyDescent="0.25">
      <c r="A796">
        <v>795</v>
      </c>
      <c r="B796" t="str">
        <f>Table2[[#This Row],[Propinsi]]&amp;"_"&amp;Table2[[#This Row],[Dati 2]]&amp;"_"&amp;Table2[[#This Row],[Tanggal]]</f>
        <v>JAWA TENGAH_MAGELANG_44256</v>
      </c>
      <c r="C796" t="s">
        <v>5</v>
      </c>
      <c r="D796" t="s">
        <v>109</v>
      </c>
      <c r="E796">
        <v>3</v>
      </c>
      <c r="F796">
        <v>2021</v>
      </c>
      <c r="G796" s="1">
        <f>DATE(Table2[[#This Row],[Tahun]],Table2[[#This Row],[Bulan]],1)</f>
        <v>44256</v>
      </c>
      <c r="H796">
        <v>156</v>
      </c>
    </row>
    <row r="797" spans="1:8" x14ac:dyDescent="0.25">
      <c r="A797">
        <v>796</v>
      </c>
      <c r="B797" t="str">
        <f>Table2[[#This Row],[Propinsi]]&amp;"_"&amp;Table2[[#This Row],[Dati 2]]&amp;"_"&amp;Table2[[#This Row],[Tanggal]]</f>
        <v>JAWA TENGAH_MAGELANG_44287</v>
      </c>
      <c r="C797" t="s">
        <v>5</v>
      </c>
      <c r="D797" t="s">
        <v>109</v>
      </c>
      <c r="E797">
        <v>4</v>
      </c>
      <c r="F797">
        <v>2021</v>
      </c>
      <c r="G797" s="1">
        <f>DATE(Table2[[#This Row],[Tahun]],Table2[[#This Row],[Bulan]],1)</f>
        <v>44287</v>
      </c>
      <c r="H797">
        <v>162</v>
      </c>
    </row>
    <row r="798" spans="1:8" x14ac:dyDescent="0.25">
      <c r="A798">
        <v>797</v>
      </c>
      <c r="B798" t="str">
        <f>Table2[[#This Row],[Propinsi]]&amp;"_"&amp;Table2[[#This Row],[Dati 2]]&amp;"_"&amp;Table2[[#This Row],[Tanggal]]</f>
        <v>JAWA TENGAH_MAGELANG_44317</v>
      </c>
      <c r="C798" t="s">
        <v>5</v>
      </c>
      <c r="D798" t="s">
        <v>109</v>
      </c>
      <c r="E798">
        <v>5</v>
      </c>
      <c r="F798">
        <v>2021</v>
      </c>
      <c r="G798" s="1">
        <f>DATE(Table2[[#This Row],[Tahun]],Table2[[#This Row],[Bulan]],1)</f>
        <v>44317</v>
      </c>
      <c r="H798">
        <v>163</v>
      </c>
    </row>
    <row r="799" spans="1:8" x14ac:dyDescent="0.25">
      <c r="A799">
        <v>798</v>
      </c>
      <c r="B799" t="str">
        <f>Table2[[#This Row],[Propinsi]]&amp;"_"&amp;Table2[[#This Row],[Dati 2]]&amp;"_"&amp;Table2[[#This Row],[Tanggal]]</f>
        <v>JAWA TENGAH_MAGELANG_44348</v>
      </c>
      <c r="C799" t="s">
        <v>5</v>
      </c>
      <c r="D799" t="s">
        <v>109</v>
      </c>
      <c r="E799">
        <v>6</v>
      </c>
      <c r="F799">
        <v>2021</v>
      </c>
      <c r="G799" s="1">
        <f>DATE(Table2[[#This Row],[Tahun]],Table2[[#This Row],[Bulan]],1)</f>
        <v>44348</v>
      </c>
      <c r="H799">
        <v>168</v>
      </c>
    </row>
    <row r="800" spans="1:8" x14ac:dyDescent="0.25">
      <c r="A800">
        <v>799</v>
      </c>
      <c r="B800" t="str">
        <f>Table2[[#This Row],[Propinsi]]&amp;"_"&amp;Table2[[#This Row],[Dati 2]]&amp;"_"&amp;Table2[[#This Row],[Tanggal]]</f>
        <v>JAWA TENGAH_MAGELANG_44378</v>
      </c>
      <c r="C800" t="s">
        <v>5</v>
      </c>
      <c r="D800" t="s">
        <v>109</v>
      </c>
      <c r="E800">
        <v>7</v>
      </c>
      <c r="F800">
        <v>2021</v>
      </c>
      <c r="G800" s="1">
        <f>DATE(Table2[[#This Row],[Tahun]],Table2[[#This Row],[Bulan]],1)</f>
        <v>44378</v>
      </c>
      <c r="H800">
        <v>170</v>
      </c>
    </row>
    <row r="801" spans="1:8" x14ac:dyDescent="0.25">
      <c r="A801">
        <v>800</v>
      </c>
      <c r="B801" t="str">
        <f>Table2[[#This Row],[Propinsi]]&amp;"_"&amp;Table2[[#This Row],[Dati 2]]&amp;"_"&amp;Table2[[#This Row],[Tanggal]]</f>
        <v>JAWA TENGAH_MAGELANG_44409</v>
      </c>
      <c r="C801" t="s">
        <v>5</v>
      </c>
      <c r="D801" t="s">
        <v>109</v>
      </c>
      <c r="E801">
        <v>8</v>
      </c>
      <c r="F801">
        <v>2021</v>
      </c>
      <c r="G801" s="1">
        <f>DATE(Table2[[#This Row],[Tahun]],Table2[[#This Row],[Bulan]],1)</f>
        <v>44409</v>
      </c>
      <c r="H801">
        <v>171</v>
      </c>
    </row>
    <row r="802" spans="1:8" x14ac:dyDescent="0.25">
      <c r="A802">
        <v>801</v>
      </c>
      <c r="B802" t="str">
        <f>Table2[[#This Row],[Propinsi]]&amp;"_"&amp;Table2[[#This Row],[Dati 2]]&amp;"_"&amp;Table2[[#This Row],[Tanggal]]</f>
        <v>JAWA TENGAH_MAGELANG_44440</v>
      </c>
      <c r="C802" t="s">
        <v>5</v>
      </c>
      <c r="D802" t="s">
        <v>109</v>
      </c>
      <c r="E802">
        <v>9</v>
      </c>
      <c r="F802">
        <v>2021</v>
      </c>
      <c r="G802" s="1">
        <f>DATE(Table2[[#This Row],[Tahun]],Table2[[#This Row],[Bulan]],1)</f>
        <v>44440</v>
      </c>
      <c r="H802">
        <v>172</v>
      </c>
    </row>
    <row r="803" spans="1:8" x14ac:dyDescent="0.25">
      <c r="A803">
        <v>802</v>
      </c>
      <c r="B803" t="str">
        <f>Table2[[#This Row],[Propinsi]]&amp;"_"&amp;Table2[[#This Row],[Dati 2]]&amp;"_"&amp;Table2[[#This Row],[Tanggal]]</f>
        <v>JAWA TENGAH_MAGELANG_44470</v>
      </c>
      <c r="C803" t="s">
        <v>5</v>
      </c>
      <c r="D803" t="s">
        <v>109</v>
      </c>
      <c r="E803">
        <v>10</v>
      </c>
      <c r="F803">
        <v>2021</v>
      </c>
      <c r="G803" s="1">
        <f>DATE(Table2[[#This Row],[Tahun]],Table2[[#This Row],[Bulan]],1)</f>
        <v>44470</v>
      </c>
      <c r="H803">
        <v>175</v>
      </c>
    </row>
    <row r="804" spans="1:8" x14ac:dyDescent="0.25">
      <c r="A804">
        <v>803</v>
      </c>
      <c r="B804" t="str">
        <f>Table2[[#This Row],[Propinsi]]&amp;"_"&amp;Table2[[#This Row],[Dati 2]]&amp;"_"&amp;Table2[[#This Row],[Tanggal]]</f>
        <v>JAWA TENGAH_MAGELANG_44501</v>
      </c>
      <c r="C804" t="s">
        <v>5</v>
      </c>
      <c r="D804" t="s">
        <v>109</v>
      </c>
      <c r="E804">
        <v>11</v>
      </c>
      <c r="F804">
        <v>2021</v>
      </c>
      <c r="G804" s="1">
        <f>DATE(Table2[[#This Row],[Tahun]],Table2[[#This Row],[Bulan]],1)</f>
        <v>44501</v>
      </c>
      <c r="H804">
        <v>173</v>
      </c>
    </row>
    <row r="805" spans="1:8" x14ac:dyDescent="0.25">
      <c r="A805">
        <v>804</v>
      </c>
      <c r="B805" t="str">
        <f>Table2[[#This Row],[Propinsi]]&amp;"_"&amp;Table2[[#This Row],[Dati 2]]&amp;"_"&amp;Table2[[#This Row],[Tanggal]]</f>
        <v>JAWA TENGAH_MAGELANG_44531</v>
      </c>
      <c r="C805" t="s">
        <v>5</v>
      </c>
      <c r="D805" t="s">
        <v>109</v>
      </c>
      <c r="E805">
        <v>12</v>
      </c>
      <c r="F805">
        <v>2021</v>
      </c>
      <c r="G805" s="1">
        <f>DATE(Table2[[#This Row],[Tahun]],Table2[[#This Row],[Bulan]],1)</f>
        <v>44531</v>
      </c>
      <c r="H805">
        <v>178</v>
      </c>
    </row>
    <row r="806" spans="1:8" x14ac:dyDescent="0.25">
      <c r="A806">
        <v>805</v>
      </c>
      <c r="B806" t="str">
        <f>Table2[[#This Row],[Propinsi]]&amp;"_"&amp;Table2[[#This Row],[Dati 2]]&amp;"_"&amp;Table2[[#This Row],[Tanggal]]</f>
        <v>JAWA TENGAH_TEMANGGUNG_44197</v>
      </c>
      <c r="C806" t="s">
        <v>5</v>
      </c>
      <c r="D806" t="s">
        <v>110</v>
      </c>
      <c r="E806">
        <v>1</v>
      </c>
      <c r="F806">
        <v>2021</v>
      </c>
      <c r="G806" s="1">
        <f>DATE(Table2[[#This Row],[Tahun]],Table2[[#This Row],[Bulan]],1)</f>
        <v>44197</v>
      </c>
      <c r="H806">
        <v>62</v>
      </c>
    </row>
    <row r="807" spans="1:8" x14ac:dyDescent="0.25">
      <c r="A807">
        <v>806</v>
      </c>
      <c r="B807" t="str">
        <f>Table2[[#This Row],[Propinsi]]&amp;"_"&amp;Table2[[#This Row],[Dati 2]]&amp;"_"&amp;Table2[[#This Row],[Tanggal]]</f>
        <v>JAWA TENGAH_TEMANGGUNG_44228</v>
      </c>
      <c r="C807" t="s">
        <v>5</v>
      </c>
      <c r="D807" t="s">
        <v>110</v>
      </c>
      <c r="E807">
        <v>2</v>
      </c>
      <c r="F807">
        <v>2021</v>
      </c>
      <c r="G807" s="1">
        <f>DATE(Table2[[#This Row],[Tahun]],Table2[[#This Row],[Bulan]],1)</f>
        <v>44228</v>
      </c>
      <c r="H807">
        <v>66</v>
      </c>
    </row>
    <row r="808" spans="1:8" x14ac:dyDescent="0.25">
      <c r="A808">
        <v>807</v>
      </c>
      <c r="B808" t="str">
        <f>Table2[[#This Row],[Propinsi]]&amp;"_"&amp;Table2[[#This Row],[Dati 2]]&amp;"_"&amp;Table2[[#This Row],[Tanggal]]</f>
        <v>JAWA TENGAH_TEMANGGUNG_44256</v>
      </c>
      <c r="C808" t="s">
        <v>5</v>
      </c>
      <c r="D808" t="s">
        <v>110</v>
      </c>
      <c r="E808">
        <v>3</v>
      </c>
      <c r="F808">
        <v>2021</v>
      </c>
      <c r="G808" s="1">
        <f>DATE(Table2[[#This Row],[Tahun]],Table2[[#This Row],[Bulan]],1)</f>
        <v>44256</v>
      </c>
      <c r="H808">
        <v>67</v>
      </c>
    </row>
    <row r="809" spans="1:8" x14ac:dyDescent="0.25">
      <c r="A809">
        <v>808</v>
      </c>
      <c r="B809" t="str">
        <f>Table2[[#This Row],[Propinsi]]&amp;"_"&amp;Table2[[#This Row],[Dati 2]]&amp;"_"&amp;Table2[[#This Row],[Tanggal]]</f>
        <v>JAWA TENGAH_TEMANGGUNG_44287</v>
      </c>
      <c r="C809" t="s">
        <v>5</v>
      </c>
      <c r="D809" t="s">
        <v>110</v>
      </c>
      <c r="E809">
        <v>4</v>
      </c>
      <c r="F809">
        <v>2021</v>
      </c>
      <c r="G809" s="1">
        <f>DATE(Table2[[#This Row],[Tahun]],Table2[[#This Row],[Bulan]],1)</f>
        <v>44287</v>
      </c>
      <c r="H809">
        <v>66</v>
      </c>
    </row>
    <row r="810" spans="1:8" x14ac:dyDescent="0.25">
      <c r="A810">
        <v>809</v>
      </c>
      <c r="B810" t="str">
        <f>Table2[[#This Row],[Propinsi]]&amp;"_"&amp;Table2[[#This Row],[Dati 2]]&amp;"_"&amp;Table2[[#This Row],[Tanggal]]</f>
        <v>JAWA TENGAH_TEMANGGUNG_44317</v>
      </c>
      <c r="C810" t="s">
        <v>5</v>
      </c>
      <c r="D810" t="s">
        <v>110</v>
      </c>
      <c r="E810">
        <v>5</v>
      </c>
      <c r="F810">
        <v>2021</v>
      </c>
      <c r="G810" s="1">
        <f>DATE(Table2[[#This Row],[Tahun]],Table2[[#This Row],[Bulan]],1)</f>
        <v>44317</v>
      </c>
      <c r="H810">
        <v>65</v>
      </c>
    </row>
    <row r="811" spans="1:8" x14ac:dyDescent="0.25">
      <c r="A811">
        <v>810</v>
      </c>
      <c r="B811" t="str">
        <f>Table2[[#This Row],[Propinsi]]&amp;"_"&amp;Table2[[#This Row],[Dati 2]]&amp;"_"&amp;Table2[[#This Row],[Tanggal]]</f>
        <v>JAWA TENGAH_TEMANGGUNG_44348</v>
      </c>
      <c r="C811" t="s">
        <v>5</v>
      </c>
      <c r="D811" t="s">
        <v>110</v>
      </c>
      <c r="E811">
        <v>6</v>
      </c>
      <c r="F811">
        <v>2021</v>
      </c>
      <c r="G811" s="1">
        <f>DATE(Table2[[#This Row],[Tahun]],Table2[[#This Row],[Bulan]],1)</f>
        <v>44348</v>
      </c>
      <c r="H811">
        <v>72</v>
      </c>
    </row>
    <row r="812" spans="1:8" x14ac:dyDescent="0.25">
      <c r="A812">
        <v>811</v>
      </c>
      <c r="B812" t="str">
        <f>Table2[[#This Row],[Propinsi]]&amp;"_"&amp;Table2[[#This Row],[Dati 2]]&amp;"_"&amp;Table2[[#This Row],[Tanggal]]</f>
        <v>JAWA TENGAH_TEMANGGUNG_44378</v>
      </c>
      <c r="C812" t="s">
        <v>5</v>
      </c>
      <c r="D812" t="s">
        <v>110</v>
      </c>
      <c r="E812">
        <v>7</v>
      </c>
      <c r="F812">
        <v>2021</v>
      </c>
      <c r="G812" s="1">
        <f>DATE(Table2[[#This Row],[Tahun]],Table2[[#This Row],[Bulan]],1)</f>
        <v>44378</v>
      </c>
      <c r="H812">
        <v>77</v>
      </c>
    </row>
    <row r="813" spans="1:8" x14ac:dyDescent="0.25">
      <c r="A813">
        <v>812</v>
      </c>
      <c r="B813" t="str">
        <f>Table2[[#This Row],[Propinsi]]&amp;"_"&amp;Table2[[#This Row],[Dati 2]]&amp;"_"&amp;Table2[[#This Row],[Tanggal]]</f>
        <v>JAWA TENGAH_TEMANGGUNG_44409</v>
      </c>
      <c r="C813" t="s">
        <v>5</v>
      </c>
      <c r="D813" t="s">
        <v>110</v>
      </c>
      <c r="E813">
        <v>8</v>
      </c>
      <c r="F813">
        <v>2021</v>
      </c>
      <c r="G813" s="1">
        <f>DATE(Table2[[#This Row],[Tahun]],Table2[[#This Row],[Bulan]],1)</f>
        <v>44409</v>
      </c>
      <c r="H813">
        <v>81</v>
      </c>
    </row>
    <row r="814" spans="1:8" x14ac:dyDescent="0.25">
      <c r="A814">
        <v>813</v>
      </c>
      <c r="B814" t="str">
        <f>Table2[[#This Row],[Propinsi]]&amp;"_"&amp;Table2[[#This Row],[Dati 2]]&amp;"_"&amp;Table2[[#This Row],[Tanggal]]</f>
        <v>JAWA TENGAH_TEMANGGUNG_44440</v>
      </c>
      <c r="C814" t="s">
        <v>5</v>
      </c>
      <c r="D814" t="s">
        <v>110</v>
      </c>
      <c r="E814">
        <v>9</v>
      </c>
      <c r="F814">
        <v>2021</v>
      </c>
      <c r="G814" s="1">
        <f>DATE(Table2[[#This Row],[Tahun]],Table2[[#This Row],[Bulan]],1)</f>
        <v>44440</v>
      </c>
      <c r="H814">
        <v>81</v>
      </c>
    </row>
    <row r="815" spans="1:8" x14ac:dyDescent="0.25">
      <c r="A815">
        <v>814</v>
      </c>
      <c r="B815" t="str">
        <f>Table2[[#This Row],[Propinsi]]&amp;"_"&amp;Table2[[#This Row],[Dati 2]]&amp;"_"&amp;Table2[[#This Row],[Tanggal]]</f>
        <v>JAWA TENGAH_TEMANGGUNG_44470</v>
      </c>
      <c r="C815" t="s">
        <v>5</v>
      </c>
      <c r="D815" t="s">
        <v>110</v>
      </c>
      <c r="E815">
        <v>10</v>
      </c>
      <c r="F815">
        <v>2021</v>
      </c>
      <c r="G815" s="1">
        <f>DATE(Table2[[#This Row],[Tahun]],Table2[[#This Row],[Bulan]],1)</f>
        <v>44470</v>
      </c>
      <c r="H815">
        <v>84</v>
      </c>
    </row>
    <row r="816" spans="1:8" x14ac:dyDescent="0.25">
      <c r="A816">
        <v>815</v>
      </c>
      <c r="B816" t="str">
        <f>Table2[[#This Row],[Propinsi]]&amp;"_"&amp;Table2[[#This Row],[Dati 2]]&amp;"_"&amp;Table2[[#This Row],[Tanggal]]</f>
        <v>JAWA TENGAH_TEMANGGUNG_44501</v>
      </c>
      <c r="C816" t="s">
        <v>5</v>
      </c>
      <c r="D816" t="s">
        <v>110</v>
      </c>
      <c r="E816">
        <v>11</v>
      </c>
      <c r="F816">
        <v>2021</v>
      </c>
      <c r="G816" s="1">
        <f>DATE(Table2[[#This Row],[Tahun]],Table2[[#This Row],[Bulan]],1)</f>
        <v>44501</v>
      </c>
      <c r="H816">
        <v>90</v>
      </c>
    </row>
    <row r="817" spans="1:8" x14ac:dyDescent="0.25">
      <c r="A817">
        <v>816</v>
      </c>
      <c r="B817" t="str">
        <f>Table2[[#This Row],[Propinsi]]&amp;"_"&amp;Table2[[#This Row],[Dati 2]]&amp;"_"&amp;Table2[[#This Row],[Tanggal]]</f>
        <v>JAWA TENGAH_TEMANGGUNG_44531</v>
      </c>
      <c r="C817" t="s">
        <v>5</v>
      </c>
      <c r="D817" t="s">
        <v>110</v>
      </c>
      <c r="E817">
        <v>12</v>
      </c>
      <c r="F817">
        <v>2021</v>
      </c>
      <c r="G817" s="1">
        <f>DATE(Table2[[#This Row],[Tahun]],Table2[[#This Row],[Bulan]],1)</f>
        <v>44531</v>
      </c>
      <c r="H817">
        <v>96</v>
      </c>
    </row>
    <row r="818" spans="1:8" x14ac:dyDescent="0.25">
      <c r="A818">
        <v>817</v>
      </c>
      <c r="B818" t="str">
        <f>Table2[[#This Row],[Propinsi]]&amp;"_"&amp;Table2[[#This Row],[Dati 2]]&amp;"_"&amp;Table2[[#This Row],[Tanggal]]</f>
        <v>JAWA TENGAH_WONOSOBO_44197</v>
      </c>
      <c r="C818" t="s">
        <v>5</v>
      </c>
      <c r="D818" t="s">
        <v>111</v>
      </c>
      <c r="E818">
        <v>1</v>
      </c>
      <c r="F818">
        <v>2021</v>
      </c>
      <c r="G818" s="1">
        <f>DATE(Table2[[#This Row],[Tahun]],Table2[[#This Row],[Bulan]],1)</f>
        <v>44197</v>
      </c>
      <c r="H818">
        <v>73</v>
      </c>
    </row>
    <row r="819" spans="1:8" x14ac:dyDescent="0.25">
      <c r="A819">
        <v>818</v>
      </c>
      <c r="B819" t="str">
        <f>Table2[[#This Row],[Propinsi]]&amp;"_"&amp;Table2[[#This Row],[Dati 2]]&amp;"_"&amp;Table2[[#This Row],[Tanggal]]</f>
        <v>JAWA TENGAH_WONOSOBO_44228</v>
      </c>
      <c r="C819" t="s">
        <v>5</v>
      </c>
      <c r="D819" t="s">
        <v>111</v>
      </c>
      <c r="E819">
        <v>2</v>
      </c>
      <c r="F819">
        <v>2021</v>
      </c>
      <c r="G819" s="1">
        <f>DATE(Table2[[#This Row],[Tahun]],Table2[[#This Row],[Bulan]],1)</f>
        <v>44228</v>
      </c>
      <c r="H819">
        <v>75</v>
      </c>
    </row>
    <row r="820" spans="1:8" x14ac:dyDescent="0.25">
      <c r="A820">
        <v>819</v>
      </c>
      <c r="B820" t="str">
        <f>Table2[[#This Row],[Propinsi]]&amp;"_"&amp;Table2[[#This Row],[Dati 2]]&amp;"_"&amp;Table2[[#This Row],[Tanggal]]</f>
        <v>JAWA TENGAH_WONOSOBO_44256</v>
      </c>
      <c r="C820" t="s">
        <v>5</v>
      </c>
      <c r="D820" t="s">
        <v>111</v>
      </c>
      <c r="E820">
        <v>3</v>
      </c>
      <c r="F820">
        <v>2021</v>
      </c>
      <c r="G820" s="1">
        <f>DATE(Table2[[#This Row],[Tahun]],Table2[[#This Row],[Bulan]],1)</f>
        <v>44256</v>
      </c>
      <c r="H820">
        <v>79</v>
      </c>
    </row>
    <row r="821" spans="1:8" x14ac:dyDescent="0.25">
      <c r="A821">
        <v>820</v>
      </c>
      <c r="B821" t="str">
        <f>Table2[[#This Row],[Propinsi]]&amp;"_"&amp;Table2[[#This Row],[Dati 2]]&amp;"_"&amp;Table2[[#This Row],[Tanggal]]</f>
        <v>JAWA TENGAH_WONOSOBO_44287</v>
      </c>
      <c r="C821" t="s">
        <v>5</v>
      </c>
      <c r="D821" t="s">
        <v>111</v>
      </c>
      <c r="E821">
        <v>4</v>
      </c>
      <c r="F821">
        <v>2021</v>
      </c>
      <c r="G821" s="1">
        <f>DATE(Table2[[#This Row],[Tahun]],Table2[[#This Row],[Bulan]],1)</f>
        <v>44287</v>
      </c>
      <c r="H821">
        <v>84</v>
      </c>
    </row>
    <row r="822" spans="1:8" x14ac:dyDescent="0.25">
      <c r="A822">
        <v>821</v>
      </c>
      <c r="B822" t="str">
        <f>Table2[[#This Row],[Propinsi]]&amp;"_"&amp;Table2[[#This Row],[Dati 2]]&amp;"_"&amp;Table2[[#This Row],[Tanggal]]</f>
        <v>JAWA TENGAH_WONOSOBO_44317</v>
      </c>
      <c r="C822" t="s">
        <v>5</v>
      </c>
      <c r="D822" t="s">
        <v>111</v>
      </c>
      <c r="E822">
        <v>5</v>
      </c>
      <c r="F822">
        <v>2021</v>
      </c>
      <c r="G822" s="1">
        <f>DATE(Table2[[#This Row],[Tahun]],Table2[[#This Row],[Bulan]],1)</f>
        <v>44317</v>
      </c>
      <c r="H822">
        <v>84</v>
      </c>
    </row>
    <row r="823" spans="1:8" x14ac:dyDescent="0.25">
      <c r="A823">
        <v>822</v>
      </c>
      <c r="B823" t="str">
        <f>Table2[[#This Row],[Propinsi]]&amp;"_"&amp;Table2[[#This Row],[Dati 2]]&amp;"_"&amp;Table2[[#This Row],[Tanggal]]</f>
        <v>JAWA TENGAH_WONOSOBO_44348</v>
      </c>
      <c r="C823" t="s">
        <v>5</v>
      </c>
      <c r="D823" t="s">
        <v>111</v>
      </c>
      <c r="E823">
        <v>6</v>
      </c>
      <c r="F823">
        <v>2021</v>
      </c>
      <c r="G823" s="1">
        <f>DATE(Table2[[#This Row],[Tahun]],Table2[[#This Row],[Bulan]],1)</f>
        <v>44348</v>
      </c>
      <c r="H823">
        <v>85</v>
      </c>
    </row>
    <row r="824" spans="1:8" x14ac:dyDescent="0.25">
      <c r="A824">
        <v>823</v>
      </c>
      <c r="B824" t="str">
        <f>Table2[[#This Row],[Propinsi]]&amp;"_"&amp;Table2[[#This Row],[Dati 2]]&amp;"_"&amp;Table2[[#This Row],[Tanggal]]</f>
        <v>JAWA TENGAH_WONOSOBO_44378</v>
      </c>
      <c r="C824" t="s">
        <v>5</v>
      </c>
      <c r="D824" t="s">
        <v>111</v>
      </c>
      <c r="E824">
        <v>7</v>
      </c>
      <c r="F824">
        <v>2021</v>
      </c>
      <c r="G824" s="1">
        <f>DATE(Table2[[#This Row],[Tahun]],Table2[[#This Row],[Bulan]],1)</f>
        <v>44378</v>
      </c>
      <c r="H824">
        <v>88</v>
      </c>
    </row>
    <row r="825" spans="1:8" x14ac:dyDescent="0.25">
      <c r="A825">
        <v>824</v>
      </c>
      <c r="B825" t="str">
        <f>Table2[[#This Row],[Propinsi]]&amp;"_"&amp;Table2[[#This Row],[Dati 2]]&amp;"_"&amp;Table2[[#This Row],[Tanggal]]</f>
        <v>JAWA TENGAH_WONOSOBO_44409</v>
      </c>
      <c r="C825" t="s">
        <v>5</v>
      </c>
      <c r="D825" t="s">
        <v>111</v>
      </c>
      <c r="E825">
        <v>8</v>
      </c>
      <c r="F825">
        <v>2021</v>
      </c>
      <c r="G825" s="1">
        <f>DATE(Table2[[#This Row],[Tahun]],Table2[[#This Row],[Bulan]],1)</f>
        <v>44409</v>
      </c>
      <c r="H825">
        <v>87</v>
      </c>
    </row>
    <row r="826" spans="1:8" x14ac:dyDescent="0.25">
      <c r="A826">
        <v>825</v>
      </c>
      <c r="B826" t="str">
        <f>Table2[[#This Row],[Propinsi]]&amp;"_"&amp;Table2[[#This Row],[Dati 2]]&amp;"_"&amp;Table2[[#This Row],[Tanggal]]</f>
        <v>JAWA TENGAH_WONOSOBO_44440</v>
      </c>
      <c r="C826" t="s">
        <v>5</v>
      </c>
      <c r="D826" t="s">
        <v>111</v>
      </c>
      <c r="E826">
        <v>9</v>
      </c>
      <c r="F826">
        <v>2021</v>
      </c>
      <c r="G826" s="1">
        <f>DATE(Table2[[#This Row],[Tahun]],Table2[[#This Row],[Bulan]],1)</f>
        <v>44440</v>
      </c>
      <c r="H826">
        <v>92</v>
      </c>
    </row>
    <row r="827" spans="1:8" x14ac:dyDescent="0.25">
      <c r="A827">
        <v>826</v>
      </c>
      <c r="B827" t="str">
        <f>Table2[[#This Row],[Propinsi]]&amp;"_"&amp;Table2[[#This Row],[Dati 2]]&amp;"_"&amp;Table2[[#This Row],[Tanggal]]</f>
        <v>JAWA TENGAH_WONOSOBO_44470</v>
      </c>
      <c r="C827" t="s">
        <v>5</v>
      </c>
      <c r="D827" t="s">
        <v>111</v>
      </c>
      <c r="E827">
        <v>10</v>
      </c>
      <c r="F827">
        <v>2021</v>
      </c>
      <c r="G827" s="1">
        <f>DATE(Table2[[#This Row],[Tahun]],Table2[[#This Row],[Bulan]],1)</f>
        <v>44470</v>
      </c>
      <c r="H827">
        <v>96</v>
      </c>
    </row>
    <row r="828" spans="1:8" x14ac:dyDescent="0.25">
      <c r="A828">
        <v>827</v>
      </c>
      <c r="B828" t="str">
        <f>Table2[[#This Row],[Propinsi]]&amp;"_"&amp;Table2[[#This Row],[Dati 2]]&amp;"_"&amp;Table2[[#This Row],[Tanggal]]</f>
        <v>JAWA TENGAH_WONOSOBO_44501</v>
      </c>
      <c r="C828" t="s">
        <v>5</v>
      </c>
      <c r="D828" t="s">
        <v>111</v>
      </c>
      <c r="E828">
        <v>11</v>
      </c>
      <c r="F828">
        <v>2021</v>
      </c>
      <c r="G828" s="1">
        <f>DATE(Table2[[#This Row],[Tahun]],Table2[[#This Row],[Bulan]],1)</f>
        <v>44501</v>
      </c>
      <c r="H828">
        <v>102</v>
      </c>
    </row>
    <row r="829" spans="1:8" x14ac:dyDescent="0.25">
      <c r="A829">
        <v>828</v>
      </c>
      <c r="B829" t="str">
        <f>Table2[[#This Row],[Propinsi]]&amp;"_"&amp;Table2[[#This Row],[Dati 2]]&amp;"_"&amp;Table2[[#This Row],[Tanggal]]</f>
        <v>JAWA TENGAH_WONOSOBO_44531</v>
      </c>
      <c r="C829" t="s">
        <v>5</v>
      </c>
      <c r="D829" t="s">
        <v>111</v>
      </c>
      <c r="E829">
        <v>12</v>
      </c>
      <c r="F829">
        <v>2021</v>
      </c>
      <c r="G829" s="1">
        <f>DATE(Table2[[#This Row],[Tahun]],Table2[[#This Row],[Bulan]],1)</f>
        <v>44531</v>
      </c>
      <c r="H829">
        <v>102</v>
      </c>
    </row>
    <row r="830" spans="1:8" x14ac:dyDescent="0.25">
      <c r="A830">
        <v>829</v>
      </c>
      <c r="B830" t="str">
        <f>Table2[[#This Row],[Propinsi]]&amp;"_"&amp;Table2[[#This Row],[Dati 2]]&amp;"_"&amp;Table2[[#This Row],[Tanggal]]</f>
        <v>JAWA TENGAH_SURAKARTA (SOLO)_44197</v>
      </c>
      <c r="C830" t="s">
        <v>5</v>
      </c>
      <c r="D830" t="s">
        <v>112</v>
      </c>
      <c r="E830">
        <v>1</v>
      </c>
      <c r="F830">
        <v>2021</v>
      </c>
      <c r="G830" s="1">
        <f>DATE(Table2[[#This Row],[Tahun]],Table2[[#This Row],[Bulan]],1)</f>
        <v>44197</v>
      </c>
      <c r="H830">
        <v>43</v>
      </c>
    </row>
    <row r="831" spans="1:8" x14ac:dyDescent="0.25">
      <c r="A831">
        <v>830</v>
      </c>
      <c r="B831" t="str">
        <f>Table2[[#This Row],[Propinsi]]&amp;"_"&amp;Table2[[#This Row],[Dati 2]]&amp;"_"&amp;Table2[[#This Row],[Tanggal]]</f>
        <v>JAWA TENGAH_SURAKARTA (SOLO)_44228</v>
      </c>
      <c r="C831" t="s">
        <v>5</v>
      </c>
      <c r="D831" t="s">
        <v>112</v>
      </c>
      <c r="E831">
        <v>2</v>
      </c>
      <c r="F831">
        <v>2021</v>
      </c>
      <c r="G831" s="1">
        <f>DATE(Table2[[#This Row],[Tahun]],Table2[[#This Row],[Bulan]],1)</f>
        <v>44228</v>
      </c>
      <c r="H831">
        <v>43</v>
      </c>
    </row>
    <row r="832" spans="1:8" x14ac:dyDescent="0.25">
      <c r="A832">
        <v>831</v>
      </c>
      <c r="B832" t="str">
        <f>Table2[[#This Row],[Propinsi]]&amp;"_"&amp;Table2[[#This Row],[Dati 2]]&amp;"_"&amp;Table2[[#This Row],[Tanggal]]</f>
        <v>JAWA TENGAH_SURAKARTA (SOLO)_44256</v>
      </c>
      <c r="C832" t="s">
        <v>5</v>
      </c>
      <c r="D832" t="s">
        <v>112</v>
      </c>
      <c r="E832">
        <v>3</v>
      </c>
      <c r="F832">
        <v>2021</v>
      </c>
      <c r="G832" s="1">
        <f>DATE(Table2[[#This Row],[Tahun]],Table2[[#This Row],[Bulan]],1)</f>
        <v>44256</v>
      </c>
      <c r="H832">
        <v>42</v>
      </c>
    </row>
    <row r="833" spans="1:8" x14ac:dyDescent="0.25">
      <c r="A833">
        <v>832</v>
      </c>
      <c r="B833" t="str">
        <f>Table2[[#This Row],[Propinsi]]&amp;"_"&amp;Table2[[#This Row],[Dati 2]]&amp;"_"&amp;Table2[[#This Row],[Tanggal]]</f>
        <v>JAWA TENGAH_SURAKARTA (SOLO)_44287</v>
      </c>
      <c r="C833" t="s">
        <v>5</v>
      </c>
      <c r="D833" t="s">
        <v>112</v>
      </c>
      <c r="E833">
        <v>4</v>
      </c>
      <c r="F833">
        <v>2021</v>
      </c>
      <c r="G833" s="1">
        <f>DATE(Table2[[#This Row],[Tahun]],Table2[[#This Row],[Bulan]],1)</f>
        <v>44287</v>
      </c>
      <c r="H833">
        <v>45</v>
      </c>
    </row>
    <row r="834" spans="1:8" x14ac:dyDescent="0.25">
      <c r="A834">
        <v>833</v>
      </c>
      <c r="B834" t="str">
        <f>Table2[[#This Row],[Propinsi]]&amp;"_"&amp;Table2[[#This Row],[Dati 2]]&amp;"_"&amp;Table2[[#This Row],[Tanggal]]</f>
        <v>JAWA TENGAH_SURAKARTA (SOLO)_44317</v>
      </c>
      <c r="C834" t="s">
        <v>5</v>
      </c>
      <c r="D834" t="s">
        <v>112</v>
      </c>
      <c r="E834">
        <v>5</v>
      </c>
      <c r="F834">
        <v>2021</v>
      </c>
      <c r="G834" s="1">
        <f>DATE(Table2[[#This Row],[Tahun]],Table2[[#This Row],[Bulan]],1)</f>
        <v>44317</v>
      </c>
      <c r="H834">
        <v>51</v>
      </c>
    </row>
    <row r="835" spans="1:8" x14ac:dyDescent="0.25">
      <c r="A835">
        <v>834</v>
      </c>
      <c r="B835" t="str">
        <f>Table2[[#This Row],[Propinsi]]&amp;"_"&amp;Table2[[#This Row],[Dati 2]]&amp;"_"&amp;Table2[[#This Row],[Tanggal]]</f>
        <v>JAWA TENGAH_SURAKARTA (SOLO)_44348</v>
      </c>
      <c r="C835" t="s">
        <v>5</v>
      </c>
      <c r="D835" t="s">
        <v>112</v>
      </c>
      <c r="E835">
        <v>6</v>
      </c>
      <c r="F835">
        <v>2021</v>
      </c>
      <c r="G835" s="1">
        <f>DATE(Table2[[#This Row],[Tahun]],Table2[[#This Row],[Bulan]],1)</f>
        <v>44348</v>
      </c>
      <c r="H835">
        <v>52</v>
      </c>
    </row>
    <row r="836" spans="1:8" x14ac:dyDescent="0.25">
      <c r="A836">
        <v>835</v>
      </c>
      <c r="B836" t="str">
        <f>Table2[[#This Row],[Propinsi]]&amp;"_"&amp;Table2[[#This Row],[Dati 2]]&amp;"_"&amp;Table2[[#This Row],[Tanggal]]</f>
        <v>JAWA TENGAH_SURAKARTA (SOLO)_44378</v>
      </c>
      <c r="C836" t="s">
        <v>5</v>
      </c>
      <c r="D836" t="s">
        <v>112</v>
      </c>
      <c r="E836">
        <v>7</v>
      </c>
      <c r="F836">
        <v>2021</v>
      </c>
      <c r="G836" s="1">
        <f>DATE(Table2[[#This Row],[Tahun]],Table2[[#This Row],[Bulan]],1)</f>
        <v>44378</v>
      </c>
      <c r="H836">
        <v>54</v>
      </c>
    </row>
    <row r="837" spans="1:8" x14ac:dyDescent="0.25">
      <c r="A837">
        <v>836</v>
      </c>
      <c r="B837" t="str">
        <f>Table2[[#This Row],[Propinsi]]&amp;"_"&amp;Table2[[#This Row],[Dati 2]]&amp;"_"&amp;Table2[[#This Row],[Tanggal]]</f>
        <v>JAWA TENGAH_SURAKARTA (SOLO)_44409</v>
      </c>
      <c r="C837" t="s">
        <v>5</v>
      </c>
      <c r="D837" t="s">
        <v>112</v>
      </c>
      <c r="E837">
        <v>8</v>
      </c>
      <c r="F837">
        <v>2021</v>
      </c>
      <c r="G837" s="1">
        <f>DATE(Table2[[#This Row],[Tahun]],Table2[[#This Row],[Bulan]],1)</f>
        <v>44409</v>
      </c>
      <c r="H837">
        <v>56</v>
      </c>
    </row>
    <row r="838" spans="1:8" x14ac:dyDescent="0.25">
      <c r="A838">
        <v>837</v>
      </c>
      <c r="B838" t="str">
        <f>Table2[[#This Row],[Propinsi]]&amp;"_"&amp;Table2[[#This Row],[Dati 2]]&amp;"_"&amp;Table2[[#This Row],[Tanggal]]</f>
        <v>JAWA TENGAH_SURAKARTA (SOLO)_44440</v>
      </c>
      <c r="C838" t="s">
        <v>5</v>
      </c>
      <c r="D838" t="s">
        <v>112</v>
      </c>
      <c r="E838">
        <v>9</v>
      </c>
      <c r="F838">
        <v>2021</v>
      </c>
      <c r="G838" s="1">
        <f>DATE(Table2[[#This Row],[Tahun]],Table2[[#This Row],[Bulan]],1)</f>
        <v>44440</v>
      </c>
      <c r="H838">
        <v>60</v>
      </c>
    </row>
    <row r="839" spans="1:8" x14ac:dyDescent="0.25">
      <c r="A839">
        <v>838</v>
      </c>
      <c r="B839" t="str">
        <f>Table2[[#This Row],[Propinsi]]&amp;"_"&amp;Table2[[#This Row],[Dati 2]]&amp;"_"&amp;Table2[[#This Row],[Tanggal]]</f>
        <v>JAWA TENGAH_SURAKARTA (SOLO)_44470</v>
      </c>
      <c r="C839" t="s">
        <v>5</v>
      </c>
      <c r="D839" t="s">
        <v>112</v>
      </c>
      <c r="E839">
        <v>10</v>
      </c>
      <c r="F839">
        <v>2021</v>
      </c>
      <c r="G839" s="1">
        <f>DATE(Table2[[#This Row],[Tahun]],Table2[[#This Row],[Bulan]],1)</f>
        <v>44470</v>
      </c>
      <c r="H839">
        <v>65</v>
      </c>
    </row>
    <row r="840" spans="1:8" x14ac:dyDescent="0.25">
      <c r="A840">
        <v>839</v>
      </c>
      <c r="B840" t="str">
        <f>Table2[[#This Row],[Propinsi]]&amp;"_"&amp;Table2[[#This Row],[Dati 2]]&amp;"_"&amp;Table2[[#This Row],[Tanggal]]</f>
        <v>JAWA TENGAH_SURAKARTA (SOLO)_44501</v>
      </c>
      <c r="C840" t="s">
        <v>5</v>
      </c>
      <c r="D840" t="s">
        <v>112</v>
      </c>
      <c r="E840">
        <v>11</v>
      </c>
      <c r="F840">
        <v>2021</v>
      </c>
      <c r="G840" s="1">
        <f>DATE(Table2[[#This Row],[Tahun]],Table2[[#This Row],[Bulan]],1)</f>
        <v>44501</v>
      </c>
      <c r="H840">
        <v>67</v>
      </c>
    </row>
    <row r="841" spans="1:8" x14ac:dyDescent="0.25">
      <c r="A841">
        <v>840</v>
      </c>
      <c r="B841" t="str">
        <f>Table2[[#This Row],[Propinsi]]&amp;"_"&amp;Table2[[#This Row],[Dati 2]]&amp;"_"&amp;Table2[[#This Row],[Tanggal]]</f>
        <v>JAWA TENGAH_SURAKARTA (SOLO)_44531</v>
      </c>
      <c r="C841" t="s">
        <v>5</v>
      </c>
      <c r="D841" t="s">
        <v>112</v>
      </c>
      <c r="E841">
        <v>12</v>
      </c>
      <c r="F841">
        <v>2021</v>
      </c>
      <c r="G841" s="1">
        <f>DATE(Table2[[#This Row],[Tahun]],Table2[[#This Row],[Bulan]],1)</f>
        <v>44531</v>
      </c>
      <c r="H841">
        <v>73</v>
      </c>
    </row>
    <row r="842" spans="1:8" x14ac:dyDescent="0.25">
      <c r="A842">
        <v>841</v>
      </c>
      <c r="B842" t="str">
        <f>Table2[[#This Row],[Propinsi]]&amp;"_"&amp;Table2[[#This Row],[Dati 2]]&amp;"_"&amp;Table2[[#This Row],[Tanggal]]</f>
        <v>JAWA TENGAH_SUKOHARJO_44197</v>
      </c>
      <c r="C842" t="s">
        <v>5</v>
      </c>
      <c r="D842" t="s">
        <v>113</v>
      </c>
      <c r="E842">
        <v>1</v>
      </c>
      <c r="F842">
        <v>2021</v>
      </c>
      <c r="G842" s="1">
        <f>DATE(Table2[[#This Row],[Tahun]],Table2[[#This Row],[Bulan]],1)</f>
        <v>44197</v>
      </c>
      <c r="H842">
        <v>9</v>
      </c>
    </row>
    <row r="843" spans="1:8" x14ac:dyDescent="0.25">
      <c r="A843">
        <v>842</v>
      </c>
      <c r="B843" t="str">
        <f>Table2[[#This Row],[Propinsi]]&amp;"_"&amp;Table2[[#This Row],[Dati 2]]&amp;"_"&amp;Table2[[#This Row],[Tanggal]]</f>
        <v>JAWA TENGAH_SUKOHARJO_44228</v>
      </c>
      <c r="C843" t="s">
        <v>5</v>
      </c>
      <c r="D843" t="s">
        <v>113</v>
      </c>
      <c r="E843">
        <v>2</v>
      </c>
      <c r="F843">
        <v>2021</v>
      </c>
      <c r="G843" s="1">
        <f>DATE(Table2[[#This Row],[Tahun]],Table2[[#This Row],[Bulan]],1)</f>
        <v>44228</v>
      </c>
      <c r="H843">
        <v>10</v>
      </c>
    </row>
    <row r="844" spans="1:8" x14ac:dyDescent="0.25">
      <c r="A844">
        <v>843</v>
      </c>
      <c r="B844" t="str">
        <f>Table2[[#This Row],[Propinsi]]&amp;"_"&amp;Table2[[#This Row],[Dati 2]]&amp;"_"&amp;Table2[[#This Row],[Tanggal]]</f>
        <v>JAWA TENGAH_SUKOHARJO_44256</v>
      </c>
      <c r="C844" t="s">
        <v>5</v>
      </c>
      <c r="D844" t="s">
        <v>113</v>
      </c>
      <c r="E844">
        <v>3</v>
      </c>
      <c r="F844">
        <v>2021</v>
      </c>
      <c r="G844" s="1">
        <f>DATE(Table2[[#This Row],[Tahun]],Table2[[#This Row],[Bulan]],1)</f>
        <v>44256</v>
      </c>
      <c r="H844">
        <v>8</v>
      </c>
    </row>
    <row r="845" spans="1:8" x14ac:dyDescent="0.25">
      <c r="A845">
        <v>844</v>
      </c>
      <c r="B845" t="str">
        <f>Table2[[#This Row],[Propinsi]]&amp;"_"&amp;Table2[[#This Row],[Dati 2]]&amp;"_"&amp;Table2[[#This Row],[Tanggal]]</f>
        <v>JAWA TENGAH_SUKOHARJO_44287</v>
      </c>
      <c r="C845" t="s">
        <v>5</v>
      </c>
      <c r="D845" t="s">
        <v>113</v>
      </c>
      <c r="E845">
        <v>4</v>
      </c>
      <c r="F845">
        <v>2021</v>
      </c>
      <c r="G845" s="1">
        <f>DATE(Table2[[#This Row],[Tahun]],Table2[[#This Row],[Bulan]],1)</f>
        <v>44287</v>
      </c>
      <c r="H845">
        <v>6</v>
      </c>
    </row>
    <row r="846" spans="1:8" x14ac:dyDescent="0.25">
      <c r="A846">
        <v>845</v>
      </c>
      <c r="B846" t="str">
        <f>Table2[[#This Row],[Propinsi]]&amp;"_"&amp;Table2[[#This Row],[Dati 2]]&amp;"_"&amp;Table2[[#This Row],[Tanggal]]</f>
        <v>JAWA TENGAH_SUKOHARJO_44317</v>
      </c>
      <c r="C846" t="s">
        <v>5</v>
      </c>
      <c r="D846" t="s">
        <v>113</v>
      </c>
      <c r="E846">
        <v>5</v>
      </c>
      <c r="F846">
        <v>2021</v>
      </c>
      <c r="G846" s="1">
        <f>DATE(Table2[[#This Row],[Tahun]],Table2[[#This Row],[Bulan]],1)</f>
        <v>44317</v>
      </c>
      <c r="H846">
        <v>8</v>
      </c>
    </row>
    <row r="847" spans="1:8" x14ac:dyDescent="0.25">
      <c r="A847">
        <v>846</v>
      </c>
      <c r="B847" t="str">
        <f>Table2[[#This Row],[Propinsi]]&amp;"_"&amp;Table2[[#This Row],[Dati 2]]&amp;"_"&amp;Table2[[#This Row],[Tanggal]]</f>
        <v>JAWA TENGAH_SUKOHARJO_44348</v>
      </c>
      <c r="C847" t="s">
        <v>5</v>
      </c>
      <c r="D847" t="s">
        <v>113</v>
      </c>
      <c r="E847">
        <v>6</v>
      </c>
      <c r="F847">
        <v>2021</v>
      </c>
      <c r="G847" s="1">
        <f>DATE(Table2[[#This Row],[Tahun]],Table2[[#This Row],[Bulan]],1)</f>
        <v>44348</v>
      </c>
      <c r="H847">
        <v>15</v>
      </c>
    </row>
    <row r="848" spans="1:8" x14ac:dyDescent="0.25">
      <c r="A848">
        <v>847</v>
      </c>
      <c r="B848" t="str">
        <f>Table2[[#This Row],[Propinsi]]&amp;"_"&amp;Table2[[#This Row],[Dati 2]]&amp;"_"&amp;Table2[[#This Row],[Tanggal]]</f>
        <v>JAWA TENGAH_SUKOHARJO_44378</v>
      </c>
      <c r="C848" t="s">
        <v>5</v>
      </c>
      <c r="D848" t="s">
        <v>113</v>
      </c>
      <c r="E848">
        <v>7</v>
      </c>
      <c r="F848">
        <v>2021</v>
      </c>
      <c r="G848" s="1">
        <f>DATE(Table2[[#This Row],[Tahun]],Table2[[#This Row],[Bulan]],1)</f>
        <v>44378</v>
      </c>
      <c r="H848">
        <v>16</v>
      </c>
    </row>
    <row r="849" spans="1:8" x14ac:dyDescent="0.25">
      <c r="A849">
        <v>848</v>
      </c>
      <c r="B849" t="str">
        <f>Table2[[#This Row],[Propinsi]]&amp;"_"&amp;Table2[[#This Row],[Dati 2]]&amp;"_"&amp;Table2[[#This Row],[Tanggal]]</f>
        <v>JAWA TENGAH_SUKOHARJO_44409</v>
      </c>
      <c r="C849" t="s">
        <v>5</v>
      </c>
      <c r="D849" t="s">
        <v>113</v>
      </c>
      <c r="E849">
        <v>8</v>
      </c>
      <c r="F849">
        <v>2021</v>
      </c>
      <c r="G849" s="1">
        <f>DATE(Table2[[#This Row],[Tahun]],Table2[[#This Row],[Bulan]],1)</f>
        <v>44409</v>
      </c>
      <c r="H849">
        <v>14</v>
      </c>
    </row>
    <row r="850" spans="1:8" x14ac:dyDescent="0.25">
      <c r="A850">
        <v>849</v>
      </c>
      <c r="B850" t="str">
        <f>Table2[[#This Row],[Propinsi]]&amp;"_"&amp;Table2[[#This Row],[Dati 2]]&amp;"_"&amp;Table2[[#This Row],[Tanggal]]</f>
        <v>JAWA TENGAH_SUKOHARJO_44440</v>
      </c>
      <c r="C850" t="s">
        <v>5</v>
      </c>
      <c r="D850" t="s">
        <v>113</v>
      </c>
      <c r="E850">
        <v>9</v>
      </c>
      <c r="F850">
        <v>2021</v>
      </c>
      <c r="G850" s="1">
        <f>DATE(Table2[[#This Row],[Tahun]],Table2[[#This Row],[Bulan]],1)</f>
        <v>44440</v>
      </c>
      <c r="H850">
        <v>14</v>
      </c>
    </row>
    <row r="851" spans="1:8" x14ac:dyDescent="0.25">
      <c r="A851">
        <v>850</v>
      </c>
      <c r="B851" t="str">
        <f>Table2[[#This Row],[Propinsi]]&amp;"_"&amp;Table2[[#This Row],[Dati 2]]&amp;"_"&amp;Table2[[#This Row],[Tanggal]]</f>
        <v>JAWA TENGAH_SUKOHARJO_44470</v>
      </c>
      <c r="C851" t="s">
        <v>5</v>
      </c>
      <c r="D851" t="s">
        <v>113</v>
      </c>
      <c r="E851">
        <v>10</v>
      </c>
      <c r="F851">
        <v>2021</v>
      </c>
      <c r="G851" s="1">
        <f>DATE(Table2[[#This Row],[Tahun]],Table2[[#This Row],[Bulan]],1)</f>
        <v>44470</v>
      </c>
      <c r="H851">
        <v>15</v>
      </c>
    </row>
    <row r="852" spans="1:8" x14ac:dyDescent="0.25">
      <c r="A852">
        <v>851</v>
      </c>
      <c r="B852" t="str">
        <f>Table2[[#This Row],[Propinsi]]&amp;"_"&amp;Table2[[#This Row],[Dati 2]]&amp;"_"&amp;Table2[[#This Row],[Tanggal]]</f>
        <v>JAWA TENGAH_SUKOHARJO_44501</v>
      </c>
      <c r="C852" t="s">
        <v>5</v>
      </c>
      <c r="D852" t="s">
        <v>113</v>
      </c>
      <c r="E852">
        <v>11</v>
      </c>
      <c r="F852">
        <v>2021</v>
      </c>
      <c r="G852" s="1">
        <f>DATE(Table2[[#This Row],[Tahun]],Table2[[#This Row],[Bulan]],1)</f>
        <v>44501</v>
      </c>
      <c r="H852">
        <v>16</v>
      </c>
    </row>
    <row r="853" spans="1:8" x14ac:dyDescent="0.25">
      <c r="A853">
        <v>852</v>
      </c>
      <c r="B853" t="str">
        <f>Table2[[#This Row],[Propinsi]]&amp;"_"&amp;Table2[[#This Row],[Dati 2]]&amp;"_"&amp;Table2[[#This Row],[Tanggal]]</f>
        <v>JAWA TENGAH_SUKOHARJO_44531</v>
      </c>
      <c r="C853" t="s">
        <v>5</v>
      </c>
      <c r="D853" t="s">
        <v>113</v>
      </c>
      <c r="E853">
        <v>12</v>
      </c>
      <c r="F853">
        <v>2021</v>
      </c>
      <c r="G853" s="1">
        <f>DATE(Table2[[#This Row],[Tahun]],Table2[[#This Row],[Bulan]],1)</f>
        <v>44531</v>
      </c>
      <c r="H853">
        <v>22</v>
      </c>
    </row>
    <row r="854" spans="1:8" x14ac:dyDescent="0.25">
      <c r="A854">
        <v>853</v>
      </c>
      <c r="B854" t="str">
        <f>Table2[[#This Row],[Propinsi]]&amp;"_"&amp;Table2[[#This Row],[Dati 2]]&amp;"_"&amp;Table2[[#This Row],[Tanggal]]</f>
        <v>JAWA TENGAH_KARANGANYAR_44197</v>
      </c>
      <c r="C854" t="s">
        <v>5</v>
      </c>
      <c r="D854" t="s">
        <v>114</v>
      </c>
      <c r="E854">
        <v>1</v>
      </c>
      <c r="F854">
        <v>2021</v>
      </c>
      <c r="G854" s="1">
        <f>DATE(Table2[[#This Row],[Tahun]],Table2[[#This Row],[Bulan]],1)</f>
        <v>44197</v>
      </c>
      <c r="H854">
        <v>28</v>
      </c>
    </row>
    <row r="855" spans="1:8" x14ac:dyDescent="0.25">
      <c r="A855">
        <v>854</v>
      </c>
      <c r="B855" t="str">
        <f>Table2[[#This Row],[Propinsi]]&amp;"_"&amp;Table2[[#This Row],[Dati 2]]&amp;"_"&amp;Table2[[#This Row],[Tanggal]]</f>
        <v>JAWA TENGAH_KARANGANYAR_44228</v>
      </c>
      <c r="C855" t="s">
        <v>5</v>
      </c>
      <c r="D855" t="s">
        <v>114</v>
      </c>
      <c r="E855">
        <v>2</v>
      </c>
      <c r="F855">
        <v>2021</v>
      </c>
      <c r="G855" s="1">
        <f>DATE(Table2[[#This Row],[Tahun]],Table2[[#This Row],[Bulan]],1)</f>
        <v>44228</v>
      </c>
      <c r="H855">
        <v>32</v>
      </c>
    </row>
    <row r="856" spans="1:8" x14ac:dyDescent="0.25">
      <c r="A856">
        <v>855</v>
      </c>
      <c r="B856" t="str">
        <f>Table2[[#This Row],[Propinsi]]&amp;"_"&amp;Table2[[#This Row],[Dati 2]]&amp;"_"&amp;Table2[[#This Row],[Tanggal]]</f>
        <v>JAWA TENGAH_KARANGANYAR_44256</v>
      </c>
      <c r="C856" t="s">
        <v>5</v>
      </c>
      <c r="D856" t="s">
        <v>114</v>
      </c>
      <c r="E856">
        <v>3</v>
      </c>
      <c r="F856">
        <v>2021</v>
      </c>
      <c r="G856" s="1">
        <f>DATE(Table2[[#This Row],[Tahun]],Table2[[#This Row],[Bulan]],1)</f>
        <v>44256</v>
      </c>
      <c r="H856">
        <v>32</v>
      </c>
    </row>
    <row r="857" spans="1:8" x14ac:dyDescent="0.25">
      <c r="A857">
        <v>856</v>
      </c>
      <c r="B857" t="str">
        <f>Table2[[#This Row],[Propinsi]]&amp;"_"&amp;Table2[[#This Row],[Dati 2]]&amp;"_"&amp;Table2[[#This Row],[Tanggal]]</f>
        <v>JAWA TENGAH_KARANGANYAR_44287</v>
      </c>
      <c r="C857" t="s">
        <v>5</v>
      </c>
      <c r="D857" t="s">
        <v>114</v>
      </c>
      <c r="E857">
        <v>4</v>
      </c>
      <c r="F857">
        <v>2021</v>
      </c>
      <c r="G857" s="1">
        <f>DATE(Table2[[#This Row],[Tahun]],Table2[[#This Row],[Bulan]],1)</f>
        <v>44287</v>
      </c>
      <c r="H857">
        <v>34</v>
      </c>
    </row>
    <row r="858" spans="1:8" x14ac:dyDescent="0.25">
      <c r="A858">
        <v>857</v>
      </c>
      <c r="B858" t="str">
        <f>Table2[[#This Row],[Propinsi]]&amp;"_"&amp;Table2[[#This Row],[Dati 2]]&amp;"_"&amp;Table2[[#This Row],[Tanggal]]</f>
        <v>JAWA TENGAH_KARANGANYAR_44317</v>
      </c>
      <c r="C858" t="s">
        <v>5</v>
      </c>
      <c r="D858" t="s">
        <v>114</v>
      </c>
      <c r="E858">
        <v>5</v>
      </c>
      <c r="F858">
        <v>2021</v>
      </c>
      <c r="G858" s="1">
        <f>DATE(Table2[[#This Row],[Tahun]],Table2[[#This Row],[Bulan]],1)</f>
        <v>44317</v>
      </c>
      <c r="H858">
        <v>36</v>
      </c>
    </row>
    <row r="859" spans="1:8" x14ac:dyDescent="0.25">
      <c r="A859">
        <v>858</v>
      </c>
      <c r="B859" t="str">
        <f>Table2[[#This Row],[Propinsi]]&amp;"_"&amp;Table2[[#This Row],[Dati 2]]&amp;"_"&amp;Table2[[#This Row],[Tanggal]]</f>
        <v>JAWA TENGAH_KARANGANYAR_44348</v>
      </c>
      <c r="C859" t="s">
        <v>5</v>
      </c>
      <c r="D859" t="s">
        <v>114</v>
      </c>
      <c r="E859">
        <v>6</v>
      </c>
      <c r="F859">
        <v>2021</v>
      </c>
      <c r="G859" s="1">
        <f>DATE(Table2[[#This Row],[Tahun]],Table2[[#This Row],[Bulan]],1)</f>
        <v>44348</v>
      </c>
      <c r="H859">
        <v>42</v>
      </c>
    </row>
    <row r="860" spans="1:8" x14ac:dyDescent="0.25">
      <c r="A860">
        <v>859</v>
      </c>
      <c r="B860" t="str">
        <f>Table2[[#This Row],[Propinsi]]&amp;"_"&amp;Table2[[#This Row],[Dati 2]]&amp;"_"&amp;Table2[[#This Row],[Tanggal]]</f>
        <v>JAWA TENGAH_KARANGANYAR_44378</v>
      </c>
      <c r="C860" t="s">
        <v>5</v>
      </c>
      <c r="D860" t="s">
        <v>114</v>
      </c>
      <c r="E860">
        <v>7</v>
      </c>
      <c r="F860">
        <v>2021</v>
      </c>
      <c r="G860" s="1">
        <f>DATE(Table2[[#This Row],[Tahun]],Table2[[#This Row],[Bulan]],1)</f>
        <v>44378</v>
      </c>
      <c r="H860">
        <v>44</v>
      </c>
    </row>
    <row r="861" spans="1:8" x14ac:dyDescent="0.25">
      <c r="A861">
        <v>860</v>
      </c>
      <c r="B861" t="str">
        <f>Table2[[#This Row],[Propinsi]]&amp;"_"&amp;Table2[[#This Row],[Dati 2]]&amp;"_"&amp;Table2[[#This Row],[Tanggal]]</f>
        <v>JAWA TENGAH_KARANGANYAR_44409</v>
      </c>
      <c r="C861" t="s">
        <v>5</v>
      </c>
      <c r="D861" t="s">
        <v>114</v>
      </c>
      <c r="E861">
        <v>8</v>
      </c>
      <c r="F861">
        <v>2021</v>
      </c>
      <c r="G861" s="1">
        <f>DATE(Table2[[#This Row],[Tahun]],Table2[[#This Row],[Bulan]],1)</f>
        <v>44409</v>
      </c>
      <c r="H861">
        <v>43</v>
      </c>
    </row>
    <row r="862" spans="1:8" x14ac:dyDescent="0.25">
      <c r="A862">
        <v>861</v>
      </c>
      <c r="B862" t="str">
        <f>Table2[[#This Row],[Propinsi]]&amp;"_"&amp;Table2[[#This Row],[Dati 2]]&amp;"_"&amp;Table2[[#This Row],[Tanggal]]</f>
        <v>JAWA TENGAH_KARANGANYAR_44440</v>
      </c>
      <c r="C862" t="s">
        <v>5</v>
      </c>
      <c r="D862" t="s">
        <v>114</v>
      </c>
      <c r="E862">
        <v>9</v>
      </c>
      <c r="F862">
        <v>2021</v>
      </c>
      <c r="G862" s="1">
        <f>DATE(Table2[[#This Row],[Tahun]],Table2[[#This Row],[Bulan]],1)</f>
        <v>44440</v>
      </c>
      <c r="H862">
        <v>42</v>
      </c>
    </row>
    <row r="863" spans="1:8" x14ac:dyDescent="0.25">
      <c r="A863">
        <v>862</v>
      </c>
      <c r="B863" t="str">
        <f>Table2[[#This Row],[Propinsi]]&amp;"_"&amp;Table2[[#This Row],[Dati 2]]&amp;"_"&amp;Table2[[#This Row],[Tanggal]]</f>
        <v>JAWA TENGAH_KARANGANYAR_44470</v>
      </c>
      <c r="C863" t="s">
        <v>5</v>
      </c>
      <c r="D863" t="s">
        <v>114</v>
      </c>
      <c r="E863">
        <v>10</v>
      </c>
      <c r="F863">
        <v>2021</v>
      </c>
      <c r="G863" s="1">
        <f>DATE(Table2[[#This Row],[Tahun]],Table2[[#This Row],[Bulan]],1)</f>
        <v>44470</v>
      </c>
      <c r="H863">
        <v>49</v>
      </c>
    </row>
    <row r="864" spans="1:8" x14ac:dyDescent="0.25">
      <c r="A864">
        <v>863</v>
      </c>
      <c r="B864" t="str">
        <f>Table2[[#This Row],[Propinsi]]&amp;"_"&amp;Table2[[#This Row],[Dati 2]]&amp;"_"&amp;Table2[[#This Row],[Tanggal]]</f>
        <v>JAWA TENGAH_KARANGANYAR_44501</v>
      </c>
      <c r="C864" t="s">
        <v>5</v>
      </c>
      <c r="D864" t="s">
        <v>114</v>
      </c>
      <c r="E864">
        <v>11</v>
      </c>
      <c r="F864">
        <v>2021</v>
      </c>
      <c r="G864" s="1">
        <f>DATE(Table2[[#This Row],[Tahun]],Table2[[#This Row],[Bulan]],1)</f>
        <v>44501</v>
      </c>
      <c r="H864">
        <v>53</v>
      </c>
    </row>
    <row r="865" spans="1:8" x14ac:dyDescent="0.25">
      <c r="A865">
        <v>864</v>
      </c>
      <c r="B865" t="str">
        <f>Table2[[#This Row],[Propinsi]]&amp;"_"&amp;Table2[[#This Row],[Dati 2]]&amp;"_"&amp;Table2[[#This Row],[Tanggal]]</f>
        <v>JAWA TENGAH_KARANGANYAR_44531</v>
      </c>
      <c r="C865" t="s">
        <v>5</v>
      </c>
      <c r="D865" t="s">
        <v>114</v>
      </c>
      <c r="E865">
        <v>12</v>
      </c>
      <c r="F865">
        <v>2021</v>
      </c>
      <c r="G865" s="1">
        <f>DATE(Table2[[#This Row],[Tahun]],Table2[[#This Row],[Bulan]],1)</f>
        <v>44531</v>
      </c>
      <c r="H865">
        <v>60</v>
      </c>
    </row>
    <row r="866" spans="1:8" x14ac:dyDescent="0.25">
      <c r="A866">
        <v>865</v>
      </c>
      <c r="B866" t="str">
        <f>Table2[[#This Row],[Propinsi]]&amp;"_"&amp;Table2[[#This Row],[Dati 2]]&amp;"_"&amp;Table2[[#This Row],[Tanggal]]</f>
        <v>JAWA TENGAH_SRAGEN_44197</v>
      </c>
      <c r="C866" t="s">
        <v>5</v>
      </c>
      <c r="D866" t="s">
        <v>115</v>
      </c>
      <c r="E866">
        <v>1</v>
      </c>
      <c r="F866">
        <v>2021</v>
      </c>
      <c r="G866" s="1">
        <f>DATE(Table2[[#This Row],[Tahun]],Table2[[#This Row],[Bulan]],1)</f>
        <v>44197</v>
      </c>
      <c r="H866">
        <v>19</v>
      </c>
    </row>
    <row r="867" spans="1:8" x14ac:dyDescent="0.25">
      <c r="A867">
        <v>866</v>
      </c>
      <c r="B867" t="str">
        <f>Table2[[#This Row],[Propinsi]]&amp;"_"&amp;Table2[[#This Row],[Dati 2]]&amp;"_"&amp;Table2[[#This Row],[Tanggal]]</f>
        <v>JAWA TENGAH_SRAGEN_44228</v>
      </c>
      <c r="C867" t="s">
        <v>5</v>
      </c>
      <c r="D867" t="s">
        <v>115</v>
      </c>
      <c r="E867">
        <v>2</v>
      </c>
      <c r="F867">
        <v>2021</v>
      </c>
      <c r="G867" s="1">
        <f>DATE(Table2[[#This Row],[Tahun]],Table2[[#This Row],[Bulan]],1)</f>
        <v>44228</v>
      </c>
      <c r="H867">
        <v>18</v>
      </c>
    </row>
    <row r="868" spans="1:8" x14ac:dyDescent="0.25">
      <c r="A868">
        <v>867</v>
      </c>
      <c r="B868" t="str">
        <f>Table2[[#This Row],[Propinsi]]&amp;"_"&amp;Table2[[#This Row],[Dati 2]]&amp;"_"&amp;Table2[[#This Row],[Tanggal]]</f>
        <v>JAWA TENGAH_SRAGEN_44256</v>
      </c>
      <c r="C868" t="s">
        <v>5</v>
      </c>
      <c r="D868" t="s">
        <v>115</v>
      </c>
      <c r="E868">
        <v>3</v>
      </c>
      <c r="F868">
        <v>2021</v>
      </c>
      <c r="G868" s="1">
        <f>DATE(Table2[[#This Row],[Tahun]],Table2[[#This Row],[Bulan]],1)</f>
        <v>44256</v>
      </c>
      <c r="H868">
        <v>23</v>
      </c>
    </row>
    <row r="869" spans="1:8" x14ac:dyDescent="0.25">
      <c r="A869">
        <v>868</v>
      </c>
      <c r="B869" t="str">
        <f>Table2[[#This Row],[Propinsi]]&amp;"_"&amp;Table2[[#This Row],[Dati 2]]&amp;"_"&amp;Table2[[#This Row],[Tanggal]]</f>
        <v>JAWA TENGAH_SRAGEN_44287</v>
      </c>
      <c r="C869" t="s">
        <v>5</v>
      </c>
      <c r="D869" t="s">
        <v>115</v>
      </c>
      <c r="E869">
        <v>4</v>
      </c>
      <c r="F869">
        <v>2021</v>
      </c>
      <c r="G869" s="1">
        <f>DATE(Table2[[#This Row],[Tahun]],Table2[[#This Row],[Bulan]],1)</f>
        <v>44287</v>
      </c>
      <c r="H869">
        <v>28</v>
      </c>
    </row>
    <row r="870" spans="1:8" x14ac:dyDescent="0.25">
      <c r="A870">
        <v>869</v>
      </c>
      <c r="B870" t="str">
        <f>Table2[[#This Row],[Propinsi]]&amp;"_"&amp;Table2[[#This Row],[Dati 2]]&amp;"_"&amp;Table2[[#This Row],[Tanggal]]</f>
        <v>JAWA TENGAH_SRAGEN_44317</v>
      </c>
      <c r="C870" t="s">
        <v>5</v>
      </c>
      <c r="D870" t="s">
        <v>115</v>
      </c>
      <c r="E870">
        <v>5</v>
      </c>
      <c r="F870">
        <v>2021</v>
      </c>
      <c r="G870" s="1">
        <f>DATE(Table2[[#This Row],[Tahun]],Table2[[#This Row],[Bulan]],1)</f>
        <v>44317</v>
      </c>
      <c r="H870">
        <v>28</v>
      </c>
    </row>
    <row r="871" spans="1:8" x14ac:dyDescent="0.25">
      <c r="A871">
        <v>870</v>
      </c>
      <c r="B871" t="str">
        <f>Table2[[#This Row],[Propinsi]]&amp;"_"&amp;Table2[[#This Row],[Dati 2]]&amp;"_"&amp;Table2[[#This Row],[Tanggal]]</f>
        <v>JAWA TENGAH_SRAGEN_44348</v>
      </c>
      <c r="C871" t="s">
        <v>5</v>
      </c>
      <c r="D871" t="s">
        <v>115</v>
      </c>
      <c r="E871">
        <v>6</v>
      </c>
      <c r="F871">
        <v>2021</v>
      </c>
      <c r="G871" s="1">
        <f>DATE(Table2[[#This Row],[Tahun]],Table2[[#This Row],[Bulan]],1)</f>
        <v>44348</v>
      </c>
      <c r="H871">
        <v>27</v>
      </c>
    </row>
    <row r="872" spans="1:8" x14ac:dyDescent="0.25">
      <c r="A872">
        <v>871</v>
      </c>
      <c r="B872" t="str">
        <f>Table2[[#This Row],[Propinsi]]&amp;"_"&amp;Table2[[#This Row],[Dati 2]]&amp;"_"&amp;Table2[[#This Row],[Tanggal]]</f>
        <v>JAWA TENGAH_SRAGEN_44378</v>
      </c>
      <c r="C872" t="s">
        <v>5</v>
      </c>
      <c r="D872" t="s">
        <v>115</v>
      </c>
      <c r="E872">
        <v>7</v>
      </c>
      <c r="F872">
        <v>2021</v>
      </c>
      <c r="G872" s="1">
        <f>DATE(Table2[[#This Row],[Tahun]],Table2[[#This Row],[Bulan]],1)</f>
        <v>44378</v>
      </c>
      <c r="H872">
        <v>33</v>
      </c>
    </row>
    <row r="873" spans="1:8" x14ac:dyDescent="0.25">
      <c r="A873">
        <v>872</v>
      </c>
      <c r="B873" t="str">
        <f>Table2[[#This Row],[Propinsi]]&amp;"_"&amp;Table2[[#This Row],[Dati 2]]&amp;"_"&amp;Table2[[#This Row],[Tanggal]]</f>
        <v>JAWA TENGAH_SRAGEN_44409</v>
      </c>
      <c r="C873" t="s">
        <v>5</v>
      </c>
      <c r="D873" t="s">
        <v>115</v>
      </c>
      <c r="E873">
        <v>8</v>
      </c>
      <c r="F873">
        <v>2021</v>
      </c>
      <c r="G873" s="1">
        <f>DATE(Table2[[#This Row],[Tahun]],Table2[[#This Row],[Bulan]],1)</f>
        <v>44409</v>
      </c>
      <c r="H873">
        <v>33</v>
      </c>
    </row>
    <row r="874" spans="1:8" x14ac:dyDescent="0.25">
      <c r="A874">
        <v>873</v>
      </c>
      <c r="B874" t="str">
        <f>Table2[[#This Row],[Propinsi]]&amp;"_"&amp;Table2[[#This Row],[Dati 2]]&amp;"_"&amp;Table2[[#This Row],[Tanggal]]</f>
        <v>JAWA TENGAH_SRAGEN_44440</v>
      </c>
      <c r="C874" t="s">
        <v>5</v>
      </c>
      <c r="D874" t="s">
        <v>115</v>
      </c>
      <c r="E874">
        <v>9</v>
      </c>
      <c r="F874">
        <v>2021</v>
      </c>
      <c r="G874" s="1">
        <f>DATE(Table2[[#This Row],[Tahun]],Table2[[#This Row],[Bulan]],1)</f>
        <v>44440</v>
      </c>
      <c r="H874">
        <v>35</v>
      </c>
    </row>
    <row r="875" spans="1:8" x14ac:dyDescent="0.25">
      <c r="A875">
        <v>874</v>
      </c>
      <c r="B875" t="str">
        <f>Table2[[#This Row],[Propinsi]]&amp;"_"&amp;Table2[[#This Row],[Dati 2]]&amp;"_"&amp;Table2[[#This Row],[Tanggal]]</f>
        <v>JAWA TENGAH_SRAGEN_44470</v>
      </c>
      <c r="C875" t="s">
        <v>5</v>
      </c>
      <c r="D875" t="s">
        <v>115</v>
      </c>
      <c r="E875">
        <v>10</v>
      </c>
      <c r="F875">
        <v>2021</v>
      </c>
      <c r="G875" s="1">
        <f>DATE(Table2[[#This Row],[Tahun]],Table2[[#This Row],[Bulan]],1)</f>
        <v>44470</v>
      </c>
      <c r="H875">
        <v>41</v>
      </c>
    </row>
    <row r="876" spans="1:8" x14ac:dyDescent="0.25">
      <c r="A876">
        <v>875</v>
      </c>
      <c r="B876" t="str">
        <f>Table2[[#This Row],[Propinsi]]&amp;"_"&amp;Table2[[#This Row],[Dati 2]]&amp;"_"&amp;Table2[[#This Row],[Tanggal]]</f>
        <v>JAWA TENGAH_SRAGEN_44501</v>
      </c>
      <c r="C876" t="s">
        <v>5</v>
      </c>
      <c r="D876" t="s">
        <v>115</v>
      </c>
      <c r="E876">
        <v>11</v>
      </c>
      <c r="F876">
        <v>2021</v>
      </c>
      <c r="G876" s="1">
        <f>DATE(Table2[[#This Row],[Tahun]],Table2[[#This Row],[Bulan]],1)</f>
        <v>44501</v>
      </c>
      <c r="H876">
        <v>41</v>
      </c>
    </row>
    <row r="877" spans="1:8" x14ac:dyDescent="0.25">
      <c r="A877">
        <v>876</v>
      </c>
      <c r="B877" t="str">
        <f>Table2[[#This Row],[Propinsi]]&amp;"_"&amp;Table2[[#This Row],[Dati 2]]&amp;"_"&amp;Table2[[#This Row],[Tanggal]]</f>
        <v>JAWA TENGAH_SRAGEN_44531</v>
      </c>
      <c r="C877" t="s">
        <v>5</v>
      </c>
      <c r="D877" t="s">
        <v>115</v>
      </c>
      <c r="E877">
        <v>12</v>
      </c>
      <c r="F877">
        <v>2021</v>
      </c>
      <c r="G877" s="1">
        <f>DATE(Table2[[#This Row],[Tahun]],Table2[[#This Row],[Bulan]],1)</f>
        <v>44531</v>
      </c>
      <c r="H877">
        <v>40</v>
      </c>
    </row>
    <row r="878" spans="1:8" x14ac:dyDescent="0.25">
      <c r="A878">
        <v>877</v>
      </c>
      <c r="B878" t="str">
        <f>Table2[[#This Row],[Propinsi]]&amp;"_"&amp;Table2[[#This Row],[Dati 2]]&amp;"_"&amp;Table2[[#This Row],[Tanggal]]</f>
        <v>JAWA TENGAH_BOYOLALI_44197</v>
      </c>
      <c r="C878" t="s">
        <v>5</v>
      </c>
      <c r="D878" t="s">
        <v>116</v>
      </c>
      <c r="E878">
        <v>1</v>
      </c>
      <c r="F878">
        <v>2021</v>
      </c>
      <c r="G878" s="1">
        <f>DATE(Table2[[#This Row],[Tahun]],Table2[[#This Row],[Bulan]],1)</f>
        <v>44197</v>
      </c>
      <c r="H878">
        <v>37</v>
      </c>
    </row>
    <row r="879" spans="1:8" x14ac:dyDescent="0.25">
      <c r="A879">
        <v>878</v>
      </c>
      <c r="B879" t="str">
        <f>Table2[[#This Row],[Propinsi]]&amp;"_"&amp;Table2[[#This Row],[Dati 2]]&amp;"_"&amp;Table2[[#This Row],[Tanggal]]</f>
        <v>JAWA TENGAH_BOYOLALI_44228</v>
      </c>
      <c r="C879" t="s">
        <v>5</v>
      </c>
      <c r="D879" t="s">
        <v>116</v>
      </c>
      <c r="E879">
        <v>2</v>
      </c>
      <c r="F879">
        <v>2021</v>
      </c>
      <c r="G879" s="1">
        <f>DATE(Table2[[#This Row],[Tahun]],Table2[[#This Row],[Bulan]],1)</f>
        <v>44228</v>
      </c>
      <c r="H879">
        <v>37</v>
      </c>
    </row>
    <row r="880" spans="1:8" x14ac:dyDescent="0.25">
      <c r="A880">
        <v>879</v>
      </c>
      <c r="B880" t="str">
        <f>Table2[[#This Row],[Propinsi]]&amp;"_"&amp;Table2[[#This Row],[Dati 2]]&amp;"_"&amp;Table2[[#This Row],[Tanggal]]</f>
        <v>JAWA TENGAH_BOYOLALI_44256</v>
      </c>
      <c r="C880" t="s">
        <v>5</v>
      </c>
      <c r="D880" t="s">
        <v>116</v>
      </c>
      <c r="E880">
        <v>3</v>
      </c>
      <c r="F880">
        <v>2021</v>
      </c>
      <c r="G880" s="1">
        <f>DATE(Table2[[#This Row],[Tahun]],Table2[[#This Row],[Bulan]],1)</f>
        <v>44256</v>
      </c>
      <c r="H880">
        <v>44</v>
      </c>
    </row>
    <row r="881" spans="1:8" x14ac:dyDescent="0.25">
      <c r="A881">
        <v>880</v>
      </c>
      <c r="B881" t="str">
        <f>Table2[[#This Row],[Propinsi]]&amp;"_"&amp;Table2[[#This Row],[Dati 2]]&amp;"_"&amp;Table2[[#This Row],[Tanggal]]</f>
        <v>JAWA TENGAH_BOYOLALI_44287</v>
      </c>
      <c r="C881" t="s">
        <v>5</v>
      </c>
      <c r="D881" t="s">
        <v>116</v>
      </c>
      <c r="E881">
        <v>4</v>
      </c>
      <c r="F881">
        <v>2021</v>
      </c>
      <c r="G881" s="1">
        <f>DATE(Table2[[#This Row],[Tahun]],Table2[[#This Row],[Bulan]],1)</f>
        <v>44287</v>
      </c>
      <c r="H881">
        <v>51</v>
      </c>
    </row>
    <row r="882" spans="1:8" x14ac:dyDescent="0.25">
      <c r="A882">
        <v>881</v>
      </c>
      <c r="B882" t="str">
        <f>Table2[[#This Row],[Propinsi]]&amp;"_"&amp;Table2[[#This Row],[Dati 2]]&amp;"_"&amp;Table2[[#This Row],[Tanggal]]</f>
        <v>JAWA TENGAH_BOYOLALI_44317</v>
      </c>
      <c r="C882" t="s">
        <v>5</v>
      </c>
      <c r="D882" t="s">
        <v>116</v>
      </c>
      <c r="E882">
        <v>5</v>
      </c>
      <c r="F882">
        <v>2021</v>
      </c>
      <c r="G882" s="1">
        <f>DATE(Table2[[#This Row],[Tahun]],Table2[[#This Row],[Bulan]],1)</f>
        <v>44317</v>
      </c>
      <c r="H882">
        <v>56</v>
      </c>
    </row>
    <row r="883" spans="1:8" x14ac:dyDescent="0.25">
      <c r="A883">
        <v>882</v>
      </c>
      <c r="B883" t="str">
        <f>Table2[[#This Row],[Propinsi]]&amp;"_"&amp;Table2[[#This Row],[Dati 2]]&amp;"_"&amp;Table2[[#This Row],[Tanggal]]</f>
        <v>JAWA TENGAH_BOYOLALI_44348</v>
      </c>
      <c r="C883" t="s">
        <v>5</v>
      </c>
      <c r="D883" t="s">
        <v>116</v>
      </c>
      <c r="E883">
        <v>6</v>
      </c>
      <c r="F883">
        <v>2021</v>
      </c>
      <c r="G883" s="1">
        <f>DATE(Table2[[#This Row],[Tahun]],Table2[[#This Row],[Bulan]],1)</f>
        <v>44348</v>
      </c>
      <c r="H883">
        <v>59</v>
      </c>
    </row>
    <row r="884" spans="1:8" x14ac:dyDescent="0.25">
      <c r="A884">
        <v>883</v>
      </c>
      <c r="B884" t="str">
        <f>Table2[[#This Row],[Propinsi]]&amp;"_"&amp;Table2[[#This Row],[Dati 2]]&amp;"_"&amp;Table2[[#This Row],[Tanggal]]</f>
        <v>JAWA TENGAH_BOYOLALI_44378</v>
      </c>
      <c r="C884" t="s">
        <v>5</v>
      </c>
      <c r="D884" t="s">
        <v>116</v>
      </c>
      <c r="E884">
        <v>7</v>
      </c>
      <c r="F884">
        <v>2021</v>
      </c>
      <c r="G884" s="1">
        <f>DATE(Table2[[#This Row],[Tahun]],Table2[[#This Row],[Bulan]],1)</f>
        <v>44378</v>
      </c>
      <c r="H884">
        <v>63</v>
      </c>
    </row>
    <row r="885" spans="1:8" x14ac:dyDescent="0.25">
      <c r="A885">
        <v>884</v>
      </c>
      <c r="B885" t="str">
        <f>Table2[[#This Row],[Propinsi]]&amp;"_"&amp;Table2[[#This Row],[Dati 2]]&amp;"_"&amp;Table2[[#This Row],[Tanggal]]</f>
        <v>JAWA TENGAH_BOYOLALI_44409</v>
      </c>
      <c r="C885" t="s">
        <v>5</v>
      </c>
      <c r="D885" t="s">
        <v>116</v>
      </c>
      <c r="E885">
        <v>8</v>
      </c>
      <c r="F885">
        <v>2021</v>
      </c>
      <c r="G885" s="1">
        <f>DATE(Table2[[#This Row],[Tahun]],Table2[[#This Row],[Bulan]],1)</f>
        <v>44409</v>
      </c>
      <c r="H885">
        <v>66</v>
      </c>
    </row>
    <row r="886" spans="1:8" x14ac:dyDescent="0.25">
      <c r="A886">
        <v>885</v>
      </c>
      <c r="B886" t="str">
        <f>Table2[[#This Row],[Propinsi]]&amp;"_"&amp;Table2[[#This Row],[Dati 2]]&amp;"_"&amp;Table2[[#This Row],[Tanggal]]</f>
        <v>JAWA TENGAH_BOYOLALI_44440</v>
      </c>
      <c r="C886" t="s">
        <v>5</v>
      </c>
      <c r="D886" t="s">
        <v>116</v>
      </c>
      <c r="E886">
        <v>9</v>
      </c>
      <c r="F886">
        <v>2021</v>
      </c>
      <c r="G886" s="1">
        <f>DATE(Table2[[#This Row],[Tahun]],Table2[[#This Row],[Bulan]],1)</f>
        <v>44440</v>
      </c>
      <c r="H886">
        <v>64</v>
      </c>
    </row>
    <row r="887" spans="1:8" x14ac:dyDescent="0.25">
      <c r="A887">
        <v>886</v>
      </c>
      <c r="B887" t="str">
        <f>Table2[[#This Row],[Propinsi]]&amp;"_"&amp;Table2[[#This Row],[Dati 2]]&amp;"_"&amp;Table2[[#This Row],[Tanggal]]</f>
        <v>JAWA TENGAH_BOYOLALI_44470</v>
      </c>
      <c r="C887" t="s">
        <v>5</v>
      </c>
      <c r="D887" t="s">
        <v>116</v>
      </c>
      <c r="E887">
        <v>10</v>
      </c>
      <c r="F887">
        <v>2021</v>
      </c>
      <c r="G887" s="1">
        <f>DATE(Table2[[#This Row],[Tahun]],Table2[[#This Row],[Bulan]],1)</f>
        <v>44470</v>
      </c>
      <c r="H887">
        <v>65</v>
      </c>
    </row>
    <row r="888" spans="1:8" x14ac:dyDescent="0.25">
      <c r="A888">
        <v>887</v>
      </c>
      <c r="B888" t="str">
        <f>Table2[[#This Row],[Propinsi]]&amp;"_"&amp;Table2[[#This Row],[Dati 2]]&amp;"_"&amp;Table2[[#This Row],[Tanggal]]</f>
        <v>JAWA TENGAH_BOYOLALI_44501</v>
      </c>
      <c r="C888" t="s">
        <v>5</v>
      </c>
      <c r="D888" t="s">
        <v>116</v>
      </c>
      <c r="E888">
        <v>11</v>
      </c>
      <c r="F888">
        <v>2021</v>
      </c>
      <c r="G888" s="1">
        <f>DATE(Table2[[#This Row],[Tahun]],Table2[[#This Row],[Bulan]],1)</f>
        <v>44501</v>
      </c>
      <c r="H888">
        <v>68</v>
      </c>
    </row>
    <row r="889" spans="1:8" x14ac:dyDescent="0.25">
      <c r="A889">
        <v>888</v>
      </c>
      <c r="B889" t="str">
        <f>Table2[[#This Row],[Propinsi]]&amp;"_"&amp;Table2[[#This Row],[Dati 2]]&amp;"_"&amp;Table2[[#This Row],[Tanggal]]</f>
        <v>JAWA TENGAH_BOYOLALI_44531</v>
      </c>
      <c r="C889" t="s">
        <v>5</v>
      </c>
      <c r="D889" t="s">
        <v>116</v>
      </c>
      <c r="E889">
        <v>12</v>
      </c>
      <c r="F889">
        <v>2021</v>
      </c>
      <c r="G889" s="1">
        <f>DATE(Table2[[#This Row],[Tahun]],Table2[[#This Row],[Bulan]],1)</f>
        <v>44531</v>
      </c>
      <c r="H889">
        <v>67</v>
      </c>
    </row>
    <row r="890" spans="1:8" x14ac:dyDescent="0.25">
      <c r="A890">
        <v>889</v>
      </c>
      <c r="B890" t="str">
        <f>Table2[[#This Row],[Propinsi]]&amp;"_"&amp;Table2[[#This Row],[Dati 2]]&amp;"_"&amp;Table2[[#This Row],[Tanggal]]</f>
        <v>JAWA TENGAH_KLATEN_44197</v>
      </c>
      <c r="C890" t="s">
        <v>5</v>
      </c>
      <c r="D890" t="s">
        <v>117</v>
      </c>
      <c r="E890">
        <v>1</v>
      </c>
      <c r="F890">
        <v>2021</v>
      </c>
      <c r="G890" s="1">
        <f>DATE(Table2[[#This Row],[Tahun]],Table2[[#This Row],[Bulan]],1)</f>
        <v>44197</v>
      </c>
      <c r="H890">
        <v>19</v>
      </c>
    </row>
    <row r="891" spans="1:8" x14ac:dyDescent="0.25">
      <c r="A891">
        <v>890</v>
      </c>
      <c r="B891" t="str">
        <f>Table2[[#This Row],[Propinsi]]&amp;"_"&amp;Table2[[#This Row],[Dati 2]]&amp;"_"&amp;Table2[[#This Row],[Tanggal]]</f>
        <v>JAWA TENGAH_KLATEN_44228</v>
      </c>
      <c r="C891" t="s">
        <v>5</v>
      </c>
      <c r="D891" t="s">
        <v>117</v>
      </c>
      <c r="E891">
        <v>2</v>
      </c>
      <c r="F891">
        <v>2021</v>
      </c>
      <c r="G891" s="1">
        <f>DATE(Table2[[#This Row],[Tahun]],Table2[[#This Row],[Bulan]],1)</f>
        <v>44228</v>
      </c>
      <c r="H891">
        <v>18</v>
      </c>
    </row>
    <row r="892" spans="1:8" x14ac:dyDescent="0.25">
      <c r="A892">
        <v>891</v>
      </c>
      <c r="B892" t="str">
        <f>Table2[[#This Row],[Propinsi]]&amp;"_"&amp;Table2[[#This Row],[Dati 2]]&amp;"_"&amp;Table2[[#This Row],[Tanggal]]</f>
        <v>JAWA TENGAH_KLATEN_44256</v>
      </c>
      <c r="C892" t="s">
        <v>5</v>
      </c>
      <c r="D892" t="s">
        <v>117</v>
      </c>
      <c r="E892">
        <v>3</v>
      </c>
      <c r="F892">
        <v>2021</v>
      </c>
      <c r="G892" s="1">
        <f>DATE(Table2[[#This Row],[Tahun]],Table2[[#This Row],[Bulan]],1)</f>
        <v>44256</v>
      </c>
      <c r="H892">
        <v>20</v>
      </c>
    </row>
    <row r="893" spans="1:8" x14ac:dyDescent="0.25">
      <c r="A893">
        <v>892</v>
      </c>
      <c r="B893" t="str">
        <f>Table2[[#This Row],[Propinsi]]&amp;"_"&amp;Table2[[#This Row],[Dati 2]]&amp;"_"&amp;Table2[[#This Row],[Tanggal]]</f>
        <v>JAWA TENGAH_KLATEN_44287</v>
      </c>
      <c r="C893" t="s">
        <v>5</v>
      </c>
      <c r="D893" t="s">
        <v>117</v>
      </c>
      <c r="E893">
        <v>4</v>
      </c>
      <c r="F893">
        <v>2021</v>
      </c>
      <c r="G893" s="1">
        <f>DATE(Table2[[#This Row],[Tahun]],Table2[[#This Row],[Bulan]],1)</f>
        <v>44287</v>
      </c>
      <c r="H893">
        <v>19</v>
      </c>
    </row>
    <row r="894" spans="1:8" x14ac:dyDescent="0.25">
      <c r="A894">
        <v>893</v>
      </c>
      <c r="B894" t="str">
        <f>Table2[[#This Row],[Propinsi]]&amp;"_"&amp;Table2[[#This Row],[Dati 2]]&amp;"_"&amp;Table2[[#This Row],[Tanggal]]</f>
        <v>JAWA TENGAH_KLATEN_44317</v>
      </c>
      <c r="C894" t="s">
        <v>5</v>
      </c>
      <c r="D894" t="s">
        <v>117</v>
      </c>
      <c r="E894">
        <v>5</v>
      </c>
      <c r="F894">
        <v>2021</v>
      </c>
      <c r="G894" s="1">
        <f>DATE(Table2[[#This Row],[Tahun]],Table2[[#This Row],[Bulan]],1)</f>
        <v>44317</v>
      </c>
      <c r="H894">
        <v>17</v>
      </c>
    </row>
    <row r="895" spans="1:8" x14ac:dyDescent="0.25">
      <c r="A895">
        <v>894</v>
      </c>
      <c r="B895" t="str">
        <f>Table2[[#This Row],[Propinsi]]&amp;"_"&amp;Table2[[#This Row],[Dati 2]]&amp;"_"&amp;Table2[[#This Row],[Tanggal]]</f>
        <v>JAWA TENGAH_KLATEN_44348</v>
      </c>
      <c r="C895" t="s">
        <v>5</v>
      </c>
      <c r="D895" t="s">
        <v>117</v>
      </c>
      <c r="E895">
        <v>6</v>
      </c>
      <c r="F895">
        <v>2021</v>
      </c>
      <c r="G895" s="1">
        <f>DATE(Table2[[#This Row],[Tahun]],Table2[[#This Row],[Bulan]],1)</f>
        <v>44348</v>
      </c>
      <c r="H895">
        <v>16</v>
      </c>
    </row>
    <row r="896" spans="1:8" x14ac:dyDescent="0.25">
      <c r="A896">
        <v>895</v>
      </c>
      <c r="B896" t="str">
        <f>Table2[[#This Row],[Propinsi]]&amp;"_"&amp;Table2[[#This Row],[Dati 2]]&amp;"_"&amp;Table2[[#This Row],[Tanggal]]</f>
        <v>JAWA TENGAH_KLATEN_44378</v>
      </c>
      <c r="C896" t="s">
        <v>5</v>
      </c>
      <c r="D896" t="s">
        <v>117</v>
      </c>
      <c r="E896">
        <v>7</v>
      </c>
      <c r="F896">
        <v>2021</v>
      </c>
      <c r="G896" s="1">
        <f>DATE(Table2[[#This Row],[Tahun]],Table2[[#This Row],[Bulan]],1)</f>
        <v>44378</v>
      </c>
      <c r="H896">
        <v>16</v>
      </c>
    </row>
    <row r="897" spans="1:8" x14ac:dyDescent="0.25">
      <c r="A897">
        <v>896</v>
      </c>
      <c r="B897" t="str">
        <f>Table2[[#This Row],[Propinsi]]&amp;"_"&amp;Table2[[#This Row],[Dati 2]]&amp;"_"&amp;Table2[[#This Row],[Tanggal]]</f>
        <v>JAWA TENGAH_KLATEN_44409</v>
      </c>
      <c r="C897" t="s">
        <v>5</v>
      </c>
      <c r="D897" t="s">
        <v>117</v>
      </c>
      <c r="E897">
        <v>8</v>
      </c>
      <c r="F897">
        <v>2021</v>
      </c>
      <c r="G897" s="1">
        <f>DATE(Table2[[#This Row],[Tahun]],Table2[[#This Row],[Bulan]],1)</f>
        <v>44409</v>
      </c>
      <c r="H897">
        <v>17</v>
      </c>
    </row>
    <row r="898" spans="1:8" x14ac:dyDescent="0.25">
      <c r="A898">
        <v>897</v>
      </c>
      <c r="B898" t="str">
        <f>Table2[[#This Row],[Propinsi]]&amp;"_"&amp;Table2[[#This Row],[Dati 2]]&amp;"_"&amp;Table2[[#This Row],[Tanggal]]</f>
        <v>JAWA TENGAH_KLATEN_44440</v>
      </c>
      <c r="C898" t="s">
        <v>5</v>
      </c>
      <c r="D898" t="s">
        <v>117</v>
      </c>
      <c r="E898">
        <v>9</v>
      </c>
      <c r="F898">
        <v>2021</v>
      </c>
      <c r="G898" s="1">
        <f>DATE(Table2[[#This Row],[Tahun]],Table2[[#This Row],[Bulan]],1)</f>
        <v>44440</v>
      </c>
      <c r="H898">
        <v>23</v>
      </c>
    </row>
    <row r="899" spans="1:8" x14ac:dyDescent="0.25">
      <c r="A899">
        <v>898</v>
      </c>
      <c r="B899" t="str">
        <f>Table2[[#This Row],[Propinsi]]&amp;"_"&amp;Table2[[#This Row],[Dati 2]]&amp;"_"&amp;Table2[[#This Row],[Tanggal]]</f>
        <v>JAWA TENGAH_KLATEN_44470</v>
      </c>
      <c r="C899" t="s">
        <v>5</v>
      </c>
      <c r="D899" t="s">
        <v>117</v>
      </c>
      <c r="E899">
        <v>10</v>
      </c>
      <c r="F899">
        <v>2021</v>
      </c>
      <c r="G899" s="1">
        <f>DATE(Table2[[#This Row],[Tahun]],Table2[[#This Row],[Bulan]],1)</f>
        <v>44470</v>
      </c>
      <c r="H899">
        <v>23</v>
      </c>
    </row>
    <row r="900" spans="1:8" x14ac:dyDescent="0.25">
      <c r="A900">
        <v>899</v>
      </c>
      <c r="B900" t="str">
        <f>Table2[[#This Row],[Propinsi]]&amp;"_"&amp;Table2[[#This Row],[Dati 2]]&amp;"_"&amp;Table2[[#This Row],[Tanggal]]</f>
        <v>JAWA TENGAH_KLATEN_44501</v>
      </c>
      <c r="C900" t="s">
        <v>5</v>
      </c>
      <c r="D900" t="s">
        <v>117</v>
      </c>
      <c r="E900">
        <v>11</v>
      </c>
      <c r="F900">
        <v>2021</v>
      </c>
      <c r="G900" s="1">
        <f>DATE(Table2[[#This Row],[Tahun]],Table2[[#This Row],[Bulan]],1)</f>
        <v>44501</v>
      </c>
      <c r="H900">
        <v>30</v>
      </c>
    </row>
    <row r="901" spans="1:8" x14ac:dyDescent="0.25">
      <c r="A901">
        <v>900</v>
      </c>
      <c r="B901" t="str">
        <f>Table2[[#This Row],[Propinsi]]&amp;"_"&amp;Table2[[#This Row],[Dati 2]]&amp;"_"&amp;Table2[[#This Row],[Tanggal]]</f>
        <v>JAWA TENGAH_KLATEN_44531</v>
      </c>
      <c r="C901" t="s">
        <v>5</v>
      </c>
      <c r="D901" t="s">
        <v>117</v>
      </c>
      <c r="E901">
        <v>12</v>
      </c>
      <c r="F901">
        <v>2021</v>
      </c>
      <c r="G901" s="1">
        <f>DATE(Table2[[#This Row],[Tahun]],Table2[[#This Row],[Bulan]],1)</f>
        <v>44531</v>
      </c>
      <c r="H901">
        <v>33</v>
      </c>
    </row>
    <row r="902" spans="1:8" x14ac:dyDescent="0.25">
      <c r="A902">
        <v>901</v>
      </c>
      <c r="B902" t="str">
        <f>Table2[[#This Row],[Propinsi]]&amp;"_"&amp;Table2[[#This Row],[Dati 2]]&amp;"_"&amp;Table2[[#This Row],[Tanggal]]</f>
        <v>JAWA TENGAH_WONOGIRI_44197</v>
      </c>
      <c r="C902" t="s">
        <v>5</v>
      </c>
      <c r="D902" t="s">
        <v>118</v>
      </c>
      <c r="E902">
        <v>1</v>
      </c>
      <c r="F902">
        <v>2021</v>
      </c>
      <c r="G902" s="1">
        <f>DATE(Table2[[#This Row],[Tahun]],Table2[[#This Row],[Bulan]],1)</f>
        <v>44197</v>
      </c>
      <c r="H902">
        <v>124</v>
      </c>
    </row>
    <row r="903" spans="1:8" x14ac:dyDescent="0.25">
      <c r="A903">
        <v>902</v>
      </c>
      <c r="B903" t="str">
        <f>Table2[[#This Row],[Propinsi]]&amp;"_"&amp;Table2[[#This Row],[Dati 2]]&amp;"_"&amp;Table2[[#This Row],[Tanggal]]</f>
        <v>JAWA TENGAH_WONOGIRI_44228</v>
      </c>
      <c r="C903" t="s">
        <v>5</v>
      </c>
      <c r="D903" t="s">
        <v>118</v>
      </c>
      <c r="E903">
        <v>2</v>
      </c>
      <c r="F903">
        <v>2021</v>
      </c>
      <c r="G903" s="1">
        <f>DATE(Table2[[#This Row],[Tahun]],Table2[[#This Row],[Bulan]],1)</f>
        <v>44228</v>
      </c>
      <c r="H903">
        <v>123</v>
      </c>
    </row>
    <row r="904" spans="1:8" x14ac:dyDescent="0.25">
      <c r="A904">
        <v>903</v>
      </c>
      <c r="B904" t="str">
        <f>Table2[[#This Row],[Propinsi]]&amp;"_"&amp;Table2[[#This Row],[Dati 2]]&amp;"_"&amp;Table2[[#This Row],[Tanggal]]</f>
        <v>JAWA TENGAH_WONOGIRI_44256</v>
      </c>
      <c r="C904" t="s">
        <v>5</v>
      </c>
      <c r="D904" t="s">
        <v>118</v>
      </c>
      <c r="E904">
        <v>3</v>
      </c>
      <c r="F904">
        <v>2021</v>
      </c>
      <c r="G904" s="1">
        <f>DATE(Table2[[#This Row],[Tahun]],Table2[[#This Row],[Bulan]],1)</f>
        <v>44256</v>
      </c>
      <c r="H904">
        <v>129</v>
      </c>
    </row>
    <row r="905" spans="1:8" x14ac:dyDescent="0.25">
      <c r="A905">
        <v>904</v>
      </c>
      <c r="B905" t="str">
        <f>Table2[[#This Row],[Propinsi]]&amp;"_"&amp;Table2[[#This Row],[Dati 2]]&amp;"_"&amp;Table2[[#This Row],[Tanggal]]</f>
        <v>JAWA TENGAH_WONOGIRI_44287</v>
      </c>
      <c r="C905" t="s">
        <v>5</v>
      </c>
      <c r="D905" t="s">
        <v>118</v>
      </c>
      <c r="E905">
        <v>4</v>
      </c>
      <c r="F905">
        <v>2021</v>
      </c>
      <c r="G905" s="1">
        <f>DATE(Table2[[#This Row],[Tahun]],Table2[[#This Row],[Bulan]],1)</f>
        <v>44287</v>
      </c>
      <c r="H905">
        <v>135</v>
      </c>
    </row>
    <row r="906" spans="1:8" x14ac:dyDescent="0.25">
      <c r="A906">
        <v>905</v>
      </c>
      <c r="B906" t="str">
        <f>Table2[[#This Row],[Propinsi]]&amp;"_"&amp;Table2[[#This Row],[Dati 2]]&amp;"_"&amp;Table2[[#This Row],[Tanggal]]</f>
        <v>JAWA TENGAH_WONOGIRI_44317</v>
      </c>
      <c r="C906" t="s">
        <v>5</v>
      </c>
      <c r="D906" t="s">
        <v>118</v>
      </c>
      <c r="E906">
        <v>5</v>
      </c>
      <c r="F906">
        <v>2021</v>
      </c>
      <c r="G906" s="1">
        <f>DATE(Table2[[#This Row],[Tahun]],Table2[[#This Row],[Bulan]],1)</f>
        <v>44317</v>
      </c>
      <c r="H906">
        <v>137</v>
      </c>
    </row>
    <row r="907" spans="1:8" x14ac:dyDescent="0.25">
      <c r="A907">
        <v>906</v>
      </c>
      <c r="B907" t="str">
        <f>Table2[[#This Row],[Propinsi]]&amp;"_"&amp;Table2[[#This Row],[Dati 2]]&amp;"_"&amp;Table2[[#This Row],[Tanggal]]</f>
        <v>JAWA TENGAH_WONOGIRI_44348</v>
      </c>
      <c r="C907" t="s">
        <v>5</v>
      </c>
      <c r="D907" t="s">
        <v>118</v>
      </c>
      <c r="E907">
        <v>6</v>
      </c>
      <c r="F907">
        <v>2021</v>
      </c>
      <c r="G907" s="1">
        <f>DATE(Table2[[#This Row],[Tahun]],Table2[[#This Row],[Bulan]],1)</f>
        <v>44348</v>
      </c>
      <c r="H907">
        <v>143</v>
      </c>
    </row>
    <row r="908" spans="1:8" x14ac:dyDescent="0.25">
      <c r="A908">
        <v>907</v>
      </c>
      <c r="B908" t="str">
        <f>Table2[[#This Row],[Propinsi]]&amp;"_"&amp;Table2[[#This Row],[Dati 2]]&amp;"_"&amp;Table2[[#This Row],[Tanggal]]</f>
        <v>JAWA TENGAH_WONOGIRI_44378</v>
      </c>
      <c r="C908" t="s">
        <v>5</v>
      </c>
      <c r="D908" t="s">
        <v>118</v>
      </c>
      <c r="E908">
        <v>7</v>
      </c>
      <c r="F908">
        <v>2021</v>
      </c>
      <c r="G908" s="1">
        <f>DATE(Table2[[#This Row],[Tahun]],Table2[[#This Row],[Bulan]],1)</f>
        <v>44378</v>
      </c>
      <c r="H908">
        <v>145</v>
      </c>
    </row>
    <row r="909" spans="1:8" x14ac:dyDescent="0.25">
      <c r="A909">
        <v>908</v>
      </c>
      <c r="B909" t="str">
        <f>Table2[[#This Row],[Propinsi]]&amp;"_"&amp;Table2[[#This Row],[Dati 2]]&amp;"_"&amp;Table2[[#This Row],[Tanggal]]</f>
        <v>JAWA TENGAH_WONOGIRI_44409</v>
      </c>
      <c r="C909" t="s">
        <v>5</v>
      </c>
      <c r="D909" t="s">
        <v>118</v>
      </c>
      <c r="E909">
        <v>8</v>
      </c>
      <c r="F909">
        <v>2021</v>
      </c>
      <c r="G909" s="1">
        <f>DATE(Table2[[#This Row],[Tahun]],Table2[[#This Row],[Bulan]],1)</f>
        <v>44409</v>
      </c>
      <c r="H909">
        <v>143</v>
      </c>
    </row>
    <row r="910" spans="1:8" x14ac:dyDescent="0.25">
      <c r="A910">
        <v>909</v>
      </c>
      <c r="B910" t="str">
        <f>Table2[[#This Row],[Propinsi]]&amp;"_"&amp;Table2[[#This Row],[Dati 2]]&amp;"_"&amp;Table2[[#This Row],[Tanggal]]</f>
        <v>JAWA TENGAH_WONOGIRI_44440</v>
      </c>
      <c r="C910" t="s">
        <v>5</v>
      </c>
      <c r="D910" t="s">
        <v>118</v>
      </c>
      <c r="E910">
        <v>9</v>
      </c>
      <c r="F910">
        <v>2021</v>
      </c>
      <c r="G910" s="1">
        <f>DATE(Table2[[#This Row],[Tahun]],Table2[[#This Row],[Bulan]],1)</f>
        <v>44440</v>
      </c>
      <c r="H910">
        <v>145</v>
      </c>
    </row>
    <row r="911" spans="1:8" x14ac:dyDescent="0.25">
      <c r="A911">
        <v>910</v>
      </c>
      <c r="B911" t="str">
        <f>Table2[[#This Row],[Propinsi]]&amp;"_"&amp;Table2[[#This Row],[Dati 2]]&amp;"_"&amp;Table2[[#This Row],[Tanggal]]</f>
        <v>JAWA TENGAH_WONOGIRI_44470</v>
      </c>
      <c r="C911" t="s">
        <v>5</v>
      </c>
      <c r="D911" t="s">
        <v>118</v>
      </c>
      <c r="E911">
        <v>10</v>
      </c>
      <c r="F911">
        <v>2021</v>
      </c>
      <c r="G911" s="1">
        <f>DATE(Table2[[#This Row],[Tahun]],Table2[[#This Row],[Bulan]],1)</f>
        <v>44470</v>
      </c>
      <c r="H911">
        <v>145</v>
      </c>
    </row>
    <row r="912" spans="1:8" x14ac:dyDescent="0.25">
      <c r="A912">
        <v>911</v>
      </c>
      <c r="B912" t="str">
        <f>Table2[[#This Row],[Propinsi]]&amp;"_"&amp;Table2[[#This Row],[Dati 2]]&amp;"_"&amp;Table2[[#This Row],[Tanggal]]</f>
        <v>JAWA TENGAH_WONOGIRI_44501</v>
      </c>
      <c r="C912" t="s">
        <v>5</v>
      </c>
      <c r="D912" t="s">
        <v>118</v>
      </c>
      <c r="E912">
        <v>11</v>
      </c>
      <c r="F912">
        <v>2021</v>
      </c>
      <c r="G912" s="1">
        <f>DATE(Table2[[#This Row],[Tahun]],Table2[[#This Row],[Bulan]],1)</f>
        <v>44501</v>
      </c>
      <c r="H912">
        <v>149</v>
      </c>
    </row>
    <row r="913" spans="1:8" x14ac:dyDescent="0.25">
      <c r="A913">
        <v>912</v>
      </c>
      <c r="B913" t="str">
        <f>Table2[[#This Row],[Propinsi]]&amp;"_"&amp;Table2[[#This Row],[Dati 2]]&amp;"_"&amp;Table2[[#This Row],[Tanggal]]</f>
        <v>JAWA TENGAH_WONOGIRI_44531</v>
      </c>
      <c r="C913" t="s">
        <v>5</v>
      </c>
      <c r="D913" t="s">
        <v>118</v>
      </c>
      <c r="E913">
        <v>12</v>
      </c>
      <c r="F913">
        <v>2021</v>
      </c>
      <c r="G913" s="1">
        <f>DATE(Table2[[#This Row],[Tahun]],Table2[[#This Row],[Bulan]],1)</f>
        <v>44531</v>
      </c>
      <c r="H913">
        <v>152</v>
      </c>
    </row>
    <row r="914" spans="1:8" x14ac:dyDescent="0.25">
      <c r="A914">
        <v>913</v>
      </c>
      <c r="B914" t="str">
        <f>Table2[[#This Row],[Propinsi]]&amp;"_"&amp;Table2[[#This Row],[Dati 2]]&amp;"_"&amp;Table2[[#This Row],[Tanggal]]</f>
        <v>JAWA TENGAH_GROBOGAN_44197</v>
      </c>
      <c r="C914" t="s">
        <v>5</v>
      </c>
      <c r="D914" t="s">
        <v>119</v>
      </c>
      <c r="E914">
        <v>1</v>
      </c>
      <c r="F914">
        <v>2021</v>
      </c>
      <c r="G914" s="1">
        <f>DATE(Table2[[#This Row],[Tahun]],Table2[[#This Row],[Bulan]],1)</f>
        <v>44197</v>
      </c>
      <c r="H914">
        <v>83</v>
      </c>
    </row>
    <row r="915" spans="1:8" x14ac:dyDescent="0.25">
      <c r="A915">
        <v>914</v>
      </c>
      <c r="B915" t="str">
        <f>Table2[[#This Row],[Propinsi]]&amp;"_"&amp;Table2[[#This Row],[Dati 2]]&amp;"_"&amp;Table2[[#This Row],[Tanggal]]</f>
        <v>JAWA TENGAH_GROBOGAN_44228</v>
      </c>
      <c r="C915" t="s">
        <v>5</v>
      </c>
      <c r="D915" t="s">
        <v>119</v>
      </c>
      <c r="E915">
        <v>2</v>
      </c>
      <c r="F915">
        <v>2021</v>
      </c>
      <c r="G915" s="1">
        <f>DATE(Table2[[#This Row],[Tahun]],Table2[[#This Row],[Bulan]],1)</f>
        <v>44228</v>
      </c>
      <c r="H915">
        <v>86</v>
      </c>
    </row>
    <row r="916" spans="1:8" x14ac:dyDescent="0.25">
      <c r="A916">
        <v>915</v>
      </c>
      <c r="B916" t="str">
        <f>Table2[[#This Row],[Propinsi]]&amp;"_"&amp;Table2[[#This Row],[Dati 2]]&amp;"_"&amp;Table2[[#This Row],[Tanggal]]</f>
        <v>JAWA TENGAH_GROBOGAN_44256</v>
      </c>
      <c r="C916" t="s">
        <v>5</v>
      </c>
      <c r="D916" t="s">
        <v>119</v>
      </c>
      <c r="E916">
        <v>3</v>
      </c>
      <c r="F916">
        <v>2021</v>
      </c>
      <c r="G916" s="1">
        <f>DATE(Table2[[#This Row],[Tahun]],Table2[[#This Row],[Bulan]],1)</f>
        <v>44256</v>
      </c>
      <c r="H916">
        <v>91</v>
      </c>
    </row>
    <row r="917" spans="1:8" x14ac:dyDescent="0.25">
      <c r="A917">
        <v>916</v>
      </c>
      <c r="B917" t="str">
        <f>Table2[[#This Row],[Propinsi]]&amp;"_"&amp;Table2[[#This Row],[Dati 2]]&amp;"_"&amp;Table2[[#This Row],[Tanggal]]</f>
        <v>JAWA TENGAH_GROBOGAN_44287</v>
      </c>
      <c r="C917" t="s">
        <v>5</v>
      </c>
      <c r="D917" t="s">
        <v>119</v>
      </c>
      <c r="E917">
        <v>4</v>
      </c>
      <c r="F917">
        <v>2021</v>
      </c>
      <c r="G917" s="1">
        <f>DATE(Table2[[#This Row],[Tahun]],Table2[[#This Row],[Bulan]],1)</f>
        <v>44287</v>
      </c>
      <c r="H917">
        <v>92</v>
      </c>
    </row>
    <row r="918" spans="1:8" x14ac:dyDescent="0.25">
      <c r="A918">
        <v>917</v>
      </c>
      <c r="B918" t="str">
        <f>Table2[[#This Row],[Propinsi]]&amp;"_"&amp;Table2[[#This Row],[Dati 2]]&amp;"_"&amp;Table2[[#This Row],[Tanggal]]</f>
        <v>JAWA TENGAH_GROBOGAN_44317</v>
      </c>
      <c r="C918" t="s">
        <v>5</v>
      </c>
      <c r="D918" t="s">
        <v>119</v>
      </c>
      <c r="E918">
        <v>5</v>
      </c>
      <c r="F918">
        <v>2021</v>
      </c>
      <c r="G918" s="1">
        <f>DATE(Table2[[#This Row],[Tahun]],Table2[[#This Row],[Bulan]],1)</f>
        <v>44317</v>
      </c>
      <c r="H918">
        <v>93</v>
      </c>
    </row>
    <row r="919" spans="1:8" x14ac:dyDescent="0.25">
      <c r="A919">
        <v>918</v>
      </c>
      <c r="B919" t="str">
        <f>Table2[[#This Row],[Propinsi]]&amp;"_"&amp;Table2[[#This Row],[Dati 2]]&amp;"_"&amp;Table2[[#This Row],[Tanggal]]</f>
        <v>JAWA TENGAH_GROBOGAN_44348</v>
      </c>
      <c r="C919" t="s">
        <v>5</v>
      </c>
      <c r="D919" t="s">
        <v>119</v>
      </c>
      <c r="E919">
        <v>6</v>
      </c>
      <c r="F919">
        <v>2021</v>
      </c>
      <c r="G919" s="1">
        <f>DATE(Table2[[#This Row],[Tahun]],Table2[[#This Row],[Bulan]],1)</f>
        <v>44348</v>
      </c>
      <c r="H919">
        <v>97</v>
      </c>
    </row>
    <row r="920" spans="1:8" x14ac:dyDescent="0.25">
      <c r="A920">
        <v>919</v>
      </c>
      <c r="B920" t="str">
        <f>Table2[[#This Row],[Propinsi]]&amp;"_"&amp;Table2[[#This Row],[Dati 2]]&amp;"_"&amp;Table2[[#This Row],[Tanggal]]</f>
        <v>JAWA TENGAH_GROBOGAN_44378</v>
      </c>
      <c r="C920" t="s">
        <v>5</v>
      </c>
      <c r="D920" t="s">
        <v>119</v>
      </c>
      <c r="E920">
        <v>7</v>
      </c>
      <c r="F920">
        <v>2021</v>
      </c>
      <c r="G920" s="1">
        <f>DATE(Table2[[#This Row],[Tahun]],Table2[[#This Row],[Bulan]],1)</f>
        <v>44378</v>
      </c>
      <c r="H920">
        <v>97</v>
      </c>
    </row>
    <row r="921" spans="1:8" x14ac:dyDescent="0.25">
      <c r="A921">
        <v>920</v>
      </c>
      <c r="B921" t="str">
        <f>Table2[[#This Row],[Propinsi]]&amp;"_"&amp;Table2[[#This Row],[Dati 2]]&amp;"_"&amp;Table2[[#This Row],[Tanggal]]</f>
        <v>JAWA TENGAH_GROBOGAN_44409</v>
      </c>
      <c r="C921" t="s">
        <v>5</v>
      </c>
      <c r="D921" t="s">
        <v>119</v>
      </c>
      <c r="E921">
        <v>8</v>
      </c>
      <c r="F921">
        <v>2021</v>
      </c>
      <c r="G921" s="1">
        <f>DATE(Table2[[#This Row],[Tahun]],Table2[[#This Row],[Bulan]],1)</f>
        <v>44409</v>
      </c>
      <c r="H921">
        <v>96</v>
      </c>
    </row>
    <row r="922" spans="1:8" x14ac:dyDescent="0.25">
      <c r="A922">
        <v>921</v>
      </c>
      <c r="B922" t="str">
        <f>Table2[[#This Row],[Propinsi]]&amp;"_"&amp;Table2[[#This Row],[Dati 2]]&amp;"_"&amp;Table2[[#This Row],[Tanggal]]</f>
        <v>JAWA TENGAH_GROBOGAN_44440</v>
      </c>
      <c r="C922" t="s">
        <v>5</v>
      </c>
      <c r="D922" t="s">
        <v>119</v>
      </c>
      <c r="E922">
        <v>9</v>
      </c>
      <c r="F922">
        <v>2021</v>
      </c>
      <c r="G922" s="1">
        <f>DATE(Table2[[#This Row],[Tahun]],Table2[[#This Row],[Bulan]],1)</f>
        <v>44440</v>
      </c>
      <c r="H922">
        <v>98</v>
      </c>
    </row>
    <row r="923" spans="1:8" x14ac:dyDescent="0.25">
      <c r="A923">
        <v>922</v>
      </c>
      <c r="B923" t="str">
        <f>Table2[[#This Row],[Propinsi]]&amp;"_"&amp;Table2[[#This Row],[Dati 2]]&amp;"_"&amp;Table2[[#This Row],[Tanggal]]</f>
        <v>JAWA TENGAH_GROBOGAN_44470</v>
      </c>
      <c r="C923" t="s">
        <v>5</v>
      </c>
      <c r="D923" t="s">
        <v>119</v>
      </c>
      <c r="E923">
        <v>10</v>
      </c>
      <c r="F923">
        <v>2021</v>
      </c>
      <c r="G923" s="1">
        <f>DATE(Table2[[#This Row],[Tahun]],Table2[[#This Row],[Bulan]],1)</f>
        <v>44470</v>
      </c>
      <c r="H923">
        <v>104</v>
      </c>
    </row>
    <row r="924" spans="1:8" x14ac:dyDescent="0.25">
      <c r="A924">
        <v>923</v>
      </c>
      <c r="B924" t="str">
        <f>Table2[[#This Row],[Propinsi]]&amp;"_"&amp;Table2[[#This Row],[Dati 2]]&amp;"_"&amp;Table2[[#This Row],[Tanggal]]</f>
        <v>JAWA TENGAH_GROBOGAN_44501</v>
      </c>
      <c r="C924" t="s">
        <v>5</v>
      </c>
      <c r="D924" t="s">
        <v>119</v>
      </c>
      <c r="E924">
        <v>11</v>
      </c>
      <c r="F924">
        <v>2021</v>
      </c>
      <c r="G924" s="1">
        <f>DATE(Table2[[#This Row],[Tahun]],Table2[[#This Row],[Bulan]],1)</f>
        <v>44501</v>
      </c>
      <c r="H924">
        <v>108</v>
      </c>
    </row>
    <row r="925" spans="1:8" x14ac:dyDescent="0.25">
      <c r="A925">
        <v>924</v>
      </c>
      <c r="B925" t="str">
        <f>Table2[[#This Row],[Propinsi]]&amp;"_"&amp;Table2[[#This Row],[Dati 2]]&amp;"_"&amp;Table2[[#This Row],[Tanggal]]</f>
        <v>JAWA TENGAH_GROBOGAN_44531</v>
      </c>
      <c r="C925" t="s">
        <v>5</v>
      </c>
      <c r="D925" t="s">
        <v>119</v>
      </c>
      <c r="E925">
        <v>12</v>
      </c>
      <c r="F925">
        <v>2021</v>
      </c>
      <c r="G925" s="1">
        <f>DATE(Table2[[#This Row],[Tahun]],Table2[[#This Row],[Bulan]],1)</f>
        <v>44531</v>
      </c>
      <c r="H925">
        <v>114</v>
      </c>
    </row>
    <row r="926" spans="1:8" x14ac:dyDescent="0.25">
      <c r="A926">
        <v>925</v>
      </c>
      <c r="B926" t="str">
        <f>Table2[[#This Row],[Propinsi]]&amp;"_"&amp;Table2[[#This Row],[Dati 2]]&amp;"_"&amp;Table2[[#This Row],[Tanggal]]</f>
        <v>JAWA TENGAH_BLORA_44197</v>
      </c>
      <c r="C926" t="s">
        <v>5</v>
      </c>
      <c r="D926" t="s">
        <v>120</v>
      </c>
      <c r="E926">
        <v>1</v>
      </c>
      <c r="F926">
        <v>2021</v>
      </c>
      <c r="G926" s="1">
        <f>DATE(Table2[[#This Row],[Tahun]],Table2[[#This Row],[Bulan]],1)</f>
        <v>44197</v>
      </c>
      <c r="H926">
        <v>46</v>
      </c>
    </row>
    <row r="927" spans="1:8" x14ac:dyDescent="0.25">
      <c r="A927">
        <v>926</v>
      </c>
      <c r="B927" t="str">
        <f>Table2[[#This Row],[Propinsi]]&amp;"_"&amp;Table2[[#This Row],[Dati 2]]&amp;"_"&amp;Table2[[#This Row],[Tanggal]]</f>
        <v>JAWA TENGAH_BLORA_44228</v>
      </c>
      <c r="C927" t="s">
        <v>5</v>
      </c>
      <c r="D927" t="s">
        <v>120</v>
      </c>
      <c r="E927">
        <v>2</v>
      </c>
      <c r="F927">
        <v>2021</v>
      </c>
      <c r="G927" s="1">
        <f>DATE(Table2[[#This Row],[Tahun]],Table2[[#This Row],[Bulan]],1)</f>
        <v>44228</v>
      </c>
      <c r="H927">
        <v>51</v>
      </c>
    </row>
    <row r="928" spans="1:8" x14ac:dyDescent="0.25">
      <c r="A928">
        <v>927</v>
      </c>
      <c r="B928" t="str">
        <f>Table2[[#This Row],[Propinsi]]&amp;"_"&amp;Table2[[#This Row],[Dati 2]]&amp;"_"&amp;Table2[[#This Row],[Tanggal]]</f>
        <v>JAWA TENGAH_BLORA_44256</v>
      </c>
      <c r="C928" t="s">
        <v>5</v>
      </c>
      <c r="D928" t="s">
        <v>120</v>
      </c>
      <c r="E928">
        <v>3</v>
      </c>
      <c r="F928">
        <v>2021</v>
      </c>
      <c r="G928" s="1">
        <f>DATE(Table2[[#This Row],[Tahun]],Table2[[#This Row],[Bulan]],1)</f>
        <v>44256</v>
      </c>
      <c r="H928">
        <v>50</v>
      </c>
    </row>
    <row r="929" spans="1:8" x14ac:dyDescent="0.25">
      <c r="A929">
        <v>928</v>
      </c>
      <c r="B929" t="str">
        <f>Table2[[#This Row],[Propinsi]]&amp;"_"&amp;Table2[[#This Row],[Dati 2]]&amp;"_"&amp;Table2[[#This Row],[Tanggal]]</f>
        <v>JAWA TENGAH_BLORA_44287</v>
      </c>
      <c r="C929" t="s">
        <v>5</v>
      </c>
      <c r="D929" t="s">
        <v>120</v>
      </c>
      <c r="E929">
        <v>4</v>
      </c>
      <c r="F929">
        <v>2021</v>
      </c>
      <c r="G929" s="1">
        <f>DATE(Table2[[#This Row],[Tahun]],Table2[[#This Row],[Bulan]],1)</f>
        <v>44287</v>
      </c>
      <c r="H929">
        <v>52</v>
      </c>
    </row>
    <row r="930" spans="1:8" x14ac:dyDescent="0.25">
      <c r="A930">
        <v>929</v>
      </c>
      <c r="B930" t="str">
        <f>Table2[[#This Row],[Propinsi]]&amp;"_"&amp;Table2[[#This Row],[Dati 2]]&amp;"_"&amp;Table2[[#This Row],[Tanggal]]</f>
        <v>JAWA TENGAH_BLORA_44317</v>
      </c>
      <c r="C930" t="s">
        <v>5</v>
      </c>
      <c r="D930" t="s">
        <v>120</v>
      </c>
      <c r="E930">
        <v>5</v>
      </c>
      <c r="F930">
        <v>2021</v>
      </c>
      <c r="G930" s="1">
        <f>DATE(Table2[[#This Row],[Tahun]],Table2[[#This Row],[Bulan]],1)</f>
        <v>44317</v>
      </c>
      <c r="H930">
        <v>51</v>
      </c>
    </row>
    <row r="931" spans="1:8" x14ac:dyDescent="0.25">
      <c r="A931">
        <v>930</v>
      </c>
      <c r="B931" t="str">
        <f>Table2[[#This Row],[Propinsi]]&amp;"_"&amp;Table2[[#This Row],[Dati 2]]&amp;"_"&amp;Table2[[#This Row],[Tanggal]]</f>
        <v>JAWA TENGAH_BLORA_44348</v>
      </c>
      <c r="C931" t="s">
        <v>5</v>
      </c>
      <c r="D931" t="s">
        <v>120</v>
      </c>
      <c r="E931">
        <v>6</v>
      </c>
      <c r="F931">
        <v>2021</v>
      </c>
      <c r="G931" s="1">
        <f>DATE(Table2[[#This Row],[Tahun]],Table2[[#This Row],[Bulan]],1)</f>
        <v>44348</v>
      </c>
      <c r="H931">
        <v>54</v>
      </c>
    </row>
    <row r="932" spans="1:8" x14ac:dyDescent="0.25">
      <c r="A932">
        <v>931</v>
      </c>
      <c r="B932" t="str">
        <f>Table2[[#This Row],[Propinsi]]&amp;"_"&amp;Table2[[#This Row],[Dati 2]]&amp;"_"&amp;Table2[[#This Row],[Tanggal]]</f>
        <v>JAWA TENGAH_BLORA_44378</v>
      </c>
      <c r="C932" t="s">
        <v>5</v>
      </c>
      <c r="D932" t="s">
        <v>120</v>
      </c>
      <c r="E932">
        <v>7</v>
      </c>
      <c r="F932">
        <v>2021</v>
      </c>
      <c r="G932" s="1">
        <f>DATE(Table2[[#This Row],[Tahun]],Table2[[#This Row],[Bulan]],1)</f>
        <v>44378</v>
      </c>
      <c r="H932">
        <v>57</v>
      </c>
    </row>
    <row r="933" spans="1:8" x14ac:dyDescent="0.25">
      <c r="A933">
        <v>932</v>
      </c>
      <c r="B933" t="str">
        <f>Table2[[#This Row],[Propinsi]]&amp;"_"&amp;Table2[[#This Row],[Dati 2]]&amp;"_"&amp;Table2[[#This Row],[Tanggal]]</f>
        <v>JAWA TENGAH_BLORA_44409</v>
      </c>
      <c r="C933" t="s">
        <v>5</v>
      </c>
      <c r="D933" t="s">
        <v>120</v>
      </c>
      <c r="E933">
        <v>8</v>
      </c>
      <c r="F933">
        <v>2021</v>
      </c>
      <c r="G933" s="1">
        <f>DATE(Table2[[#This Row],[Tahun]],Table2[[#This Row],[Bulan]],1)</f>
        <v>44409</v>
      </c>
      <c r="H933">
        <v>58</v>
      </c>
    </row>
    <row r="934" spans="1:8" x14ac:dyDescent="0.25">
      <c r="A934">
        <v>933</v>
      </c>
      <c r="B934" t="str">
        <f>Table2[[#This Row],[Propinsi]]&amp;"_"&amp;Table2[[#This Row],[Dati 2]]&amp;"_"&amp;Table2[[#This Row],[Tanggal]]</f>
        <v>JAWA TENGAH_BLORA_44440</v>
      </c>
      <c r="C934" t="s">
        <v>5</v>
      </c>
      <c r="D934" t="s">
        <v>120</v>
      </c>
      <c r="E934">
        <v>9</v>
      </c>
      <c r="F934">
        <v>2021</v>
      </c>
      <c r="G934" s="1">
        <f>DATE(Table2[[#This Row],[Tahun]],Table2[[#This Row],[Bulan]],1)</f>
        <v>44440</v>
      </c>
      <c r="H934">
        <v>60</v>
      </c>
    </row>
    <row r="935" spans="1:8" x14ac:dyDescent="0.25">
      <c r="A935">
        <v>934</v>
      </c>
      <c r="B935" t="str">
        <f>Table2[[#This Row],[Propinsi]]&amp;"_"&amp;Table2[[#This Row],[Dati 2]]&amp;"_"&amp;Table2[[#This Row],[Tanggal]]</f>
        <v>JAWA TENGAH_BLORA_44470</v>
      </c>
      <c r="C935" t="s">
        <v>5</v>
      </c>
      <c r="D935" t="s">
        <v>120</v>
      </c>
      <c r="E935">
        <v>10</v>
      </c>
      <c r="F935">
        <v>2021</v>
      </c>
      <c r="G935" s="1">
        <f>DATE(Table2[[#This Row],[Tahun]],Table2[[#This Row],[Bulan]],1)</f>
        <v>44470</v>
      </c>
      <c r="H935">
        <v>63</v>
      </c>
    </row>
    <row r="936" spans="1:8" x14ac:dyDescent="0.25">
      <c r="A936">
        <v>935</v>
      </c>
      <c r="B936" t="str">
        <f>Table2[[#This Row],[Propinsi]]&amp;"_"&amp;Table2[[#This Row],[Dati 2]]&amp;"_"&amp;Table2[[#This Row],[Tanggal]]</f>
        <v>JAWA TENGAH_BLORA_44501</v>
      </c>
      <c r="C936" t="s">
        <v>5</v>
      </c>
      <c r="D936" t="s">
        <v>120</v>
      </c>
      <c r="E936">
        <v>11</v>
      </c>
      <c r="F936">
        <v>2021</v>
      </c>
      <c r="G936" s="1">
        <f>DATE(Table2[[#This Row],[Tahun]],Table2[[#This Row],[Bulan]],1)</f>
        <v>44501</v>
      </c>
      <c r="H936">
        <v>67</v>
      </c>
    </row>
    <row r="937" spans="1:8" x14ac:dyDescent="0.25">
      <c r="A937">
        <v>936</v>
      </c>
      <c r="B937" t="str">
        <f>Table2[[#This Row],[Propinsi]]&amp;"_"&amp;Table2[[#This Row],[Dati 2]]&amp;"_"&amp;Table2[[#This Row],[Tanggal]]</f>
        <v>JAWA TENGAH_BLORA_44531</v>
      </c>
      <c r="C937" t="s">
        <v>5</v>
      </c>
      <c r="D937" t="s">
        <v>120</v>
      </c>
      <c r="E937">
        <v>12</v>
      </c>
      <c r="F937">
        <v>2021</v>
      </c>
      <c r="G937" s="1">
        <f>DATE(Table2[[#This Row],[Tahun]],Table2[[#This Row],[Bulan]],1)</f>
        <v>44531</v>
      </c>
      <c r="H937">
        <v>65</v>
      </c>
    </row>
    <row r="938" spans="1:8" x14ac:dyDescent="0.25">
      <c r="A938">
        <v>937</v>
      </c>
      <c r="B938" t="str">
        <f>Table2[[#This Row],[Propinsi]]&amp;"_"&amp;Table2[[#This Row],[Dati 2]]&amp;"_"&amp;Table2[[#This Row],[Tanggal]]</f>
        <v>JAWA TENGAH_PATI_44197</v>
      </c>
      <c r="C938" t="s">
        <v>5</v>
      </c>
      <c r="D938" t="s">
        <v>121</v>
      </c>
      <c r="E938">
        <v>1</v>
      </c>
      <c r="F938">
        <v>2021</v>
      </c>
      <c r="G938" s="1">
        <f>DATE(Table2[[#This Row],[Tahun]],Table2[[#This Row],[Bulan]],1)</f>
        <v>44197</v>
      </c>
      <c r="H938">
        <v>843</v>
      </c>
    </row>
    <row r="939" spans="1:8" x14ac:dyDescent="0.25">
      <c r="A939">
        <v>938</v>
      </c>
      <c r="B939" t="str">
        <f>Table2[[#This Row],[Propinsi]]&amp;"_"&amp;Table2[[#This Row],[Dati 2]]&amp;"_"&amp;Table2[[#This Row],[Tanggal]]</f>
        <v>JAWA TENGAH_PATI_44228</v>
      </c>
      <c r="C939" t="s">
        <v>5</v>
      </c>
      <c r="D939" t="s">
        <v>121</v>
      </c>
      <c r="E939">
        <v>2</v>
      </c>
      <c r="F939">
        <v>2021</v>
      </c>
      <c r="G939" s="1">
        <f>DATE(Table2[[#This Row],[Tahun]],Table2[[#This Row],[Bulan]],1)</f>
        <v>44228</v>
      </c>
      <c r="H939">
        <v>844</v>
      </c>
    </row>
    <row r="940" spans="1:8" x14ac:dyDescent="0.25">
      <c r="A940">
        <v>939</v>
      </c>
      <c r="B940" t="str">
        <f>Table2[[#This Row],[Propinsi]]&amp;"_"&amp;Table2[[#This Row],[Dati 2]]&amp;"_"&amp;Table2[[#This Row],[Tanggal]]</f>
        <v>JAWA TENGAH_PATI_44256</v>
      </c>
      <c r="C940" t="s">
        <v>5</v>
      </c>
      <c r="D940" t="s">
        <v>121</v>
      </c>
      <c r="E940">
        <v>3</v>
      </c>
      <c r="F940">
        <v>2021</v>
      </c>
      <c r="G940" s="1">
        <f>DATE(Table2[[#This Row],[Tahun]],Table2[[#This Row],[Bulan]],1)</f>
        <v>44256</v>
      </c>
      <c r="H940">
        <v>843</v>
      </c>
    </row>
    <row r="941" spans="1:8" x14ac:dyDescent="0.25">
      <c r="A941">
        <v>940</v>
      </c>
      <c r="B941" t="str">
        <f>Table2[[#This Row],[Propinsi]]&amp;"_"&amp;Table2[[#This Row],[Dati 2]]&amp;"_"&amp;Table2[[#This Row],[Tanggal]]</f>
        <v>JAWA TENGAH_PATI_44287</v>
      </c>
      <c r="C941" t="s">
        <v>5</v>
      </c>
      <c r="D941" t="s">
        <v>121</v>
      </c>
      <c r="E941">
        <v>4</v>
      </c>
      <c r="F941">
        <v>2021</v>
      </c>
      <c r="G941" s="1">
        <f>DATE(Table2[[#This Row],[Tahun]],Table2[[#This Row],[Bulan]],1)</f>
        <v>44287</v>
      </c>
      <c r="H941">
        <v>846</v>
      </c>
    </row>
    <row r="942" spans="1:8" x14ac:dyDescent="0.25">
      <c r="A942">
        <v>941</v>
      </c>
      <c r="B942" t="str">
        <f>Table2[[#This Row],[Propinsi]]&amp;"_"&amp;Table2[[#This Row],[Dati 2]]&amp;"_"&amp;Table2[[#This Row],[Tanggal]]</f>
        <v>JAWA TENGAH_PATI_44317</v>
      </c>
      <c r="C942" t="s">
        <v>5</v>
      </c>
      <c r="D942" t="s">
        <v>121</v>
      </c>
      <c r="E942">
        <v>5</v>
      </c>
      <c r="F942">
        <v>2021</v>
      </c>
      <c r="G942" s="1">
        <f>DATE(Table2[[#This Row],[Tahun]],Table2[[#This Row],[Bulan]],1)</f>
        <v>44317</v>
      </c>
      <c r="H942">
        <v>852</v>
      </c>
    </row>
    <row r="943" spans="1:8" x14ac:dyDescent="0.25">
      <c r="A943">
        <v>942</v>
      </c>
      <c r="B943" t="str">
        <f>Table2[[#This Row],[Propinsi]]&amp;"_"&amp;Table2[[#This Row],[Dati 2]]&amp;"_"&amp;Table2[[#This Row],[Tanggal]]</f>
        <v>JAWA TENGAH_PATI_44348</v>
      </c>
      <c r="C943" t="s">
        <v>5</v>
      </c>
      <c r="D943" t="s">
        <v>121</v>
      </c>
      <c r="E943">
        <v>6</v>
      </c>
      <c r="F943">
        <v>2021</v>
      </c>
      <c r="G943" s="1">
        <f>DATE(Table2[[#This Row],[Tahun]],Table2[[#This Row],[Bulan]],1)</f>
        <v>44348</v>
      </c>
      <c r="H943">
        <v>852</v>
      </c>
    </row>
    <row r="944" spans="1:8" x14ac:dyDescent="0.25">
      <c r="A944">
        <v>943</v>
      </c>
      <c r="B944" t="str">
        <f>Table2[[#This Row],[Propinsi]]&amp;"_"&amp;Table2[[#This Row],[Dati 2]]&amp;"_"&amp;Table2[[#This Row],[Tanggal]]</f>
        <v>JAWA TENGAH_PATI_44378</v>
      </c>
      <c r="C944" t="s">
        <v>5</v>
      </c>
      <c r="D944" t="s">
        <v>121</v>
      </c>
      <c r="E944">
        <v>7</v>
      </c>
      <c r="F944">
        <v>2021</v>
      </c>
      <c r="G944" s="1">
        <f>DATE(Table2[[#This Row],[Tahun]],Table2[[#This Row],[Bulan]],1)</f>
        <v>44378</v>
      </c>
      <c r="H944">
        <v>851</v>
      </c>
    </row>
    <row r="945" spans="1:8" x14ac:dyDescent="0.25">
      <c r="A945">
        <v>944</v>
      </c>
      <c r="B945" t="str">
        <f>Table2[[#This Row],[Propinsi]]&amp;"_"&amp;Table2[[#This Row],[Dati 2]]&amp;"_"&amp;Table2[[#This Row],[Tanggal]]</f>
        <v>JAWA TENGAH_PATI_44409</v>
      </c>
      <c r="C945" t="s">
        <v>5</v>
      </c>
      <c r="D945" t="s">
        <v>121</v>
      </c>
      <c r="E945">
        <v>8</v>
      </c>
      <c r="F945">
        <v>2021</v>
      </c>
      <c r="G945" s="1">
        <f>DATE(Table2[[#This Row],[Tahun]],Table2[[#This Row],[Bulan]],1)</f>
        <v>44409</v>
      </c>
      <c r="H945">
        <v>852</v>
      </c>
    </row>
    <row r="946" spans="1:8" x14ac:dyDescent="0.25">
      <c r="A946">
        <v>945</v>
      </c>
      <c r="B946" t="str">
        <f>Table2[[#This Row],[Propinsi]]&amp;"_"&amp;Table2[[#This Row],[Dati 2]]&amp;"_"&amp;Table2[[#This Row],[Tanggal]]</f>
        <v>JAWA TENGAH_PATI_44440</v>
      </c>
      <c r="C946" t="s">
        <v>5</v>
      </c>
      <c r="D946" t="s">
        <v>121</v>
      </c>
      <c r="E946">
        <v>9</v>
      </c>
      <c r="F946">
        <v>2021</v>
      </c>
      <c r="G946" s="1">
        <f>DATE(Table2[[#This Row],[Tahun]],Table2[[#This Row],[Bulan]],1)</f>
        <v>44440</v>
      </c>
      <c r="H946">
        <v>857</v>
      </c>
    </row>
    <row r="947" spans="1:8" x14ac:dyDescent="0.25">
      <c r="A947">
        <v>946</v>
      </c>
      <c r="B947" t="str">
        <f>Table2[[#This Row],[Propinsi]]&amp;"_"&amp;Table2[[#This Row],[Dati 2]]&amp;"_"&amp;Table2[[#This Row],[Tanggal]]</f>
        <v>JAWA TENGAH_PATI_44470</v>
      </c>
      <c r="C947" t="s">
        <v>5</v>
      </c>
      <c r="D947" t="s">
        <v>121</v>
      </c>
      <c r="E947">
        <v>10</v>
      </c>
      <c r="F947">
        <v>2021</v>
      </c>
      <c r="G947" s="1">
        <f>DATE(Table2[[#This Row],[Tahun]],Table2[[#This Row],[Bulan]],1)</f>
        <v>44470</v>
      </c>
      <c r="H947">
        <v>863</v>
      </c>
    </row>
    <row r="948" spans="1:8" x14ac:dyDescent="0.25">
      <c r="A948">
        <v>947</v>
      </c>
      <c r="B948" t="str">
        <f>Table2[[#This Row],[Propinsi]]&amp;"_"&amp;Table2[[#This Row],[Dati 2]]&amp;"_"&amp;Table2[[#This Row],[Tanggal]]</f>
        <v>JAWA TENGAH_PATI_44501</v>
      </c>
      <c r="C948" t="s">
        <v>5</v>
      </c>
      <c r="D948" t="s">
        <v>121</v>
      </c>
      <c r="E948">
        <v>11</v>
      </c>
      <c r="F948">
        <v>2021</v>
      </c>
      <c r="G948" s="1">
        <f>DATE(Table2[[#This Row],[Tahun]],Table2[[#This Row],[Bulan]],1)</f>
        <v>44501</v>
      </c>
      <c r="H948">
        <v>864</v>
      </c>
    </row>
    <row r="949" spans="1:8" x14ac:dyDescent="0.25">
      <c r="A949">
        <v>948</v>
      </c>
      <c r="B949" t="str">
        <f>Table2[[#This Row],[Propinsi]]&amp;"_"&amp;Table2[[#This Row],[Dati 2]]&amp;"_"&amp;Table2[[#This Row],[Tanggal]]</f>
        <v>JAWA TENGAH_PATI_44531</v>
      </c>
      <c r="C949" t="s">
        <v>5</v>
      </c>
      <c r="D949" t="s">
        <v>121</v>
      </c>
      <c r="E949">
        <v>12</v>
      </c>
      <c r="F949">
        <v>2021</v>
      </c>
      <c r="G949" s="1">
        <f>DATE(Table2[[#This Row],[Tahun]],Table2[[#This Row],[Bulan]],1)</f>
        <v>44531</v>
      </c>
      <c r="H949">
        <v>864</v>
      </c>
    </row>
    <row r="950" spans="1:8" x14ac:dyDescent="0.25">
      <c r="A950">
        <v>949</v>
      </c>
      <c r="B950" t="str">
        <f>Table2[[#This Row],[Propinsi]]&amp;"_"&amp;Table2[[#This Row],[Dati 2]]&amp;"_"&amp;Table2[[#This Row],[Tanggal]]</f>
        <v>JAWA TENGAH_REMBANG_44197</v>
      </c>
      <c r="C950" t="s">
        <v>5</v>
      </c>
      <c r="D950" t="s">
        <v>122</v>
      </c>
      <c r="E950">
        <v>1</v>
      </c>
      <c r="F950">
        <v>2021</v>
      </c>
      <c r="G950" s="1">
        <f>DATE(Table2[[#This Row],[Tahun]],Table2[[#This Row],[Bulan]],1)</f>
        <v>44197</v>
      </c>
      <c r="H950">
        <v>479</v>
      </c>
    </row>
    <row r="951" spans="1:8" x14ac:dyDescent="0.25">
      <c r="A951">
        <v>950</v>
      </c>
      <c r="B951" t="str">
        <f>Table2[[#This Row],[Propinsi]]&amp;"_"&amp;Table2[[#This Row],[Dati 2]]&amp;"_"&amp;Table2[[#This Row],[Tanggal]]</f>
        <v>JAWA TENGAH_REMBANG_44228</v>
      </c>
      <c r="C951" t="s">
        <v>5</v>
      </c>
      <c r="D951" t="s">
        <v>122</v>
      </c>
      <c r="E951">
        <v>2</v>
      </c>
      <c r="F951">
        <v>2021</v>
      </c>
      <c r="G951" s="1">
        <f>DATE(Table2[[#This Row],[Tahun]],Table2[[#This Row],[Bulan]],1)</f>
        <v>44228</v>
      </c>
      <c r="H951">
        <v>477</v>
      </c>
    </row>
    <row r="952" spans="1:8" x14ac:dyDescent="0.25">
      <c r="A952">
        <v>951</v>
      </c>
      <c r="B952" t="str">
        <f>Table2[[#This Row],[Propinsi]]&amp;"_"&amp;Table2[[#This Row],[Dati 2]]&amp;"_"&amp;Table2[[#This Row],[Tanggal]]</f>
        <v>JAWA TENGAH_REMBANG_44256</v>
      </c>
      <c r="C952" t="s">
        <v>5</v>
      </c>
      <c r="D952" t="s">
        <v>122</v>
      </c>
      <c r="E952">
        <v>3</v>
      </c>
      <c r="F952">
        <v>2021</v>
      </c>
      <c r="G952" s="1">
        <f>DATE(Table2[[#This Row],[Tahun]],Table2[[#This Row],[Bulan]],1)</f>
        <v>44256</v>
      </c>
      <c r="H952">
        <v>477</v>
      </c>
    </row>
    <row r="953" spans="1:8" x14ac:dyDescent="0.25">
      <c r="A953">
        <v>952</v>
      </c>
      <c r="B953" t="str">
        <f>Table2[[#This Row],[Propinsi]]&amp;"_"&amp;Table2[[#This Row],[Dati 2]]&amp;"_"&amp;Table2[[#This Row],[Tanggal]]</f>
        <v>JAWA TENGAH_REMBANG_44287</v>
      </c>
      <c r="C953" t="s">
        <v>5</v>
      </c>
      <c r="D953" t="s">
        <v>122</v>
      </c>
      <c r="E953">
        <v>4</v>
      </c>
      <c r="F953">
        <v>2021</v>
      </c>
      <c r="G953" s="1">
        <f>DATE(Table2[[#This Row],[Tahun]],Table2[[#This Row],[Bulan]],1)</f>
        <v>44287</v>
      </c>
      <c r="H953">
        <v>481</v>
      </c>
    </row>
    <row r="954" spans="1:8" x14ac:dyDescent="0.25">
      <c r="A954">
        <v>953</v>
      </c>
      <c r="B954" t="str">
        <f>Table2[[#This Row],[Propinsi]]&amp;"_"&amp;Table2[[#This Row],[Dati 2]]&amp;"_"&amp;Table2[[#This Row],[Tanggal]]</f>
        <v>JAWA TENGAH_REMBANG_44317</v>
      </c>
      <c r="C954" t="s">
        <v>5</v>
      </c>
      <c r="D954" t="s">
        <v>122</v>
      </c>
      <c r="E954">
        <v>5</v>
      </c>
      <c r="F954">
        <v>2021</v>
      </c>
      <c r="G954" s="1">
        <f>DATE(Table2[[#This Row],[Tahun]],Table2[[#This Row],[Bulan]],1)</f>
        <v>44317</v>
      </c>
      <c r="H954">
        <v>487</v>
      </c>
    </row>
    <row r="955" spans="1:8" x14ac:dyDescent="0.25">
      <c r="A955">
        <v>954</v>
      </c>
      <c r="B955" t="str">
        <f>Table2[[#This Row],[Propinsi]]&amp;"_"&amp;Table2[[#This Row],[Dati 2]]&amp;"_"&amp;Table2[[#This Row],[Tanggal]]</f>
        <v>JAWA TENGAH_REMBANG_44348</v>
      </c>
      <c r="C955" t="s">
        <v>5</v>
      </c>
      <c r="D955" t="s">
        <v>122</v>
      </c>
      <c r="E955">
        <v>6</v>
      </c>
      <c r="F955">
        <v>2021</v>
      </c>
      <c r="G955" s="1">
        <f>DATE(Table2[[#This Row],[Tahun]],Table2[[#This Row],[Bulan]],1)</f>
        <v>44348</v>
      </c>
      <c r="H955">
        <v>492</v>
      </c>
    </row>
    <row r="956" spans="1:8" x14ac:dyDescent="0.25">
      <c r="A956">
        <v>955</v>
      </c>
      <c r="B956" t="str">
        <f>Table2[[#This Row],[Propinsi]]&amp;"_"&amp;Table2[[#This Row],[Dati 2]]&amp;"_"&amp;Table2[[#This Row],[Tanggal]]</f>
        <v>JAWA TENGAH_REMBANG_44378</v>
      </c>
      <c r="C956" t="s">
        <v>5</v>
      </c>
      <c r="D956" t="s">
        <v>122</v>
      </c>
      <c r="E956">
        <v>7</v>
      </c>
      <c r="F956">
        <v>2021</v>
      </c>
      <c r="G956" s="1">
        <f>DATE(Table2[[#This Row],[Tahun]],Table2[[#This Row],[Bulan]],1)</f>
        <v>44378</v>
      </c>
      <c r="H956">
        <v>498</v>
      </c>
    </row>
    <row r="957" spans="1:8" x14ac:dyDescent="0.25">
      <c r="A957">
        <v>956</v>
      </c>
      <c r="B957" t="str">
        <f>Table2[[#This Row],[Propinsi]]&amp;"_"&amp;Table2[[#This Row],[Dati 2]]&amp;"_"&amp;Table2[[#This Row],[Tanggal]]</f>
        <v>JAWA TENGAH_REMBANG_44409</v>
      </c>
      <c r="C957" t="s">
        <v>5</v>
      </c>
      <c r="D957" t="s">
        <v>122</v>
      </c>
      <c r="E957">
        <v>8</v>
      </c>
      <c r="F957">
        <v>2021</v>
      </c>
      <c r="G957" s="1">
        <f>DATE(Table2[[#This Row],[Tahun]],Table2[[#This Row],[Bulan]],1)</f>
        <v>44409</v>
      </c>
      <c r="H957">
        <v>500</v>
      </c>
    </row>
    <row r="958" spans="1:8" x14ac:dyDescent="0.25">
      <c r="A958">
        <v>957</v>
      </c>
      <c r="B958" t="str">
        <f>Table2[[#This Row],[Propinsi]]&amp;"_"&amp;Table2[[#This Row],[Dati 2]]&amp;"_"&amp;Table2[[#This Row],[Tanggal]]</f>
        <v>JAWA TENGAH_REMBANG_44440</v>
      </c>
      <c r="C958" t="s">
        <v>5</v>
      </c>
      <c r="D958" t="s">
        <v>122</v>
      </c>
      <c r="E958">
        <v>9</v>
      </c>
      <c r="F958">
        <v>2021</v>
      </c>
      <c r="G958" s="1">
        <f>DATE(Table2[[#This Row],[Tahun]],Table2[[#This Row],[Bulan]],1)</f>
        <v>44440</v>
      </c>
      <c r="H958">
        <v>504</v>
      </c>
    </row>
    <row r="959" spans="1:8" x14ac:dyDescent="0.25">
      <c r="A959">
        <v>958</v>
      </c>
      <c r="B959" t="str">
        <f>Table2[[#This Row],[Propinsi]]&amp;"_"&amp;Table2[[#This Row],[Dati 2]]&amp;"_"&amp;Table2[[#This Row],[Tanggal]]</f>
        <v>JAWA TENGAH_REMBANG_44470</v>
      </c>
      <c r="C959" t="s">
        <v>5</v>
      </c>
      <c r="D959" t="s">
        <v>122</v>
      </c>
      <c r="E959">
        <v>10</v>
      </c>
      <c r="F959">
        <v>2021</v>
      </c>
      <c r="G959" s="1">
        <f>DATE(Table2[[#This Row],[Tahun]],Table2[[#This Row],[Bulan]],1)</f>
        <v>44470</v>
      </c>
      <c r="H959">
        <v>508</v>
      </c>
    </row>
    <row r="960" spans="1:8" x14ac:dyDescent="0.25">
      <c r="A960">
        <v>959</v>
      </c>
      <c r="B960" t="str">
        <f>Table2[[#This Row],[Propinsi]]&amp;"_"&amp;Table2[[#This Row],[Dati 2]]&amp;"_"&amp;Table2[[#This Row],[Tanggal]]</f>
        <v>JAWA TENGAH_REMBANG_44501</v>
      </c>
      <c r="C960" t="s">
        <v>5</v>
      </c>
      <c r="D960" t="s">
        <v>122</v>
      </c>
      <c r="E960">
        <v>11</v>
      </c>
      <c r="F960">
        <v>2021</v>
      </c>
      <c r="G960" s="1">
        <f>DATE(Table2[[#This Row],[Tahun]],Table2[[#This Row],[Bulan]],1)</f>
        <v>44501</v>
      </c>
      <c r="H960">
        <v>512</v>
      </c>
    </row>
    <row r="961" spans="1:8" x14ac:dyDescent="0.25">
      <c r="A961">
        <v>960</v>
      </c>
      <c r="B961" t="str">
        <f>Table2[[#This Row],[Propinsi]]&amp;"_"&amp;Table2[[#This Row],[Dati 2]]&amp;"_"&amp;Table2[[#This Row],[Tanggal]]</f>
        <v>JAWA TENGAH_REMBANG_44531</v>
      </c>
      <c r="C961" t="s">
        <v>5</v>
      </c>
      <c r="D961" t="s">
        <v>122</v>
      </c>
      <c r="E961">
        <v>12</v>
      </c>
      <c r="F961">
        <v>2021</v>
      </c>
      <c r="G961" s="1">
        <f>DATE(Table2[[#This Row],[Tahun]],Table2[[#This Row],[Bulan]],1)</f>
        <v>44531</v>
      </c>
      <c r="H961">
        <v>516</v>
      </c>
    </row>
    <row r="962" spans="1:8" x14ac:dyDescent="0.25">
      <c r="A962">
        <v>961</v>
      </c>
      <c r="B962" t="str">
        <f>Table2[[#This Row],[Propinsi]]&amp;"_"&amp;Table2[[#This Row],[Dati 2]]&amp;"_"&amp;Table2[[#This Row],[Tanggal]]</f>
        <v>JAWA TENGAH_KUDUS_44197</v>
      </c>
      <c r="C962" t="s">
        <v>5</v>
      </c>
      <c r="D962" t="s">
        <v>123</v>
      </c>
      <c r="E962">
        <v>1</v>
      </c>
      <c r="F962">
        <v>2021</v>
      </c>
      <c r="G962" s="1">
        <f>DATE(Table2[[#This Row],[Tahun]],Table2[[#This Row],[Bulan]],1)</f>
        <v>44197</v>
      </c>
      <c r="H962">
        <v>493</v>
      </c>
    </row>
    <row r="963" spans="1:8" x14ac:dyDescent="0.25">
      <c r="A963">
        <v>962</v>
      </c>
      <c r="B963" t="str">
        <f>Table2[[#This Row],[Propinsi]]&amp;"_"&amp;Table2[[#This Row],[Dati 2]]&amp;"_"&amp;Table2[[#This Row],[Tanggal]]</f>
        <v>JAWA TENGAH_KUDUS_44228</v>
      </c>
      <c r="C963" t="s">
        <v>5</v>
      </c>
      <c r="D963" t="s">
        <v>123</v>
      </c>
      <c r="E963">
        <v>2</v>
      </c>
      <c r="F963">
        <v>2021</v>
      </c>
      <c r="G963" s="1">
        <f>DATE(Table2[[#This Row],[Tahun]],Table2[[#This Row],[Bulan]],1)</f>
        <v>44228</v>
      </c>
      <c r="H963">
        <v>500</v>
      </c>
    </row>
    <row r="964" spans="1:8" x14ac:dyDescent="0.25">
      <c r="A964">
        <v>963</v>
      </c>
      <c r="B964" t="str">
        <f>Table2[[#This Row],[Propinsi]]&amp;"_"&amp;Table2[[#This Row],[Dati 2]]&amp;"_"&amp;Table2[[#This Row],[Tanggal]]</f>
        <v>JAWA TENGAH_KUDUS_44256</v>
      </c>
      <c r="C964" t="s">
        <v>5</v>
      </c>
      <c r="D964" t="s">
        <v>123</v>
      </c>
      <c r="E964">
        <v>3</v>
      </c>
      <c r="F964">
        <v>2021</v>
      </c>
      <c r="G964" s="1">
        <f>DATE(Table2[[#This Row],[Tahun]],Table2[[#This Row],[Bulan]],1)</f>
        <v>44256</v>
      </c>
      <c r="H964">
        <v>502</v>
      </c>
    </row>
    <row r="965" spans="1:8" x14ac:dyDescent="0.25">
      <c r="A965">
        <v>964</v>
      </c>
      <c r="B965" t="str">
        <f>Table2[[#This Row],[Propinsi]]&amp;"_"&amp;Table2[[#This Row],[Dati 2]]&amp;"_"&amp;Table2[[#This Row],[Tanggal]]</f>
        <v>JAWA TENGAH_KUDUS_44287</v>
      </c>
      <c r="C965" t="s">
        <v>5</v>
      </c>
      <c r="D965" t="s">
        <v>123</v>
      </c>
      <c r="E965">
        <v>4</v>
      </c>
      <c r="F965">
        <v>2021</v>
      </c>
      <c r="G965" s="1">
        <f>DATE(Table2[[#This Row],[Tahun]],Table2[[#This Row],[Bulan]],1)</f>
        <v>44287</v>
      </c>
      <c r="H965">
        <v>500</v>
      </c>
    </row>
    <row r="966" spans="1:8" x14ac:dyDescent="0.25">
      <c r="A966">
        <v>965</v>
      </c>
      <c r="B966" t="str">
        <f>Table2[[#This Row],[Propinsi]]&amp;"_"&amp;Table2[[#This Row],[Dati 2]]&amp;"_"&amp;Table2[[#This Row],[Tanggal]]</f>
        <v>JAWA TENGAH_KUDUS_44317</v>
      </c>
      <c r="C966" t="s">
        <v>5</v>
      </c>
      <c r="D966" t="s">
        <v>123</v>
      </c>
      <c r="E966">
        <v>5</v>
      </c>
      <c r="F966">
        <v>2021</v>
      </c>
      <c r="G966" s="1">
        <f>DATE(Table2[[#This Row],[Tahun]],Table2[[#This Row],[Bulan]],1)</f>
        <v>44317</v>
      </c>
      <c r="H966">
        <v>506</v>
      </c>
    </row>
    <row r="967" spans="1:8" x14ac:dyDescent="0.25">
      <c r="A967">
        <v>966</v>
      </c>
      <c r="B967" t="str">
        <f>Table2[[#This Row],[Propinsi]]&amp;"_"&amp;Table2[[#This Row],[Dati 2]]&amp;"_"&amp;Table2[[#This Row],[Tanggal]]</f>
        <v>JAWA TENGAH_KUDUS_44348</v>
      </c>
      <c r="C967" t="s">
        <v>5</v>
      </c>
      <c r="D967" t="s">
        <v>123</v>
      </c>
      <c r="E967">
        <v>6</v>
      </c>
      <c r="F967">
        <v>2021</v>
      </c>
      <c r="G967" s="1">
        <f>DATE(Table2[[#This Row],[Tahun]],Table2[[#This Row],[Bulan]],1)</f>
        <v>44348</v>
      </c>
      <c r="H967">
        <v>506</v>
      </c>
    </row>
    <row r="968" spans="1:8" x14ac:dyDescent="0.25">
      <c r="A968">
        <v>967</v>
      </c>
      <c r="B968" t="str">
        <f>Table2[[#This Row],[Propinsi]]&amp;"_"&amp;Table2[[#This Row],[Dati 2]]&amp;"_"&amp;Table2[[#This Row],[Tanggal]]</f>
        <v>JAWA TENGAH_KUDUS_44378</v>
      </c>
      <c r="C968" t="s">
        <v>5</v>
      </c>
      <c r="D968" t="s">
        <v>123</v>
      </c>
      <c r="E968">
        <v>7</v>
      </c>
      <c r="F968">
        <v>2021</v>
      </c>
      <c r="G968" s="1">
        <f>DATE(Table2[[#This Row],[Tahun]],Table2[[#This Row],[Bulan]],1)</f>
        <v>44378</v>
      </c>
      <c r="H968">
        <v>513</v>
      </c>
    </row>
    <row r="969" spans="1:8" x14ac:dyDescent="0.25">
      <c r="A969">
        <v>968</v>
      </c>
      <c r="B969" t="str">
        <f>Table2[[#This Row],[Propinsi]]&amp;"_"&amp;Table2[[#This Row],[Dati 2]]&amp;"_"&amp;Table2[[#This Row],[Tanggal]]</f>
        <v>JAWA TENGAH_KUDUS_44409</v>
      </c>
      <c r="C969" t="s">
        <v>5</v>
      </c>
      <c r="D969" t="s">
        <v>123</v>
      </c>
      <c r="E969">
        <v>8</v>
      </c>
      <c r="F969">
        <v>2021</v>
      </c>
      <c r="G969" s="1">
        <f>DATE(Table2[[#This Row],[Tahun]],Table2[[#This Row],[Bulan]],1)</f>
        <v>44409</v>
      </c>
      <c r="H969">
        <v>518</v>
      </c>
    </row>
    <row r="970" spans="1:8" x14ac:dyDescent="0.25">
      <c r="A970">
        <v>969</v>
      </c>
      <c r="B970" t="str">
        <f>Table2[[#This Row],[Propinsi]]&amp;"_"&amp;Table2[[#This Row],[Dati 2]]&amp;"_"&amp;Table2[[#This Row],[Tanggal]]</f>
        <v>JAWA TENGAH_KUDUS_44440</v>
      </c>
      <c r="C970" t="s">
        <v>5</v>
      </c>
      <c r="D970" t="s">
        <v>123</v>
      </c>
      <c r="E970">
        <v>9</v>
      </c>
      <c r="F970">
        <v>2021</v>
      </c>
      <c r="G970" s="1">
        <f>DATE(Table2[[#This Row],[Tahun]],Table2[[#This Row],[Bulan]],1)</f>
        <v>44440</v>
      </c>
      <c r="H970">
        <v>519</v>
      </c>
    </row>
    <row r="971" spans="1:8" x14ac:dyDescent="0.25">
      <c r="A971">
        <v>970</v>
      </c>
      <c r="B971" t="str">
        <f>Table2[[#This Row],[Propinsi]]&amp;"_"&amp;Table2[[#This Row],[Dati 2]]&amp;"_"&amp;Table2[[#This Row],[Tanggal]]</f>
        <v>JAWA TENGAH_KUDUS_44470</v>
      </c>
      <c r="C971" t="s">
        <v>5</v>
      </c>
      <c r="D971" t="s">
        <v>123</v>
      </c>
      <c r="E971">
        <v>10</v>
      </c>
      <c r="F971">
        <v>2021</v>
      </c>
      <c r="G971" s="1">
        <f>DATE(Table2[[#This Row],[Tahun]],Table2[[#This Row],[Bulan]],1)</f>
        <v>44470</v>
      </c>
      <c r="H971">
        <v>517</v>
      </c>
    </row>
    <row r="972" spans="1:8" x14ac:dyDescent="0.25">
      <c r="A972">
        <v>971</v>
      </c>
      <c r="B972" t="str">
        <f>Table2[[#This Row],[Propinsi]]&amp;"_"&amp;Table2[[#This Row],[Dati 2]]&amp;"_"&amp;Table2[[#This Row],[Tanggal]]</f>
        <v>JAWA TENGAH_KUDUS_44501</v>
      </c>
      <c r="C972" t="s">
        <v>5</v>
      </c>
      <c r="D972" t="s">
        <v>123</v>
      </c>
      <c r="E972">
        <v>11</v>
      </c>
      <c r="F972">
        <v>2021</v>
      </c>
      <c r="G972" s="1">
        <f>DATE(Table2[[#This Row],[Tahun]],Table2[[#This Row],[Bulan]],1)</f>
        <v>44501</v>
      </c>
      <c r="H972">
        <v>524</v>
      </c>
    </row>
    <row r="973" spans="1:8" x14ac:dyDescent="0.25">
      <c r="A973">
        <v>972</v>
      </c>
      <c r="B973" t="str">
        <f>Table2[[#This Row],[Propinsi]]&amp;"_"&amp;Table2[[#This Row],[Dati 2]]&amp;"_"&amp;Table2[[#This Row],[Tanggal]]</f>
        <v>JAWA TENGAH_KUDUS_44531</v>
      </c>
      <c r="C973" t="s">
        <v>5</v>
      </c>
      <c r="D973" t="s">
        <v>123</v>
      </c>
      <c r="E973">
        <v>12</v>
      </c>
      <c r="F973">
        <v>2021</v>
      </c>
      <c r="G973" s="1">
        <f>DATE(Table2[[#This Row],[Tahun]],Table2[[#This Row],[Bulan]],1)</f>
        <v>44531</v>
      </c>
      <c r="H973">
        <v>527</v>
      </c>
    </row>
    <row r="974" spans="1:8" x14ac:dyDescent="0.25">
      <c r="A974">
        <v>973</v>
      </c>
      <c r="B974" t="str">
        <f>Table2[[#This Row],[Propinsi]]&amp;"_"&amp;Table2[[#This Row],[Dati 2]]&amp;"_"&amp;Table2[[#This Row],[Tanggal]]</f>
        <v>JAWA TENGAH_JEPARA_44197</v>
      </c>
      <c r="C974" t="s">
        <v>5</v>
      </c>
      <c r="D974" t="s">
        <v>124</v>
      </c>
      <c r="E974">
        <v>1</v>
      </c>
      <c r="F974">
        <v>2021</v>
      </c>
      <c r="G974" s="1">
        <f>DATE(Table2[[#This Row],[Tahun]],Table2[[#This Row],[Bulan]],1)</f>
        <v>44197</v>
      </c>
      <c r="H974">
        <v>576</v>
      </c>
    </row>
    <row r="975" spans="1:8" x14ac:dyDescent="0.25">
      <c r="A975">
        <v>974</v>
      </c>
      <c r="B975" t="str">
        <f>Table2[[#This Row],[Propinsi]]&amp;"_"&amp;Table2[[#This Row],[Dati 2]]&amp;"_"&amp;Table2[[#This Row],[Tanggal]]</f>
        <v>JAWA TENGAH_JEPARA_44228</v>
      </c>
      <c r="C975" t="s">
        <v>5</v>
      </c>
      <c r="D975" t="s">
        <v>124</v>
      </c>
      <c r="E975">
        <v>2</v>
      </c>
      <c r="F975">
        <v>2021</v>
      </c>
      <c r="G975" s="1">
        <f>DATE(Table2[[#This Row],[Tahun]],Table2[[#This Row],[Bulan]],1)</f>
        <v>44228</v>
      </c>
      <c r="H975">
        <v>582</v>
      </c>
    </row>
    <row r="976" spans="1:8" x14ac:dyDescent="0.25">
      <c r="A976">
        <v>975</v>
      </c>
      <c r="B976" t="str">
        <f>Table2[[#This Row],[Propinsi]]&amp;"_"&amp;Table2[[#This Row],[Dati 2]]&amp;"_"&amp;Table2[[#This Row],[Tanggal]]</f>
        <v>JAWA TENGAH_JEPARA_44256</v>
      </c>
      <c r="C976" t="s">
        <v>5</v>
      </c>
      <c r="D976" t="s">
        <v>124</v>
      </c>
      <c r="E976">
        <v>3</v>
      </c>
      <c r="F976">
        <v>2021</v>
      </c>
      <c r="G976" s="1">
        <f>DATE(Table2[[#This Row],[Tahun]],Table2[[#This Row],[Bulan]],1)</f>
        <v>44256</v>
      </c>
      <c r="H976">
        <v>581</v>
      </c>
    </row>
    <row r="977" spans="1:8" x14ac:dyDescent="0.25">
      <c r="A977">
        <v>976</v>
      </c>
      <c r="B977" t="str">
        <f>Table2[[#This Row],[Propinsi]]&amp;"_"&amp;Table2[[#This Row],[Dati 2]]&amp;"_"&amp;Table2[[#This Row],[Tanggal]]</f>
        <v>JAWA TENGAH_JEPARA_44287</v>
      </c>
      <c r="C977" t="s">
        <v>5</v>
      </c>
      <c r="D977" t="s">
        <v>124</v>
      </c>
      <c r="E977">
        <v>4</v>
      </c>
      <c r="F977">
        <v>2021</v>
      </c>
      <c r="G977" s="1">
        <f>DATE(Table2[[#This Row],[Tahun]],Table2[[#This Row],[Bulan]],1)</f>
        <v>44287</v>
      </c>
      <c r="H977">
        <v>580</v>
      </c>
    </row>
    <row r="978" spans="1:8" x14ac:dyDescent="0.25">
      <c r="A978">
        <v>977</v>
      </c>
      <c r="B978" t="str">
        <f>Table2[[#This Row],[Propinsi]]&amp;"_"&amp;Table2[[#This Row],[Dati 2]]&amp;"_"&amp;Table2[[#This Row],[Tanggal]]</f>
        <v>JAWA TENGAH_JEPARA_44317</v>
      </c>
      <c r="C978" t="s">
        <v>5</v>
      </c>
      <c r="D978" t="s">
        <v>124</v>
      </c>
      <c r="E978">
        <v>5</v>
      </c>
      <c r="F978">
        <v>2021</v>
      </c>
      <c r="G978" s="1">
        <f>DATE(Table2[[#This Row],[Tahun]],Table2[[#This Row],[Bulan]],1)</f>
        <v>44317</v>
      </c>
      <c r="H978">
        <v>579</v>
      </c>
    </row>
    <row r="979" spans="1:8" x14ac:dyDescent="0.25">
      <c r="A979">
        <v>978</v>
      </c>
      <c r="B979" t="str">
        <f>Table2[[#This Row],[Propinsi]]&amp;"_"&amp;Table2[[#This Row],[Dati 2]]&amp;"_"&amp;Table2[[#This Row],[Tanggal]]</f>
        <v>JAWA TENGAH_JEPARA_44348</v>
      </c>
      <c r="C979" t="s">
        <v>5</v>
      </c>
      <c r="D979" t="s">
        <v>124</v>
      </c>
      <c r="E979">
        <v>6</v>
      </c>
      <c r="F979">
        <v>2021</v>
      </c>
      <c r="G979" s="1">
        <f>DATE(Table2[[#This Row],[Tahun]],Table2[[#This Row],[Bulan]],1)</f>
        <v>44348</v>
      </c>
      <c r="H979">
        <v>580</v>
      </c>
    </row>
    <row r="980" spans="1:8" x14ac:dyDescent="0.25">
      <c r="A980">
        <v>979</v>
      </c>
      <c r="B980" t="str">
        <f>Table2[[#This Row],[Propinsi]]&amp;"_"&amp;Table2[[#This Row],[Dati 2]]&amp;"_"&amp;Table2[[#This Row],[Tanggal]]</f>
        <v>JAWA TENGAH_JEPARA_44378</v>
      </c>
      <c r="C980" t="s">
        <v>5</v>
      </c>
      <c r="D980" t="s">
        <v>124</v>
      </c>
      <c r="E980">
        <v>7</v>
      </c>
      <c r="F980">
        <v>2021</v>
      </c>
      <c r="G980" s="1">
        <f>DATE(Table2[[#This Row],[Tahun]],Table2[[#This Row],[Bulan]],1)</f>
        <v>44378</v>
      </c>
      <c r="H980">
        <v>584</v>
      </c>
    </row>
    <row r="981" spans="1:8" x14ac:dyDescent="0.25">
      <c r="A981">
        <v>980</v>
      </c>
      <c r="B981" t="str">
        <f>Table2[[#This Row],[Propinsi]]&amp;"_"&amp;Table2[[#This Row],[Dati 2]]&amp;"_"&amp;Table2[[#This Row],[Tanggal]]</f>
        <v>JAWA TENGAH_JEPARA_44409</v>
      </c>
      <c r="C981" t="s">
        <v>5</v>
      </c>
      <c r="D981" t="s">
        <v>124</v>
      </c>
      <c r="E981">
        <v>8</v>
      </c>
      <c r="F981">
        <v>2021</v>
      </c>
      <c r="G981" s="1">
        <f>DATE(Table2[[#This Row],[Tahun]],Table2[[#This Row],[Bulan]],1)</f>
        <v>44409</v>
      </c>
      <c r="H981">
        <v>586</v>
      </c>
    </row>
    <row r="982" spans="1:8" x14ac:dyDescent="0.25">
      <c r="A982">
        <v>981</v>
      </c>
      <c r="B982" t="str">
        <f>Table2[[#This Row],[Propinsi]]&amp;"_"&amp;Table2[[#This Row],[Dati 2]]&amp;"_"&amp;Table2[[#This Row],[Tanggal]]</f>
        <v>JAWA TENGAH_JEPARA_44440</v>
      </c>
      <c r="C982" t="s">
        <v>5</v>
      </c>
      <c r="D982" t="s">
        <v>124</v>
      </c>
      <c r="E982">
        <v>9</v>
      </c>
      <c r="F982">
        <v>2021</v>
      </c>
      <c r="G982" s="1">
        <f>DATE(Table2[[#This Row],[Tahun]],Table2[[#This Row],[Bulan]],1)</f>
        <v>44440</v>
      </c>
      <c r="H982">
        <v>593</v>
      </c>
    </row>
    <row r="983" spans="1:8" x14ac:dyDescent="0.25">
      <c r="A983">
        <v>982</v>
      </c>
      <c r="B983" t="str">
        <f>Table2[[#This Row],[Propinsi]]&amp;"_"&amp;Table2[[#This Row],[Dati 2]]&amp;"_"&amp;Table2[[#This Row],[Tanggal]]</f>
        <v>JAWA TENGAH_JEPARA_44470</v>
      </c>
      <c r="C983" t="s">
        <v>5</v>
      </c>
      <c r="D983" t="s">
        <v>124</v>
      </c>
      <c r="E983">
        <v>10</v>
      </c>
      <c r="F983">
        <v>2021</v>
      </c>
      <c r="G983" s="1">
        <f>DATE(Table2[[#This Row],[Tahun]],Table2[[#This Row],[Bulan]],1)</f>
        <v>44470</v>
      </c>
      <c r="H983">
        <v>594</v>
      </c>
    </row>
    <row r="984" spans="1:8" x14ac:dyDescent="0.25">
      <c r="A984">
        <v>983</v>
      </c>
      <c r="B984" t="str">
        <f>Table2[[#This Row],[Propinsi]]&amp;"_"&amp;Table2[[#This Row],[Dati 2]]&amp;"_"&amp;Table2[[#This Row],[Tanggal]]</f>
        <v>JAWA TENGAH_JEPARA_44501</v>
      </c>
      <c r="C984" t="s">
        <v>5</v>
      </c>
      <c r="D984" t="s">
        <v>124</v>
      </c>
      <c r="E984">
        <v>11</v>
      </c>
      <c r="F984">
        <v>2021</v>
      </c>
      <c r="G984" s="1">
        <f>DATE(Table2[[#This Row],[Tahun]],Table2[[#This Row],[Bulan]],1)</f>
        <v>44501</v>
      </c>
      <c r="H984">
        <v>594</v>
      </c>
    </row>
    <row r="985" spans="1:8" x14ac:dyDescent="0.25">
      <c r="A985">
        <v>984</v>
      </c>
      <c r="B985" t="str">
        <f>Table2[[#This Row],[Propinsi]]&amp;"_"&amp;Table2[[#This Row],[Dati 2]]&amp;"_"&amp;Table2[[#This Row],[Tanggal]]</f>
        <v>JAWA TENGAH_JEPARA_44531</v>
      </c>
      <c r="C985" t="s">
        <v>5</v>
      </c>
      <c r="D985" t="s">
        <v>124</v>
      </c>
      <c r="E985">
        <v>12</v>
      </c>
      <c r="F985">
        <v>2021</v>
      </c>
      <c r="G985" s="1">
        <f>DATE(Table2[[#This Row],[Tahun]],Table2[[#This Row],[Bulan]],1)</f>
        <v>44531</v>
      </c>
      <c r="H985">
        <v>600</v>
      </c>
    </row>
    <row r="986" spans="1:8" x14ac:dyDescent="0.25">
      <c r="A986">
        <v>985</v>
      </c>
      <c r="B986" t="str">
        <f>Table2[[#This Row],[Propinsi]]&amp;"_"&amp;Table2[[#This Row],[Dati 2]]&amp;"_"&amp;Table2[[#This Row],[Tanggal]]</f>
        <v>JAWA TENGAH_DEMAK_44197</v>
      </c>
      <c r="C986" t="s">
        <v>5</v>
      </c>
      <c r="D986" t="s">
        <v>125</v>
      </c>
      <c r="E986">
        <v>1</v>
      </c>
      <c r="F986">
        <v>2021</v>
      </c>
      <c r="G986" s="1">
        <f>DATE(Table2[[#This Row],[Tahun]],Table2[[#This Row],[Bulan]],1)</f>
        <v>44197</v>
      </c>
      <c r="H986">
        <v>391</v>
      </c>
    </row>
    <row r="987" spans="1:8" x14ac:dyDescent="0.25">
      <c r="A987">
        <v>986</v>
      </c>
      <c r="B987" t="str">
        <f>Table2[[#This Row],[Propinsi]]&amp;"_"&amp;Table2[[#This Row],[Dati 2]]&amp;"_"&amp;Table2[[#This Row],[Tanggal]]</f>
        <v>JAWA TENGAH_DEMAK_44228</v>
      </c>
      <c r="C987" t="s">
        <v>5</v>
      </c>
      <c r="D987" t="s">
        <v>125</v>
      </c>
      <c r="E987">
        <v>2</v>
      </c>
      <c r="F987">
        <v>2021</v>
      </c>
      <c r="G987" s="1">
        <f>DATE(Table2[[#This Row],[Tahun]],Table2[[#This Row],[Bulan]],1)</f>
        <v>44228</v>
      </c>
      <c r="H987">
        <v>393</v>
      </c>
    </row>
    <row r="988" spans="1:8" x14ac:dyDescent="0.25">
      <c r="A988">
        <v>987</v>
      </c>
      <c r="B988" t="str">
        <f>Table2[[#This Row],[Propinsi]]&amp;"_"&amp;Table2[[#This Row],[Dati 2]]&amp;"_"&amp;Table2[[#This Row],[Tanggal]]</f>
        <v>JAWA TENGAH_DEMAK_44256</v>
      </c>
      <c r="C988" t="s">
        <v>5</v>
      </c>
      <c r="D988" t="s">
        <v>125</v>
      </c>
      <c r="E988">
        <v>3</v>
      </c>
      <c r="F988">
        <v>2021</v>
      </c>
      <c r="G988" s="1">
        <f>DATE(Table2[[#This Row],[Tahun]],Table2[[#This Row],[Bulan]],1)</f>
        <v>44256</v>
      </c>
      <c r="H988">
        <v>396</v>
      </c>
    </row>
    <row r="989" spans="1:8" x14ac:dyDescent="0.25">
      <c r="A989">
        <v>988</v>
      </c>
      <c r="B989" t="str">
        <f>Table2[[#This Row],[Propinsi]]&amp;"_"&amp;Table2[[#This Row],[Dati 2]]&amp;"_"&amp;Table2[[#This Row],[Tanggal]]</f>
        <v>JAWA TENGAH_DEMAK_44287</v>
      </c>
      <c r="C989" t="s">
        <v>5</v>
      </c>
      <c r="D989" t="s">
        <v>125</v>
      </c>
      <c r="E989">
        <v>4</v>
      </c>
      <c r="F989">
        <v>2021</v>
      </c>
      <c r="G989" s="1">
        <f>DATE(Table2[[#This Row],[Tahun]],Table2[[#This Row],[Bulan]],1)</f>
        <v>44287</v>
      </c>
      <c r="H989">
        <v>402</v>
      </c>
    </row>
    <row r="990" spans="1:8" x14ac:dyDescent="0.25">
      <c r="A990">
        <v>989</v>
      </c>
      <c r="B990" t="str">
        <f>Table2[[#This Row],[Propinsi]]&amp;"_"&amp;Table2[[#This Row],[Dati 2]]&amp;"_"&amp;Table2[[#This Row],[Tanggal]]</f>
        <v>JAWA TENGAH_DEMAK_44317</v>
      </c>
      <c r="C990" t="s">
        <v>5</v>
      </c>
      <c r="D990" t="s">
        <v>125</v>
      </c>
      <c r="E990">
        <v>5</v>
      </c>
      <c r="F990">
        <v>2021</v>
      </c>
      <c r="G990" s="1">
        <f>DATE(Table2[[#This Row],[Tahun]],Table2[[#This Row],[Bulan]],1)</f>
        <v>44317</v>
      </c>
      <c r="H990">
        <v>400</v>
      </c>
    </row>
    <row r="991" spans="1:8" x14ac:dyDescent="0.25">
      <c r="A991">
        <v>990</v>
      </c>
      <c r="B991" t="str">
        <f>Table2[[#This Row],[Propinsi]]&amp;"_"&amp;Table2[[#This Row],[Dati 2]]&amp;"_"&amp;Table2[[#This Row],[Tanggal]]</f>
        <v>JAWA TENGAH_DEMAK_44348</v>
      </c>
      <c r="C991" t="s">
        <v>5</v>
      </c>
      <c r="D991" t="s">
        <v>125</v>
      </c>
      <c r="E991">
        <v>6</v>
      </c>
      <c r="F991">
        <v>2021</v>
      </c>
      <c r="G991" s="1">
        <f>DATE(Table2[[#This Row],[Tahun]],Table2[[#This Row],[Bulan]],1)</f>
        <v>44348</v>
      </c>
      <c r="H991">
        <v>403</v>
      </c>
    </row>
    <row r="992" spans="1:8" x14ac:dyDescent="0.25">
      <c r="A992">
        <v>991</v>
      </c>
      <c r="B992" t="str">
        <f>Table2[[#This Row],[Propinsi]]&amp;"_"&amp;Table2[[#This Row],[Dati 2]]&amp;"_"&amp;Table2[[#This Row],[Tanggal]]</f>
        <v>JAWA TENGAH_DEMAK_44378</v>
      </c>
      <c r="C992" t="s">
        <v>5</v>
      </c>
      <c r="D992" t="s">
        <v>125</v>
      </c>
      <c r="E992">
        <v>7</v>
      </c>
      <c r="F992">
        <v>2021</v>
      </c>
      <c r="G992" s="1">
        <f>DATE(Table2[[#This Row],[Tahun]],Table2[[#This Row],[Bulan]],1)</f>
        <v>44378</v>
      </c>
      <c r="H992">
        <v>407</v>
      </c>
    </row>
    <row r="993" spans="1:8" x14ac:dyDescent="0.25">
      <c r="A993">
        <v>992</v>
      </c>
      <c r="B993" t="str">
        <f>Table2[[#This Row],[Propinsi]]&amp;"_"&amp;Table2[[#This Row],[Dati 2]]&amp;"_"&amp;Table2[[#This Row],[Tanggal]]</f>
        <v>JAWA TENGAH_DEMAK_44409</v>
      </c>
      <c r="C993" t="s">
        <v>5</v>
      </c>
      <c r="D993" t="s">
        <v>125</v>
      </c>
      <c r="E993">
        <v>8</v>
      </c>
      <c r="F993">
        <v>2021</v>
      </c>
      <c r="G993" s="1">
        <f>DATE(Table2[[#This Row],[Tahun]],Table2[[#This Row],[Bulan]],1)</f>
        <v>44409</v>
      </c>
      <c r="H993">
        <v>408</v>
      </c>
    </row>
    <row r="994" spans="1:8" x14ac:dyDescent="0.25">
      <c r="A994">
        <v>993</v>
      </c>
      <c r="B994" t="str">
        <f>Table2[[#This Row],[Propinsi]]&amp;"_"&amp;Table2[[#This Row],[Dati 2]]&amp;"_"&amp;Table2[[#This Row],[Tanggal]]</f>
        <v>JAWA TENGAH_DEMAK_44440</v>
      </c>
      <c r="C994" t="s">
        <v>5</v>
      </c>
      <c r="D994" t="s">
        <v>125</v>
      </c>
      <c r="E994">
        <v>9</v>
      </c>
      <c r="F994">
        <v>2021</v>
      </c>
      <c r="G994" s="1">
        <f>DATE(Table2[[#This Row],[Tahun]],Table2[[#This Row],[Bulan]],1)</f>
        <v>44440</v>
      </c>
      <c r="H994">
        <v>414</v>
      </c>
    </row>
    <row r="995" spans="1:8" x14ac:dyDescent="0.25">
      <c r="A995">
        <v>994</v>
      </c>
      <c r="B995" t="str">
        <f>Table2[[#This Row],[Propinsi]]&amp;"_"&amp;Table2[[#This Row],[Dati 2]]&amp;"_"&amp;Table2[[#This Row],[Tanggal]]</f>
        <v>JAWA TENGAH_DEMAK_44470</v>
      </c>
      <c r="C995" t="s">
        <v>5</v>
      </c>
      <c r="D995" t="s">
        <v>125</v>
      </c>
      <c r="E995">
        <v>10</v>
      </c>
      <c r="F995">
        <v>2021</v>
      </c>
      <c r="G995" s="1">
        <f>DATE(Table2[[#This Row],[Tahun]],Table2[[#This Row],[Bulan]],1)</f>
        <v>44470</v>
      </c>
      <c r="H995">
        <v>415</v>
      </c>
    </row>
    <row r="996" spans="1:8" x14ac:dyDescent="0.25">
      <c r="A996">
        <v>995</v>
      </c>
      <c r="B996" t="str">
        <f>Table2[[#This Row],[Propinsi]]&amp;"_"&amp;Table2[[#This Row],[Dati 2]]&amp;"_"&amp;Table2[[#This Row],[Tanggal]]</f>
        <v>JAWA TENGAH_DEMAK_44501</v>
      </c>
      <c r="C996" t="s">
        <v>5</v>
      </c>
      <c r="D996" t="s">
        <v>125</v>
      </c>
      <c r="E996">
        <v>11</v>
      </c>
      <c r="F996">
        <v>2021</v>
      </c>
      <c r="G996" s="1">
        <f>DATE(Table2[[#This Row],[Tahun]],Table2[[#This Row],[Bulan]],1)</f>
        <v>44501</v>
      </c>
      <c r="H996">
        <v>414</v>
      </c>
    </row>
    <row r="997" spans="1:8" x14ac:dyDescent="0.25">
      <c r="A997">
        <v>996</v>
      </c>
      <c r="B997" t="str">
        <f>Table2[[#This Row],[Propinsi]]&amp;"_"&amp;Table2[[#This Row],[Dati 2]]&amp;"_"&amp;Table2[[#This Row],[Tanggal]]</f>
        <v>JAWA TENGAH_DEMAK_44531</v>
      </c>
      <c r="C997" t="s">
        <v>5</v>
      </c>
      <c r="D997" t="s">
        <v>125</v>
      </c>
      <c r="E997">
        <v>12</v>
      </c>
      <c r="F997">
        <v>2021</v>
      </c>
      <c r="G997" s="1">
        <f>DATE(Table2[[#This Row],[Tahun]],Table2[[#This Row],[Bulan]],1)</f>
        <v>44531</v>
      </c>
      <c r="H997">
        <v>416</v>
      </c>
    </row>
    <row r="998" spans="1:8" x14ac:dyDescent="0.25">
      <c r="A998">
        <v>997</v>
      </c>
      <c r="B998" t="str">
        <f>Table2[[#This Row],[Propinsi]]&amp;"_"&amp;Table2[[#This Row],[Dati 2]]&amp;"_"&amp;Table2[[#This Row],[Tanggal]]</f>
        <v>SULAWESI SELATAN_MAKASSAR_44197</v>
      </c>
      <c r="C998" t="s">
        <v>7</v>
      </c>
      <c r="D998" t="s">
        <v>126</v>
      </c>
      <c r="E998">
        <v>1</v>
      </c>
      <c r="F998">
        <v>2021</v>
      </c>
      <c r="G998" s="1">
        <f>DATE(Table2[[#This Row],[Tahun]],Table2[[#This Row],[Bulan]],1)</f>
        <v>44197</v>
      </c>
      <c r="H998">
        <v>939</v>
      </c>
    </row>
    <row r="999" spans="1:8" x14ac:dyDescent="0.25">
      <c r="A999">
        <v>998</v>
      </c>
      <c r="B999" t="str">
        <f>Table2[[#This Row],[Propinsi]]&amp;"_"&amp;Table2[[#This Row],[Dati 2]]&amp;"_"&amp;Table2[[#This Row],[Tanggal]]</f>
        <v>SULAWESI SELATAN_MAKASSAR_44228</v>
      </c>
      <c r="C999" t="s">
        <v>7</v>
      </c>
      <c r="D999" t="s">
        <v>126</v>
      </c>
      <c r="E999">
        <v>2</v>
      </c>
      <c r="F999">
        <v>2021</v>
      </c>
      <c r="G999" s="1">
        <f>DATE(Table2[[#This Row],[Tahun]],Table2[[#This Row],[Bulan]],1)</f>
        <v>44228</v>
      </c>
      <c r="H999">
        <v>943</v>
      </c>
    </row>
    <row r="1000" spans="1:8" x14ac:dyDescent="0.25">
      <c r="A1000">
        <v>999</v>
      </c>
      <c r="B1000" t="str">
        <f>Table2[[#This Row],[Propinsi]]&amp;"_"&amp;Table2[[#This Row],[Dati 2]]&amp;"_"&amp;Table2[[#This Row],[Tanggal]]</f>
        <v>SULAWESI SELATAN_MAKASSAR_44256</v>
      </c>
      <c r="C1000" t="s">
        <v>7</v>
      </c>
      <c r="D1000" t="s">
        <v>126</v>
      </c>
      <c r="E1000">
        <v>3</v>
      </c>
      <c r="F1000">
        <v>2021</v>
      </c>
      <c r="G1000" s="1">
        <f>DATE(Table2[[#This Row],[Tahun]],Table2[[#This Row],[Bulan]],1)</f>
        <v>44256</v>
      </c>
      <c r="H1000">
        <v>942</v>
      </c>
    </row>
    <row r="1001" spans="1:8" x14ac:dyDescent="0.25">
      <c r="A1001">
        <v>1000</v>
      </c>
      <c r="B1001" t="str">
        <f>Table2[[#This Row],[Propinsi]]&amp;"_"&amp;Table2[[#This Row],[Dati 2]]&amp;"_"&amp;Table2[[#This Row],[Tanggal]]</f>
        <v>SULAWESI SELATAN_MAKASSAR_44287</v>
      </c>
      <c r="C1001" t="s">
        <v>7</v>
      </c>
      <c r="D1001" t="s">
        <v>126</v>
      </c>
      <c r="E1001">
        <v>4</v>
      </c>
      <c r="F1001">
        <v>2021</v>
      </c>
      <c r="G1001" s="1">
        <f>DATE(Table2[[#This Row],[Tahun]],Table2[[#This Row],[Bulan]],1)</f>
        <v>44287</v>
      </c>
      <c r="H1001">
        <v>945</v>
      </c>
    </row>
    <row r="1002" spans="1:8" x14ac:dyDescent="0.25">
      <c r="A1002">
        <v>1001</v>
      </c>
      <c r="B1002" t="str">
        <f>Table2[[#This Row],[Propinsi]]&amp;"_"&amp;Table2[[#This Row],[Dati 2]]&amp;"_"&amp;Table2[[#This Row],[Tanggal]]</f>
        <v>SULAWESI SELATAN_MAKASSAR_44317</v>
      </c>
      <c r="C1002" t="s">
        <v>7</v>
      </c>
      <c r="D1002" t="s">
        <v>126</v>
      </c>
      <c r="E1002">
        <v>5</v>
      </c>
      <c r="F1002">
        <v>2021</v>
      </c>
      <c r="G1002" s="1">
        <f>DATE(Table2[[#This Row],[Tahun]],Table2[[#This Row],[Bulan]],1)</f>
        <v>44317</v>
      </c>
      <c r="H1002">
        <v>948</v>
      </c>
    </row>
    <row r="1003" spans="1:8" x14ac:dyDescent="0.25">
      <c r="A1003">
        <v>1002</v>
      </c>
      <c r="B1003" t="str">
        <f>Table2[[#This Row],[Propinsi]]&amp;"_"&amp;Table2[[#This Row],[Dati 2]]&amp;"_"&amp;Table2[[#This Row],[Tanggal]]</f>
        <v>SULAWESI SELATAN_MAKASSAR_44348</v>
      </c>
      <c r="C1003" t="s">
        <v>7</v>
      </c>
      <c r="D1003" t="s">
        <v>126</v>
      </c>
      <c r="E1003">
        <v>6</v>
      </c>
      <c r="F1003">
        <v>2021</v>
      </c>
      <c r="G1003" s="1">
        <f>DATE(Table2[[#This Row],[Tahun]],Table2[[#This Row],[Bulan]],1)</f>
        <v>44348</v>
      </c>
      <c r="H1003">
        <v>952</v>
      </c>
    </row>
    <row r="1004" spans="1:8" x14ac:dyDescent="0.25">
      <c r="A1004">
        <v>1003</v>
      </c>
      <c r="B1004" t="str">
        <f>Table2[[#This Row],[Propinsi]]&amp;"_"&amp;Table2[[#This Row],[Dati 2]]&amp;"_"&amp;Table2[[#This Row],[Tanggal]]</f>
        <v>SULAWESI SELATAN_MAKASSAR_44378</v>
      </c>
      <c r="C1004" t="s">
        <v>7</v>
      </c>
      <c r="D1004" t="s">
        <v>126</v>
      </c>
      <c r="E1004">
        <v>7</v>
      </c>
      <c r="F1004">
        <v>2021</v>
      </c>
      <c r="G1004" s="1">
        <f>DATE(Table2[[#This Row],[Tahun]],Table2[[#This Row],[Bulan]],1)</f>
        <v>44378</v>
      </c>
      <c r="H1004">
        <v>954</v>
      </c>
    </row>
    <row r="1005" spans="1:8" x14ac:dyDescent="0.25">
      <c r="A1005">
        <v>1004</v>
      </c>
      <c r="B1005" t="str">
        <f>Table2[[#This Row],[Propinsi]]&amp;"_"&amp;Table2[[#This Row],[Dati 2]]&amp;"_"&amp;Table2[[#This Row],[Tanggal]]</f>
        <v>SULAWESI SELATAN_MAKASSAR_44409</v>
      </c>
      <c r="C1005" t="s">
        <v>7</v>
      </c>
      <c r="D1005" t="s">
        <v>126</v>
      </c>
      <c r="E1005">
        <v>8</v>
      </c>
      <c r="F1005">
        <v>2021</v>
      </c>
      <c r="G1005" s="1">
        <f>DATE(Table2[[#This Row],[Tahun]],Table2[[#This Row],[Bulan]],1)</f>
        <v>44409</v>
      </c>
      <c r="H1005">
        <v>952</v>
      </c>
    </row>
    <row r="1006" spans="1:8" x14ac:dyDescent="0.25">
      <c r="A1006">
        <v>1005</v>
      </c>
      <c r="B1006" t="str">
        <f>Table2[[#This Row],[Propinsi]]&amp;"_"&amp;Table2[[#This Row],[Dati 2]]&amp;"_"&amp;Table2[[#This Row],[Tanggal]]</f>
        <v>SULAWESI SELATAN_MAKASSAR_44440</v>
      </c>
      <c r="C1006" t="s">
        <v>7</v>
      </c>
      <c r="D1006" t="s">
        <v>126</v>
      </c>
      <c r="E1006">
        <v>9</v>
      </c>
      <c r="F1006">
        <v>2021</v>
      </c>
      <c r="G1006" s="1">
        <f>DATE(Table2[[#This Row],[Tahun]],Table2[[#This Row],[Bulan]],1)</f>
        <v>44440</v>
      </c>
      <c r="H1006">
        <v>958</v>
      </c>
    </row>
    <row r="1007" spans="1:8" x14ac:dyDescent="0.25">
      <c r="A1007">
        <v>1006</v>
      </c>
      <c r="B1007" t="str">
        <f>Table2[[#This Row],[Propinsi]]&amp;"_"&amp;Table2[[#This Row],[Dati 2]]&amp;"_"&amp;Table2[[#This Row],[Tanggal]]</f>
        <v>SULAWESI SELATAN_MAKASSAR_44470</v>
      </c>
      <c r="C1007" t="s">
        <v>7</v>
      </c>
      <c r="D1007" t="s">
        <v>126</v>
      </c>
      <c r="E1007">
        <v>10</v>
      </c>
      <c r="F1007">
        <v>2021</v>
      </c>
      <c r="G1007" s="1">
        <f>DATE(Table2[[#This Row],[Tahun]],Table2[[#This Row],[Bulan]],1)</f>
        <v>44470</v>
      </c>
      <c r="H1007">
        <v>961</v>
      </c>
    </row>
    <row r="1008" spans="1:8" x14ac:dyDescent="0.25">
      <c r="A1008">
        <v>1007</v>
      </c>
      <c r="B1008" t="str">
        <f>Table2[[#This Row],[Propinsi]]&amp;"_"&amp;Table2[[#This Row],[Dati 2]]&amp;"_"&amp;Table2[[#This Row],[Tanggal]]</f>
        <v>SULAWESI SELATAN_MAKASSAR_44501</v>
      </c>
      <c r="C1008" t="s">
        <v>7</v>
      </c>
      <c r="D1008" t="s">
        <v>126</v>
      </c>
      <c r="E1008">
        <v>11</v>
      </c>
      <c r="F1008">
        <v>2021</v>
      </c>
      <c r="G1008" s="1">
        <f>DATE(Table2[[#This Row],[Tahun]],Table2[[#This Row],[Bulan]],1)</f>
        <v>44501</v>
      </c>
      <c r="H1008">
        <v>964</v>
      </c>
    </row>
    <row r="1009" spans="1:8" x14ac:dyDescent="0.25">
      <c r="A1009">
        <v>1008</v>
      </c>
      <c r="B1009" t="str">
        <f>Table2[[#This Row],[Propinsi]]&amp;"_"&amp;Table2[[#This Row],[Dati 2]]&amp;"_"&amp;Table2[[#This Row],[Tanggal]]</f>
        <v>SULAWESI SELATAN_MAKASSAR_44531</v>
      </c>
      <c r="C1009" t="s">
        <v>7</v>
      </c>
      <c r="D1009" t="s">
        <v>126</v>
      </c>
      <c r="E1009">
        <v>12</v>
      </c>
      <c r="F1009">
        <v>2021</v>
      </c>
      <c r="G1009" s="1">
        <f>DATE(Table2[[#This Row],[Tahun]],Table2[[#This Row],[Bulan]],1)</f>
        <v>44531</v>
      </c>
      <c r="H1009">
        <v>968</v>
      </c>
    </row>
    <row r="1010" spans="1:8" x14ac:dyDescent="0.25">
      <c r="A1010">
        <v>1009</v>
      </c>
      <c r="B1010" t="str">
        <f>Table2[[#This Row],[Propinsi]]&amp;"_"&amp;Table2[[#This Row],[Dati 2]]&amp;"_"&amp;Table2[[#This Row],[Tanggal]]</f>
        <v>SULAWESI SELATAN_GOWA_44197</v>
      </c>
      <c r="C1010" t="s">
        <v>7</v>
      </c>
      <c r="D1010" t="s">
        <v>127</v>
      </c>
      <c r="E1010">
        <v>1</v>
      </c>
      <c r="F1010">
        <v>2021</v>
      </c>
      <c r="G1010" s="1">
        <f>DATE(Table2[[#This Row],[Tahun]],Table2[[#This Row],[Bulan]],1)</f>
        <v>44197</v>
      </c>
      <c r="H1010">
        <v>600</v>
      </c>
    </row>
    <row r="1011" spans="1:8" x14ac:dyDescent="0.25">
      <c r="A1011">
        <v>1010</v>
      </c>
      <c r="B1011" t="str">
        <f>Table2[[#This Row],[Propinsi]]&amp;"_"&amp;Table2[[#This Row],[Dati 2]]&amp;"_"&amp;Table2[[#This Row],[Tanggal]]</f>
        <v>SULAWESI SELATAN_GOWA_44228</v>
      </c>
      <c r="C1011" t="s">
        <v>7</v>
      </c>
      <c r="D1011" t="s">
        <v>127</v>
      </c>
      <c r="E1011">
        <v>2</v>
      </c>
      <c r="F1011">
        <v>2021</v>
      </c>
      <c r="G1011" s="1">
        <f>DATE(Table2[[#This Row],[Tahun]],Table2[[#This Row],[Bulan]],1)</f>
        <v>44228</v>
      </c>
      <c r="H1011">
        <v>602</v>
      </c>
    </row>
    <row r="1012" spans="1:8" x14ac:dyDescent="0.25">
      <c r="A1012">
        <v>1011</v>
      </c>
      <c r="B1012" t="str">
        <f>Table2[[#This Row],[Propinsi]]&amp;"_"&amp;Table2[[#This Row],[Dati 2]]&amp;"_"&amp;Table2[[#This Row],[Tanggal]]</f>
        <v>SULAWESI SELATAN_GOWA_44256</v>
      </c>
      <c r="C1012" t="s">
        <v>7</v>
      </c>
      <c r="D1012" t="s">
        <v>127</v>
      </c>
      <c r="E1012">
        <v>3</v>
      </c>
      <c r="F1012">
        <v>2021</v>
      </c>
      <c r="G1012" s="1">
        <f>DATE(Table2[[#This Row],[Tahun]],Table2[[#This Row],[Bulan]],1)</f>
        <v>44256</v>
      </c>
      <c r="H1012">
        <v>602</v>
      </c>
    </row>
    <row r="1013" spans="1:8" x14ac:dyDescent="0.25">
      <c r="A1013">
        <v>1012</v>
      </c>
      <c r="B1013" t="str">
        <f>Table2[[#This Row],[Propinsi]]&amp;"_"&amp;Table2[[#This Row],[Dati 2]]&amp;"_"&amp;Table2[[#This Row],[Tanggal]]</f>
        <v>SULAWESI SELATAN_GOWA_44287</v>
      </c>
      <c r="C1013" t="s">
        <v>7</v>
      </c>
      <c r="D1013" t="s">
        <v>127</v>
      </c>
      <c r="E1013">
        <v>4</v>
      </c>
      <c r="F1013">
        <v>2021</v>
      </c>
      <c r="G1013" s="1">
        <f>DATE(Table2[[#This Row],[Tahun]],Table2[[#This Row],[Bulan]],1)</f>
        <v>44287</v>
      </c>
      <c r="H1013">
        <v>606</v>
      </c>
    </row>
    <row r="1014" spans="1:8" x14ac:dyDescent="0.25">
      <c r="A1014">
        <v>1013</v>
      </c>
      <c r="B1014" t="str">
        <f>Table2[[#This Row],[Propinsi]]&amp;"_"&amp;Table2[[#This Row],[Dati 2]]&amp;"_"&amp;Table2[[#This Row],[Tanggal]]</f>
        <v>SULAWESI SELATAN_GOWA_44317</v>
      </c>
      <c r="C1014" t="s">
        <v>7</v>
      </c>
      <c r="D1014" t="s">
        <v>127</v>
      </c>
      <c r="E1014">
        <v>5</v>
      </c>
      <c r="F1014">
        <v>2021</v>
      </c>
      <c r="G1014" s="1">
        <f>DATE(Table2[[#This Row],[Tahun]],Table2[[#This Row],[Bulan]],1)</f>
        <v>44317</v>
      </c>
      <c r="H1014">
        <v>610</v>
      </c>
    </row>
    <row r="1015" spans="1:8" x14ac:dyDescent="0.25">
      <c r="A1015">
        <v>1014</v>
      </c>
      <c r="B1015" t="str">
        <f>Table2[[#This Row],[Propinsi]]&amp;"_"&amp;Table2[[#This Row],[Dati 2]]&amp;"_"&amp;Table2[[#This Row],[Tanggal]]</f>
        <v>SULAWESI SELATAN_GOWA_44348</v>
      </c>
      <c r="C1015" t="s">
        <v>7</v>
      </c>
      <c r="D1015" t="s">
        <v>127</v>
      </c>
      <c r="E1015">
        <v>6</v>
      </c>
      <c r="F1015">
        <v>2021</v>
      </c>
      <c r="G1015" s="1">
        <f>DATE(Table2[[#This Row],[Tahun]],Table2[[#This Row],[Bulan]],1)</f>
        <v>44348</v>
      </c>
      <c r="H1015">
        <v>613</v>
      </c>
    </row>
    <row r="1016" spans="1:8" x14ac:dyDescent="0.25">
      <c r="A1016">
        <v>1015</v>
      </c>
      <c r="B1016" t="str">
        <f>Table2[[#This Row],[Propinsi]]&amp;"_"&amp;Table2[[#This Row],[Dati 2]]&amp;"_"&amp;Table2[[#This Row],[Tanggal]]</f>
        <v>SULAWESI SELATAN_GOWA_44378</v>
      </c>
      <c r="C1016" t="s">
        <v>7</v>
      </c>
      <c r="D1016" t="s">
        <v>127</v>
      </c>
      <c r="E1016">
        <v>7</v>
      </c>
      <c r="F1016">
        <v>2021</v>
      </c>
      <c r="G1016" s="1">
        <f>DATE(Table2[[#This Row],[Tahun]],Table2[[#This Row],[Bulan]],1)</f>
        <v>44378</v>
      </c>
      <c r="H1016">
        <v>617</v>
      </c>
    </row>
    <row r="1017" spans="1:8" x14ac:dyDescent="0.25">
      <c r="A1017">
        <v>1016</v>
      </c>
      <c r="B1017" t="str">
        <f>Table2[[#This Row],[Propinsi]]&amp;"_"&amp;Table2[[#This Row],[Dati 2]]&amp;"_"&amp;Table2[[#This Row],[Tanggal]]</f>
        <v>SULAWESI SELATAN_GOWA_44409</v>
      </c>
      <c r="C1017" t="s">
        <v>7</v>
      </c>
      <c r="D1017" t="s">
        <v>127</v>
      </c>
      <c r="E1017">
        <v>8</v>
      </c>
      <c r="F1017">
        <v>2021</v>
      </c>
      <c r="G1017" s="1">
        <f>DATE(Table2[[#This Row],[Tahun]],Table2[[#This Row],[Bulan]],1)</f>
        <v>44409</v>
      </c>
      <c r="H1017">
        <v>619</v>
      </c>
    </row>
    <row r="1018" spans="1:8" x14ac:dyDescent="0.25">
      <c r="A1018">
        <v>1017</v>
      </c>
      <c r="B1018" t="str">
        <f>Table2[[#This Row],[Propinsi]]&amp;"_"&amp;Table2[[#This Row],[Dati 2]]&amp;"_"&amp;Table2[[#This Row],[Tanggal]]</f>
        <v>SULAWESI SELATAN_GOWA_44440</v>
      </c>
      <c r="C1018" t="s">
        <v>7</v>
      </c>
      <c r="D1018" t="s">
        <v>127</v>
      </c>
      <c r="E1018">
        <v>9</v>
      </c>
      <c r="F1018">
        <v>2021</v>
      </c>
      <c r="G1018" s="1">
        <f>DATE(Table2[[#This Row],[Tahun]],Table2[[#This Row],[Bulan]],1)</f>
        <v>44440</v>
      </c>
      <c r="H1018">
        <v>622</v>
      </c>
    </row>
    <row r="1019" spans="1:8" x14ac:dyDescent="0.25">
      <c r="A1019">
        <v>1018</v>
      </c>
      <c r="B1019" t="str">
        <f>Table2[[#This Row],[Propinsi]]&amp;"_"&amp;Table2[[#This Row],[Dati 2]]&amp;"_"&amp;Table2[[#This Row],[Tanggal]]</f>
        <v>SULAWESI SELATAN_GOWA_44470</v>
      </c>
      <c r="C1019" t="s">
        <v>7</v>
      </c>
      <c r="D1019" t="s">
        <v>127</v>
      </c>
      <c r="E1019">
        <v>10</v>
      </c>
      <c r="F1019">
        <v>2021</v>
      </c>
      <c r="G1019" s="1">
        <f>DATE(Table2[[#This Row],[Tahun]],Table2[[#This Row],[Bulan]],1)</f>
        <v>44470</v>
      </c>
      <c r="H1019">
        <v>622</v>
      </c>
    </row>
    <row r="1020" spans="1:8" x14ac:dyDescent="0.25">
      <c r="A1020">
        <v>1019</v>
      </c>
      <c r="B1020" t="str">
        <f>Table2[[#This Row],[Propinsi]]&amp;"_"&amp;Table2[[#This Row],[Dati 2]]&amp;"_"&amp;Table2[[#This Row],[Tanggal]]</f>
        <v>SULAWESI SELATAN_GOWA_44501</v>
      </c>
      <c r="C1020" t="s">
        <v>7</v>
      </c>
      <c r="D1020" t="s">
        <v>127</v>
      </c>
      <c r="E1020">
        <v>11</v>
      </c>
      <c r="F1020">
        <v>2021</v>
      </c>
      <c r="G1020" s="1">
        <f>DATE(Table2[[#This Row],[Tahun]],Table2[[#This Row],[Bulan]],1)</f>
        <v>44501</v>
      </c>
      <c r="H1020">
        <v>622</v>
      </c>
    </row>
    <row r="1021" spans="1:8" x14ac:dyDescent="0.25">
      <c r="A1021">
        <v>1020</v>
      </c>
      <c r="B1021" t="str">
        <f>Table2[[#This Row],[Propinsi]]&amp;"_"&amp;Table2[[#This Row],[Dati 2]]&amp;"_"&amp;Table2[[#This Row],[Tanggal]]</f>
        <v>SULAWESI SELATAN_GOWA_44531</v>
      </c>
      <c r="C1021" t="s">
        <v>7</v>
      </c>
      <c r="D1021" t="s">
        <v>127</v>
      </c>
      <c r="E1021">
        <v>12</v>
      </c>
      <c r="F1021">
        <v>2021</v>
      </c>
      <c r="G1021" s="1">
        <f>DATE(Table2[[#This Row],[Tahun]],Table2[[#This Row],[Bulan]],1)</f>
        <v>44531</v>
      </c>
      <c r="H1021">
        <v>623</v>
      </c>
    </row>
    <row r="1022" spans="1:8" x14ac:dyDescent="0.25">
      <c r="A1022">
        <v>1021</v>
      </c>
      <c r="B1022" t="str">
        <f>Table2[[#This Row],[Propinsi]]&amp;"_"&amp;Table2[[#This Row],[Dati 2]]&amp;"_"&amp;Table2[[#This Row],[Tanggal]]</f>
        <v>SULAWESI SELATAN_BONE_44197</v>
      </c>
      <c r="C1022" t="s">
        <v>7</v>
      </c>
      <c r="D1022" t="s">
        <v>128</v>
      </c>
      <c r="E1022">
        <v>1</v>
      </c>
      <c r="F1022">
        <v>2021</v>
      </c>
      <c r="G1022" s="1">
        <f>DATE(Table2[[#This Row],[Tahun]],Table2[[#This Row],[Bulan]],1)</f>
        <v>44197</v>
      </c>
      <c r="H1022">
        <v>418</v>
      </c>
    </row>
    <row r="1023" spans="1:8" x14ac:dyDescent="0.25">
      <c r="A1023">
        <v>1022</v>
      </c>
      <c r="B1023" t="str">
        <f>Table2[[#This Row],[Propinsi]]&amp;"_"&amp;Table2[[#This Row],[Dati 2]]&amp;"_"&amp;Table2[[#This Row],[Tanggal]]</f>
        <v>SULAWESI SELATAN_BONE_44228</v>
      </c>
      <c r="C1023" t="s">
        <v>7</v>
      </c>
      <c r="D1023" t="s">
        <v>128</v>
      </c>
      <c r="E1023">
        <v>2</v>
      </c>
      <c r="F1023">
        <v>2021</v>
      </c>
      <c r="G1023" s="1">
        <f>DATE(Table2[[#This Row],[Tahun]],Table2[[#This Row],[Bulan]],1)</f>
        <v>44228</v>
      </c>
      <c r="H1023">
        <v>424</v>
      </c>
    </row>
    <row r="1024" spans="1:8" x14ac:dyDescent="0.25">
      <c r="A1024">
        <v>1023</v>
      </c>
      <c r="B1024" t="str">
        <f>Table2[[#This Row],[Propinsi]]&amp;"_"&amp;Table2[[#This Row],[Dati 2]]&amp;"_"&amp;Table2[[#This Row],[Tanggal]]</f>
        <v>SULAWESI SELATAN_BONE_44256</v>
      </c>
      <c r="C1024" t="s">
        <v>7</v>
      </c>
      <c r="D1024" t="s">
        <v>128</v>
      </c>
      <c r="E1024">
        <v>3</v>
      </c>
      <c r="F1024">
        <v>2021</v>
      </c>
      <c r="G1024" s="1">
        <f>DATE(Table2[[#This Row],[Tahun]],Table2[[#This Row],[Bulan]],1)</f>
        <v>44256</v>
      </c>
      <c r="H1024">
        <v>426</v>
      </c>
    </row>
    <row r="1025" spans="1:8" x14ac:dyDescent="0.25">
      <c r="A1025">
        <v>1024</v>
      </c>
      <c r="B1025" t="str">
        <f>Table2[[#This Row],[Propinsi]]&amp;"_"&amp;Table2[[#This Row],[Dati 2]]&amp;"_"&amp;Table2[[#This Row],[Tanggal]]</f>
        <v>SULAWESI SELATAN_BONE_44287</v>
      </c>
      <c r="C1025" t="s">
        <v>7</v>
      </c>
      <c r="D1025" t="s">
        <v>128</v>
      </c>
      <c r="E1025">
        <v>4</v>
      </c>
      <c r="F1025">
        <v>2021</v>
      </c>
      <c r="G1025" s="1">
        <f>DATE(Table2[[#This Row],[Tahun]],Table2[[#This Row],[Bulan]],1)</f>
        <v>44287</v>
      </c>
      <c r="H1025">
        <v>432</v>
      </c>
    </row>
    <row r="1026" spans="1:8" x14ac:dyDescent="0.25">
      <c r="A1026">
        <v>1025</v>
      </c>
      <c r="B1026" t="str">
        <f>Table2[[#This Row],[Propinsi]]&amp;"_"&amp;Table2[[#This Row],[Dati 2]]&amp;"_"&amp;Table2[[#This Row],[Tanggal]]</f>
        <v>SULAWESI SELATAN_BONE_44317</v>
      </c>
      <c r="C1026" t="s">
        <v>7</v>
      </c>
      <c r="D1026" t="s">
        <v>128</v>
      </c>
      <c r="E1026">
        <v>5</v>
      </c>
      <c r="F1026">
        <v>2021</v>
      </c>
      <c r="G1026" s="1">
        <f>DATE(Table2[[#This Row],[Tahun]],Table2[[#This Row],[Bulan]],1)</f>
        <v>44317</v>
      </c>
      <c r="H1026">
        <v>434</v>
      </c>
    </row>
    <row r="1027" spans="1:8" x14ac:dyDescent="0.25">
      <c r="A1027">
        <v>1026</v>
      </c>
      <c r="B1027" t="str">
        <f>Table2[[#This Row],[Propinsi]]&amp;"_"&amp;Table2[[#This Row],[Dati 2]]&amp;"_"&amp;Table2[[#This Row],[Tanggal]]</f>
        <v>SULAWESI SELATAN_BONE_44348</v>
      </c>
      <c r="C1027" t="s">
        <v>7</v>
      </c>
      <c r="D1027" t="s">
        <v>128</v>
      </c>
      <c r="E1027">
        <v>6</v>
      </c>
      <c r="F1027">
        <v>2021</v>
      </c>
      <c r="G1027" s="1">
        <f>DATE(Table2[[#This Row],[Tahun]],Table2[[#This Row],[Bulan]],1)</f>
        <v>44348</v>
      </c>
      <c r="H1027">
        <v>440</v>
      </c>
    </row>
    <row r="1028" spans="1:8" x14ac:dyDescent="0.25">
      <c r="A1028">
        <v>1027</v>
      </c>
      <c r="B1028" t="str">
        <f>Table2[[#This Row],[Propinsi]]&amp;"_"&amp;Table2[[#This Row],[Dati 2]]&amp;"_"&amp;Table2[[#This Row],[Tanggal]]</f>
        <v>SULAWESI SELATAN_BONE_44378</v>
      </c>
      <c r="C1028" t="s">
        <v>7</v>
      </c>
      <c r="D1028" t="s">
        <v>128</v>
      </c>
      <c r="E1028">
        <v>7</v>
      </c>
      <c r="F1028">
        <v>2021</v>
      </c>
      <c r="G1028" s="1">
        <f>DATE(Table2[[#This Row],[Tahun]],Table2[[#This Row],[Bulan]],1)</f>
        <v>44378</v>
      </c>
      <c r="H1028">
        <v>440</v>
      </c>
    </row>
    <row r="1029" spans="1:8" x14ac:dyDescent="0.25">
      <c r="A1029">
        <v>1028</v>
      </c>
      <c r="B1029" t="str">
        <f>Table2[[#This Row],[Propinsi]]&amp;"_"&amp;Table2[[#This Row],[Dati 2]]&amp;"_"&amp;Table2[[#This Row],[Tanggal]]</f>
        <v>SULAWESI SELATAN_BONE_44409</v>
      </c>
      <c r="C1029" t="s">
        <v>7</v>
      </c>
      <c r="D1029" t="s">
        <v>128</v>
      </c>
      <c r="E1029">
        <v>8</v>
      </c>
      <c r="F1029">
        <v>2021</v>
      </c>
      <c r="G1029" s="1">
        <f>DATE(Table2[[#This Row],[Tahun]],Table2[[#This Row],[Bulan]],1)</f>
        <v>44409</v>
      </c>
      <c r="H1029">
        <v>439</v>
      </c>
    </row>
    <row r="1030" spans="1:8" x14ac:dyDescent="0.25">
      <c r="A1030">
        <v>1029</v>
      </c>
      <c r="B1030" t="str">
        <f>Table2[[#This Row],[Propinsi]]&amp;"_"&amp;Table2[[#This Row],[Dati 2]]&amp;"_"&amp;Table2[[#This Row],[Tanggal]]</f>
        <v>SULAWESI SELATAN_BONE_44440</v>
      </c>
      <c r="C1030" t="s">
        <v>7</v>
      </c>
      <c r="D1030" t="s">
        <v>128</v>
      </c>
      <c r="E1030">
        <v>9</v>
      </c>
      <c r="F1030">
        <v>2021</v>
      </c>
      <c r="G1030" s="1">
        <f>DATE(Table2[[#This Row],[Tahun]],Table2[[#This Row],[Bulan]],1)</f>
        <v>44440</v>
      </c>
      <c r="H1030">
        <v>437</v>
      </c>
    </row>
    <row r="1031" spans="1:8" x14ac:dyDescent="0.25">
      <c r="A1031">
        <v>1030</v>
      </c>
      <c r="B1031" t="str">
        <f>Table2[[#This Row],[Propinsi]]&amp;"_"&amp;Table2[[#This Row],[Dati 2]]&amp;"_"&amp;Table2[[#This Row],[Tanggal]]</f>
        <v>SULAWESI SELATAN_BONE_44470</v>
      </c>
      <c r="C1031" t="s">
        <v>7</v>
      </c>
      <c r="D1031" t="s">
        <v>128</v>
      </c>
      <c r="E1031">
        <v>10</v>
      </c>
      <c r="F1031">
        <v>2021</v>
      </c>
      <c r="G1031" s="1">
        <f>DATE(Table2[[#This Row],[Tahun]],Table2[[#This Row],[Bulan]],1)</f>
        <v>44470</v>
      </c>
      <c r="H1031">
        <v>441</v>
      </c>
    </row>
    <row r="1032" spans="1:8" x14ac:dyDescent="0.25">
      <c r="A1032">
        <v>1031</v>
      </c>
      <c r="B1032" t="str">
        <f>Table2[[#This Row],[Propinsi]]&amp;"_"&amp;Table2[[#This Row],[Dati 2]]&amp;"_"&amp;Table2[[#This Row],[Tanggal]]</f>
        <v>SULAWESI SELATAN_BONE_44501</v>
      </c>
      <c r="C1032" t="s">
        <v>7</v>
      </c>
      <c r="D1032" t="s">
        <v>128</v>
      </c>
      <c r="E1032">
        <v>11</v>
      </c>
      <c r="F1032">
        <v>2021</v>
      </c>
      <c r="G1032" s="1">
        <f>DATE(Table2[[#This Row],[Tahun]],Table2[[#This Row],[Bulan]],1)</f>
        <v>44501</v>
      </c>
      <c r="H1032">
        <v>444</v>
      </c>
    </row>
    <row r="1033" spans="1:8" x14ac:dyDescent="0.25">
      <c r="A1033">
        <v>1032</v>
      </c>
      <c r="B1033" t="str">
        <f>Table2[[#This Row],[Propinsi]]&amp;"_"&amp;Table2[[#This Row],[Dati 2]]&amp;"_"&amp;Table2[[#This Row],[Tanggal]]</f>
        <v>SULAWESI SELATAN_BONE_44531</v>
      </c>
      <c r="C1033" t="s">
        <v>7</v>
      </c>
      <c r="D1033" t="s">
        <v>128</v>
      </c>
      <c r="E1033">
        <v>12</v>
      </c>
      <c r="F1033">
        <v>2021</v>
      </c>
      <c r="G1033" s="1">
        <f>DATE(Table2[[#This Row],[Tahun]],Table2[[#This Row],[Bulan]],1)</f>
        <v>44531</v>
      </c>
      <c r="H1033">
        <v>444</v>
      </c>
    </row>
    <row r="1034" spans="1:8" x14ac:dyDescent="0.25">
      <c r="A1034">
        <v>1033</v>
      </c>
      <c r="B1034" t="str">
        <f>Table2[[#This Row],[Propinsi]]&amp;"_"&amp;Table2[[#This Row],[Dati 2]]&amp;"_"&amp;Table2[[#This Row],[Tanggal]]</f>
        <v>SULAWESI SELATAN_MAROS_44197</v>
      </c>
      <c r="C1034" t="s">
        <v>7</v>
      </c>
      <c r="D1034" t="s">
        <v>129</v>
      </c>
      <c r="E1034">
        <v>1</v>
      </c>
      <c r="F1034">
        <v>2021</v>
      </c>
      <c r="G1034" s="1">
        <f>DATE(Table2[[#This Row],[Tahun]],Table2[[#This Row],[Bulan]],1)</f>
        <v>44197</v>
      </c>
      <c r="H1034">
        <v>222</v>
      </c>
    </row>
    <row r="1035" spans="1:8" x14ac:dyDescent="0.25">
      <c r="A1035">
        <v>1034</v>
      </c>
      <c r="B1035" t="str">
        <f>Table2[[#This Row],[Propinsi]]&amp;"_"&amp;Table2[[#This Row],[Dati 2]]&amp;"_"&amp;Table2[[#This Row],[Tanggal]]</f>
        <v>SULAWESI SELATAN_MAROS_44228</v>
      </c>
      <c r="C1035" t="s">
        <v>7</v>
      </c>
      <c r="D1035" t="s">
        <v>129</v>
      </c>
      <c r="E1035">
        <v>2</v>
      </c>
      <c r="F1035">
        <v>2021</v>
      </c>
      <c r="G1035" s="1">
        <f>DATE(Table2[[#This Row],[Tahun]],Table2[[#This Row],[Bulan]],1)</f>
        <v>44228</v>
      </c>
      <c r="H1035">
        <v>229</v>
      </c>
    </row>
    <row r="1036" spans="1:8" x14ac:dyDescent="0.25">
      <c r="A1036">
        <v>1035</v>
      </c>
      <c r="B1036" t="str">
        <f>Table2[[#This Row],[Propinsi]]&amp;"_"&amp;Table2[[#This Row],[Dati 2]]&amp;"_"&amp;Table2[[#This Row],[Tanggal]]</f>
        <v>SULAWESI SELATAN_MAROS_44256</v>
      </c>
      <c r="C1036" t="s">
        <v>7</v>
      </c>
      <c r="D1036" t="s">
        <v>129</v>
      </c>
      <c r="E1036">
        <v>3</v>
      </c>
      <c r="F1036">
        <v>2021</v>
      </c>
      <c r="G1036" s="1">
        <f>DATE(Table2[[#This Row],[Tahun]],Table2[[#This Row],[Bulan]],1)</f>
        <v>44256</v>
      </c>
      <c r="H1036">
        <v>229</v>
      </c>
    </row>
    <row r="1037" spans="1:8" x14ac:dyDescent="0.25">
      <c r="A1037">
        <v>1036</v>
      </c>
      <c r="B1037" t="str">
        <f>Table2[[#This Row],[Propinsi]]&amp;"_"&amp;Table2[[#This Row],[Dati 2]]&amp;"_"&amp;Table2[[#This Row],[Tanggal]]</f>
        <v>SULAWESI SELATAN_MAROS_44287</v>
      </c>
      <c r="C1037" t="s">
        <v>7</v>
      </c>
      <c r="D1037" t="s">
        <v>129</v>
      </c>
      <c r="E1037">
        <v>4</v>
      </c>
      <c r="F1037">
        <v>2021</v>
      </c>
      <c r="G1037" s="1">
        <f>DATE(Table2[[#This Row],[Tahun]],Table2[[#This Row],[Bulan]],1)</f>
        <v>44287</v>
      </c>
      <c r="H1037">
        <v>234</v>
      </c>
    </row>
    <row r="1038" spans="1:8" x14ac:dyDescent="0.25">
      <c r="A1038">
        <v>1037</v>
      </c>
      <c r="B1038" t="str">
        <f>Table2[[#This Row],[Propinsi]]&amp;"_"&amp;Table2[[#This Row],[Dati 2]]&amp;"_"&amp;Table2[[#This Row],[Tanggal]]</f>
        <v>SULAWESI SELATAN_MAROS_44317</v>
      </c>
      <c r="C1038" t="s">
        <v>7</v>
      </c>
      <c r="D1038" t="s">
        <v>129</v>
      </c>
      <c r="E1038">
        <v>5</v>
      </c>
      <c r="F1038">
        <v>2021</v>
      </c>
      <c r="G1038" s="1">
        <f>DATE(Table2[[#This Row],[Tahun]],Table2[[#This Row],[Bulan]],1)</f>
        <v>44317</v>
      </c>
      <c r="H1038">
        <v>240</v>
      </c>
    </row>
    <row r="1039" spans="1:8" x14ac:dyDescent="0.25">
      <c r="A1039">
        <v>1038</v>
      </c>
      <c r="B1039" t="str">
        <f>Table2[[#This Row],[Propinsi]]&amp;"_"&amp;Table2[[#This Row],[Dati 2]]&amp;"_"&amp;Table2[[#This Row],[Tanggal]]</f>
        <v>SULAWESI SELATAN_MAROS_44348</v>
      </c>
      <c r="C1039" t="s">
        <v>7</v>
      </c>
      <c r="D1039" t="s">
        <v>129</v>
      </c>
      <c r="E1039">
        <v>6</v>
      </c>
      <c r="F1039">
        <v>2021</v>
      </c>
      <c r="G1039" s="1">
        <f>DATE(Table2[[#This Row],[Tahun]],Table2[[#This Row],[Bulan]],1)</f>
        <v>44348</v>
      </c>
      <c r="H1039">
        <v>244</v>
      </c>
    </row>
    <row r="1040" spans="1:8" x14ac:dyDescent="0.25">
      <c r="A1040">
        <v>1039</v>
      </c>
      <c r="B1040" t="str">
        <f>Table2[[#This Row],[Propinsi]]&amp;"_"&amp;Table2[[#This Row],[Dati 2]]&amp;"_"&amp;Table2[[#This Row],[Tanggal]]</f>
        <v>SULAWESI SELATAN_MAROS_44378</v>
      </c>
      <c r="C1040" t="s">
        <v>7</v>
      </c>
      <c r="D1040" t="s">
        <v>129</v>
      </c>
      <c r="E1040">
        <v>7</v>
      </c>
      <c r="F1040">
        <v>2021</v>
      </c>
      <c r="G1040" s="1">
        <f>DATE(Table2[[#This Row],[Tahun]],Table2[[#This Row],[Bulan]],1)</f>
        <v>44378</v>
      </c>
      <c r="H1040">
        <v>249</v>
      </c>
    </row>
    <row r="1041" spans="1:8" x14ac:dyDescent="0.25">
      <c r="A1041">
        <v>1040</v>
      </c>
      <c r="B1041" t="str">
        <f>Table2[[#This Row],[Propinsi]]&amp;"_"&amp;Table2[[#This Row],[Dati 2]]&amp;"_"&amp;Table2[[#This Row],[Tanggal]]</f>
        <v>SULAWESI SELATAN_MAROS_44409</v>
      </c>
      <c r="C1041" t="s">
        <v>7</v>
      </c>
      <c r="D1041" t="s">
        <v>129</v>
      </c>
      <c r="E1041">
        <v>8</v>
      </c>
      <c r="F1041">
        <v>2021</v>
      </c>
      <c r="G1041" s="1">
        <f>DATE(Table2[[#This Row],[Tahun]],Table2[[#This Row],[Bulan]],1)</f>
        <v>44409</v>
      </c>
      <c r="H1041">
        <v>253</v>
      </c>
    </row>
    <row r="1042" spans="1:8" x14ac:dyDescent="0.25">
      <c r="A1042">
        <v>1041</v>
      </c>
      <c r="B1042" t="str">
        <f>Table2[[#This Row],[Propinsi]]&amp;"_"&amp;Table2[[#This Row],[Dati 2]]&amp;"_"&amp;Table2[[#This Row],[Tanggal]]</f>
        <v>SULAWESI SELATAN_MAROS_44440</v>
      </c>
      <c r="C1042" t="s">
        <v>7</v>
      </c>
      <c r="D1042" t="s">
        <v>129</v>
      </c>
      <c r="E1042">
        <v>9</v>
      </c>
      <c r="F1042">
        <v>2021</v>
      </c>
      <c r="G1042" s="1">
        <f>DATE(Table2[[#This Row],[Tahun]],Table2[[#This Row],[Bulan]],1)</f>
        <v>44440</v>
      </c>
      <c r="H1042">
        <v>259</v>
      </c>
    </row>
    <row r="1043" spans="1:8" x14ac:dyDescent="0.25">
      <c r="A1043">
        <v>1042</v>
      </c>
      <c r="B1043" t="str">
        <f>Table2[[#This Row],[Propinsi]]&amp;"_"&amp;Table2[[#This Row],[Dati 2]]&amp;"_"&amp;Table2[[#This Row],[Tanggal]]</f>
        <v>SULAWESI SELATAN_MAROS_44470</v>
      </c>
      <c r="C1043" t="s">
        <v>7</v>
      </c>
      <c r="D1043" t="s">
        <v>129</v>
      </c>
      <c r="E1043">
        <v>10</v>
      </c>
      <c r="F1043">
        <v>2021</v>
      </c>
      <c r="G1043" s="1">
        <f>DATE(Table2[[#This Row],[Tahun]],Table2[[#This Row],[Bulan]],1)</f>
        <v>44470</v>
      </c>
      <c r="H1043">
        <v>257</v>
      </c>
    </row>
    <row r="1044" spans="1:8" x14ac:dyDescent="0.25">
      <c r="A1044">
        <v>1043</v>
      </c>
      <c r="B1044" t="str">
        <f>Table2[[#This Row],[Propinsi]]&amp;"_"&amp;Table2[[#This Row],[Dati 2]]&amp;"_"&amp;Table2[[#This Row],[Tanggal]]</f>
        <v>SULAWESI SELATAN_MAROS_44501</v>
      </c>
      <c r="C1044" t="s">
        <v>7</v>
      </c>
      <c r="D1044" t="s">
        <v>129</v>
      </c>
      <c r="E1044">
        <v>11</v>
      </c>
      <c r="F1044">
        <v>2021</v>
      </c>
      <c r="G1044" s="1">
        <f>DATE(Table2[[#This Row],[Tahun]],Table2[[#This Row],[Bulan]],1)</f>
        <v>44501</v>
      </c>
      <c r="H1044">
        <v>264</v>
      </c>
    </row>
    <row r="1045" spans="1:8" x14ac:dyDescent="0.25">
      <c r="A1045">
        <v>1044</v>
      </c>
      <c r="B1045" t="str">
        <f>Table2[[#This Row],[Propinsi]]&amp;"_"&amp;Table2[[#This Row],[Dati 2]]&amp;"_"&amp;Table2[[#This Row],[Tanggal]]</f>
        <v>SULAWESI SELATAN_MAROS_44531</v>
      </c>
      <c r="C1045" t="s">
        <v>7</v>
      </c>
      <c r="D1045" t="s">
        <v>129</v>
      </c>
      <c r="E1045">
        <v>12</v>
      </c>
      <c r="F1045">
        <v>2021</v>
      </c>
      <c r="G1045" s="1">
        <f>DATE(Table2[[#This Row],[Tahun]],Table2[[#This Row],[Bulan]],1)</f>
        <v>44531</v>
      </c>
      <c r="H1045">
        <v>269</v>
      </c>
    </row>
    <row r="1046" spans="1:8" x14ac:dyDescent="0.25">
      <c r="A1046">
        <v>1045</v>
      </c>
      <c r="B1046" t="str">
        <f>Table2[[#This Row],[Propinsi]]&amp;"_"&amp;Table2[[#This Row],[Dati 2]]&amp;"_"&amp;Table2[[#This Row],[Tanggal]]</f>
        <v>SULAWESI SELATAN_PANGKAJENE KEPULAUAN_44197</v>
      </c>
      <c r="C1046" t="s">
        <v>7</v>
      </c>
      <c r="D1046" t="s">
        <v>130</v>
      </c>
      <c r="E1046">
        <v>1</v>
      </c>
      <c r="F1046">
        <v>2021</v>
      </c>
      <c r="G1046" s="1">
        <f>DATE(Table2[[#This Row],[Tahun]],Table2[[#This Row],[Bulan]],1)</f>
        <v>44197</v>
      </c>
      <c r="H1046">
        <v>140</v>
      </c>
    </row>
    <row r="1047" spans="1:8" x14ac:dyDescent="0.25">
      <c r="A1047">
        <v>1046</v>
      </c>
      <c r="B1047" t="str">
        <f>Table2[[#This Row],[Propinsi]]&amp;"_"&amp;Table2[[#This Row],[Dati 2]]&amp;"_"&amp;Table2[[#This Row],[Tanggal]]</f>
        <v>SULAWESI SELATAN_PANGKAJENE KEPULAUAN_44228</v>
      </c>
      <c r="C1047" t="s">
        <v>7</v>
      </c>
      <c r="D1047" t="s">
        <v>130</v>
      </c>
      <c r="E1047">
        <v>2</v>
      </c>
      <c r="F1047">
        <v>2021</v>
      </c>
      <c r="G1047" s="1">
        <f>DATE(Table2[[#This Row],[Tahun]],Table2[[#This Row],[Bulan]],1)</f>
        <v>44228</v>
      </c>
      <c r="H1047">
        <v>144</v>
      </c>
    </row>
    <row r="1048" spans="1:8" x14ac:dyDescent="0.25">
      <c r="A1048">
        <v>1047</v>
      </c>
      <c r="B1048" t="str">
        <f>Table2[[#This Row],[Propinsi]]&amp;"_"&amp;Table2[[#This Row],[Dati 2]]&amp;"_"&amp;Table2[[#This Row],[Tanggal]]</f>
        <v>SULAWESI SELATAN_PANGKAJENE KEPULAUAN_44256</v>
      </c>
      <c r="C1048" t="s">
        <v>7</v>
      </c>
      <c r="D1048" t="s">
        <v>130</v>
      </c>
      <c r="E1048">
        <v>3</v>
      </c>
      <c r="F1048">
        <v>2021</v>
      </c>
      <c r="G1048" s="1">
        <f>DATE(Table2[[#This Row],[Tahun]],Table2[[#This Row],[Bulan]],1)</f>
        <v>44256</v>
      </c>
      <c r="H1048">
        <v>144</v>
      </c>
    </row>
    <row r="1049" spans="1:8" x14ac:dyDescent="0.25">
      <c r="A1049">
        <v>1048</v>
      </c>
      <c r="B1049" t="str">
        <f>Table2[[#This Row],[Propinsi]]&amp;"_"&amp;Table2[[#This Row],[Dati 2]]&amp;"_"&amp;Table2[[#This Row],[Tanggal]]</f>
        <v>SULAWESI SELATAN_PANGKAJENE KEPULAUAN_44287</v>
      </c>
      <c r="C1049" t="s">
        <v>7</v>
      </c>
      <c r="D1049" t="s">
        <v>130</v>
      </c>
      <c r="E1049">
        <v>4</v>
      </c>
      <c r="F1049">
        <v>2021</v>
      </c>
      <c r="G1049" s="1">
        <f>DATE(Table2[[#This Row],[Tahun]],Table2[[#This Row],[Bulan]],1)</f>
        <v>44287</v>
      </c>
      <c r="H1049">
        <v>148</v>
      </c>
    </row>
    <row r="1050" spans="1:8" x14ac:dyDescent="0.25">
      <c r="A1050">
        <v>1049</v>
      </c>
      <c r="B1050" t="str">
        <f>Table2[[#This Row],[Propinsi]]&amp;"_"&amp;Table2[[#This Row],[Dati 2]]&amp;"_"&amp;Table2[[#This Row],[Tanggal]]</f>
        <v>SULAWESI SELATAN_PANGKAJENE KEPULAUAN_44317</v>
      </c>
      <c r="C1050" t="s">
        <v>7</v>
      </c>
      <c r="D1050" t="s">
        <v>130</v>
      </c>
      <c r="E1050">
        <v>5</v>
      </c>
      <c r="F1050">
        <v>2021</v>
      </c>
      <c r="G1050" s="1">
        <f>DATE(Table2[[#This Row],[Tahun]],Table2[[#This Row],[Bulan]],1)</f>
        <v>44317</v>
      </c>
      <c r="H1050">
        <v>154</v>
      </c>
    </row>
    <row r="1051" spans="1:8" x14ac:dyDescent="0.25">
      <c r="A1051">
        <v>1050</v>
      </c>
      <c r="B1051" t="str">
        <f>Table2[[#This Row],[Propinsi]]&amp;"_"&amp;Table2[[#This Row],[Dati 2]]&amp;"_"&amp;Table2[[#This Row],[Tanggal]]</f>
        <v>SULAWESI SELATAN_PANGKAJENE KEPULAUAN_44348</v>
      </c>
      <c r="C1051" t="s">
        <v>7</v>
      </c>
      <c r="D1051" t="s">
        <v>130</v>
      </c>
      <c r="E1051">
        <v>6</v>
      </c>
      <c r="F1051">
        <v>2021</v>
      </c>
      <c r="G1051" s="1">
        <f>DATE(Table2[[#This Row],[Tahun]],Table2[[#This Row],[Bulan]],1)</f>
        <v>44348</v>
      </c>
      <c r="H1051">
        <v>158</v>
      </c>
    </row>
    <row r="1052" spans="1:8" x14ac:dyDescent="0.25">
      <c r="A1052">
        <v>1051</v>
      </c>
      <c r="B1052" t="str">
        <f>Table2[[#This Row],[Propinsi]]&amp;"_"&amp;Table2[[#This Row],[Dati 2]]&amp;"_"&amp;Table2[[#This Row],[Tanggal]]</f>
        <v>SULAWESI SELATAN_PANGKAJENE KEPULAUAN_44378</v>
      </c>
      <c r="C1052" t="s">
        <v>7</v>
      </c>
      <c r="D1052" t="s">
        <v>130</v>
      </c>
      <c r="E1052">
        <v>7</v>
      </c>
      <c r="F1052">
        <v>2021</v>
      </c>
      <c r="G1052" s="1">
        <f>DATE(Table2[[#This Row],[Tahun]],Table2[[#This Row],[Bulan]],1)</f>
        <v>44378</v>
      </c>
      <c r="H1052">
        <v>163</v>
      </c>
    </row>
    <row r="1053" spans="1:8" x14ac:dyDescent="0.25">
      <c r="A1053">
        <v>1052</v>
      </c>
      <c r="B1053" t="str">
        <f>Table2[[#This Row],[Propinsi]]&amp;"_"&amp;Table2[[#This Row],[Dati 2]]&amp;"_"&amp;Table2[[#This Row],[Tanggal]]</f>
        <v>SULAWESI SELATAN_PANGKAJENE KEPULAUAN_44409</v>
      </c>
      <c r="C1053" t="s">
        <v>7</v>
      </c>
      <c r="D1053" t="s">
        <v>130</v>
      </c>
      <c r="E1053">
        <v>8</v>
      </c>
      <c r="F1053">
        <v>2021</v>
      </c>
      <c r="G1053" s="1">
        <f>DATE(Table2[[#This Row],[Tahun]],Table2[[#This Row],[Bulan]],1)</f>
        <v>44409</v>
      </c>
      <c r="H1053">
        <v>164</v>
      </c>
    </row>
    <row r="1054" spans="1:8" x14ac:dyDescent="0.25">
      <c r="A1054">
        <v>1053</v>
      </c>
      <c r="B1054" t="str">
        <f>Table2[[#This Row],[Propinsi]]&amp;"_"&amp;Table2[[#This Row],[Dati 2]]&amp;"_"&amp;Table2[[#This Row],[Tanggal]]</f>
        <v>SULAWESI SELATAN_PANGKAJENE KEPULAUAN_44440</v>
      </c>
      <c r="C1054" t="s">
        <v>7</v>
      </c>
      <c r="D1054" t="s">
        <v>130</v>
      </c>
      <c r="E1054">
        <v>9</v>
      </c>
      <c r="F1054">
        <v>2021</v>
      </c>
      <c r="G1054" s="1">
        <f>DATE(Table2[[#This Row],[Tahun]],Table2[[#This Row],[Bulan]],1)</f>
        <v>44440</v>
      </c>
      <c r="H1054">
        <v>167</v>
      </c>
    </row>
    <row r="1055" spans="1:8" x14ac:dyDescent="0.25">
      <c r="A1055">
        <v>1054</v>
      </c>
      <c r="B1055" t="str">
        <f>Table2[[#This Row],[Propinsi]]&amp;"_"&amp;Table2[[#This Row],[Dati 2]]&amp;"_"&amp;Table2[[#This Row],[Tanggal]]</f>
        <v>SULAWESI SELATAN_PANGKAJENE KEPULAUAN_44470</v>
      </c>
      <c r="C1055" t="s">
        <v>7</v>
      </c>
      <c r="D1055" t="s">
        <v>130</v>
      </c>
      <c r="E1055">
        <v>10</v>
      </c>
      <c r="F1055">
        <v>2021</v>
      </c>
      <c r="G1055" s="1">
        <f>DATE(Table2[[#This Row],[Tahun]],Table2[[#This Row],[Bulan]],1)</f>
        <v>44470</v>
      </c>
      <c r="H1055">
        <v>170</v>
      </c>
    </row>
    <row r="1056" spans="1:8" x14ac:dyDescent="0.25">
      <c r="A1056">
        <v>1055</v>
      </c>
      <c r="B1056" t="str">
        <f>Table2[[#This Row],[Propinsi]]&amp;"_"&amp;Table2[[#This Row],[Dati 2]]&amp;"_"&amp;Table2[[#This Row],[Tanggal]]</f>
        <v>SULAWESI SELATAN_PANGKAJENE KEPULAUAN_44501</v>
      </c>
      <c r="C1056" t="s">
        <v>7</v>
      </c>
      <c r="D1056" t="s">
        <v>130</v>
      </c>
      <c r="E1056">
        <v>11</v>
      </c>
      <c r="F1056">
        <v>2021</v>
      </c>
      <c r="G1056" s="1">
        <f>DATE(Table2[[#This Row],[Tahun]],Table2[[#This Row],[Bulan]],1)</f>
        <v>44501</v>
      </c>
      <c r="H1056">
        <v>169</v>
      </c>
    </row>
    <row r="1057" spans="1:8" x14ac:dyDescent="0.25">
      <c r="A1057">
        <v>1056</v>
      </c>
      <c r="B1057" t="str">
        <f>Table2[[#This Row],[Propinsi]]&amp;"_"&amp;Table2[[#This Row],[Dati 2]]&amp;"_"&amp;Table2[[#This Row],[Tanggal]]</f>
        <v>SULAWESI SELATAN_PANGKAJENE KEPULAUAN_44531</v>
      </c>
      <c r="C1057" t="s">
        <v>7</v>
      </c>
      <c r="D1057" t="s">
        <v>130</v>
      </c>
      <c r="E1057">
        <v>12</v>
      </c>
      <c r="F1057">
        <v>2021</v>
      </c>
      <c r="G1057" s="1">
        <f>DATE(Table2[[#This Row],[Tahun]],Table2[[#This Row],[Bulan]],1)</f>
        <v>44531</v>
      </c>
      <c r="H1057">
        <v>169</v>
      </c>
    </row>
    <row r="1058" spans="1:8" x14ac:dyDescent="0.25">
      <c r="A1058">
        <v>1057</v>
      </c>
      <c r="B1058" t="str">
        <f>Table2[[#This Row],[Propinsi]]&amp;"_"&amp;Table2[[#This Row],[Dati 2]]&amp;"_"&amp;Table2[[#This Row],[Tanggal]]</f>
        <v>SULAWESI SELATAN_BARRU_44197</v>
      </c>
      <c r="C1058" t="s">
        <v>7</v>
      </c>
      <c r="D1058" t="s">
        <v>131</v>
      </c>
      <c r="E1058">
        <v>1</v>
      </c>
      <c r="F1058">
        <v>2021</v>
      </c>
      <c r="G1058" s="1">
        <f>DATE(Table2[[#This Row],[Tahun]],Table2[[#This Row],[Bulan]],1)</f>
        <v>44197</v>
      </c>
      <c r="H1058">
        <v>133</v>
      </c>
    </row>
    <row r="1059" spans="1:8" x14ac:dyDescent="0.25">
      <c r="A1059">
        <v>1058</v>
      </c>
      <c r="B1059" t="str">
        <f>Table2[[#This Row],[Propinsi]]&amp;"_"&amp;Table2[[#This Row],[Dati 2]]&amp;"_"&amp;Table2[[#This Row],[Tanggal]]</f>
        <v>SULAWESI SELATAN_BARRU_44228</v>
      </c>
      <c r="C1059" t="s">
        <v>7</v>
      </c>
      <c r="D1059" t="s">
        <v>131</v>
      </c>
      <c r="E1059">
        <v>2</v>
      </c>
      <c r="F1059">
        <v>2021</v>
      </c>
      <c r="G1059" s="1">
        <f>DATE(Table2[[#This Row],[Tahun]],Table2[[#This Row],[Bulan]],1)</f>
        <v>44228</v>
      </c>
      <c r="H1059">
        <v>132</v>
      </c>
    </row>
    <row r="1060" spans="1:8" x14ac:dyDescent="0.25">
      <c r="A1060">
        <v>1059</v>
      </c>
      <c r="B1060" t="str">
        <f>Table2[[#This Row],[Propinsi]]&amp;"_"&amp;Table2[[#This Row],[Dati 2]]&amp;"_"&amp;Table2[[#This Row],[Tanggal]]</f>
        <v>SULAWESI SELATAN_BARRU_44256</v>
      </c>
      <c r="C1060" t="s">
        <v>7</v>
      </c>
      <c r="D1060" t="s">
        <v>131</v>
      </c>
      <c r="E1060">
        <v>3</v>
      </c>
      <c r="F1060">
        <v>2021</v>
      </c>
      <c r="G1060" s="1">
        <f>DATE(Table2[[#This Row],[Tahun]],Table2[[#This Row],[Bulan]],1)</f>
        <v>44256</v>
      </c>
      <c r="H1060">
        <v>138</v>
      </c>
    </row>
    <row r="1061" spans="1:8" x14ac:dyDescent="0.25">
      <c r="A1061">
        <v>1060</v>
      </c>
      <c r="B1061" t="str">
        <f>Table2[[#This Row],[Propinsi]]&amp;"_"&amp;Table2[[#This Row],[Dati 2]]&amp;"_"&amp;Table2[[#This Row],[Tanggal]]</f>
        <v>SULAWESI SELATAN_BARRU_44287</v>
      </c>
      <c r="C1061" t="s">
        <v>7</v>
      </c>
      <c r="D1061" t="s">
        <v>131</v>
      </c>
      <c r="E1061">
        <v>4</v>
      </c>
      <c r="F1061">
        <v>2021</v>
      </c>
      <c r="G1061" s="1">
        <f>DATE(Table2[[#This Row],[Tahun]],Table2[[#This Row],[Bulan]],1)</f>
        <v>44287</v>
      </c>
      <c r="H1061">
        <v>142</v>
      </c>
    </row>
    <row r="1062" spans="1:8" x14ac:dyDescent="0.25">
      <c r="A1062">
        <v>1061</v>
      </c>
      <c r="B1062" t="str">
        <f>Table2[[#This Row],[Propinsi]]&amp;"_"&amp;Table2[[#This Row],[Dati 2]]&amp;"_"&amp;Table2[[#This Row],[Tanggal]]</f>
        <v>SULAWESI SELATAN_BARRU_44317</v>
      </c>
      <c r="C1062" t="s">
        <v>7</v>
      </c>
      <c r="D1062" t="s">
        <v>131</v>
      </c>
      <c r="E1062">
        <v>5</v>
      </c>
      <c r="F1062">
        <v>2021</v>
      </c>
      <c r="G1062" s="1">
        <f>DATE(Table2[[#This Row],[Tahun]],Table2[[#This Row],[Bulan]],1)</f>
        <v>44317</v>
      </c>
      <c r="H1062">
        <v>142</v>
      </c>
    </row>
    <row r="1063" spans="1:8" x14ac:dyDescent="0.25">
      <c r="A1063">
        <v>1062</v>
      </c>
      <c r="B1063" t="str">
        <f>Table2[[#This Row],[Propinsi]]&amp;"_"&amp;Table2[[#This Row],[Dati 2]]&amp;"_"&amp;Table2[[#This Row],[Tanggal]]</f>
        <v>SULAWESI SELATAN_BARRU_44348</v>
      </c>
      <c r="C1063" t="s">
        <v>7</v>
      </c>
      <c r="D1063" t="s">
        <v>131</v>
      </c>
      <c r="E1063">
        <v>6</v>
      </c>
      <c r="F1063">
        <v>2021</v>
      </c>
      <c r="G1063" s="1">
        <f>DATE(Table2[[#This Row],[Tahun]],Table2[[#This Row],[Bulan]],1)</f>
        <v>44348</v>
      </c>
      <c r="H1063">
        <v>143</v>
      </c>
    </row>
    <row r="1064" spans="1:8" x14ac:dyDescent="0.25">
      <c r="A1064">
        <v>1063</v>
      </c>
      <c r="B1064" t="str">
        <f>Table2[[#This Row],[Propinsi]]&amp;"_"&amp;Table2[[#This Row],[Dati 2]]&amp;"_"&amp;Table2[[#This Row],[Tanggal]]</f>
        <v>SULAWESI SELATAN_BARRU_44378</v>
      </c>
      <c r="C1064" t="s">
        <v>7</v>
      </c>
      <c r="D1064" t="s">
        <v>131</v>
      </c>
      <c r="E1064">
        <v>7</v>
      </c>
      <c r="F1064">
        <v>2021</v>
      </c>
      <c r="G1064" s="1">
        <f>DATE(Table2[[#This Row],[Tahun]],Table2[[#This Row],[Bulan]],1)</f>
        <v>44378</v>
      </c>
      <c r="H1064">
        <v>148</v>
      </c>
    </row>
    <row r="1065" spans="1:8" x14ac:dyDescent="0.25">
      <c r="A1065">
        <v>1064</v>
      </c>
      <c r="B1065" t="str">
        <f>Table2[[#This Row],[Propinsi]]&amp;"_"&amp;Table2[[#This Row],[Dati 2]]&amp;"_"&amp;Table2[[#This Row],[Tanggal]]</f>
        <v>SULAWESI SELATAN_BARRU_44409</v>
      </c>
      <c r="C1065" t="s">
        <v>7</v>
      </c>
      <c r="D1065" t="s">
        <v>131</v>
      </c>
      <c r="E1065">
        <v>8</v>
      </c>
      <c r="F1065">
        <v>2021</v>
      </c>
      <c r="G1065" s="1">
        <f>DATE(Table2[[#This Row],[Tahun]],Table2[[#This Row],[Bulan]],1)</f>
        <v>44409</v>
      </c>
      <c r="H1065">
        <v>149</v>
      </c>
    </row>
    <row r="1066" spans="1:8" x14ac:dyDescent="0.25">
      <c r="A1066">
        <v>1065</v>
      </c>
      <c r="B1066" t="str">
        <f>Table2[[#This Row],[Propinsi]]&amp;"_"&amp;Table2[[#This Row],[Dati 2]]&amp;"_"&amp;Table2[[#This Row],[Tanggal]]</f>
        <v>SULAWESI SELATAN_BARRU_44440</v>
      </c>
      <c r="C1066" t="s">
        <v>7</v>
      </c>
      <c r="D1066" t="s">
        <v>131</v>
      </c>
      <c r="E1066">
        <v>9</v>
      </c>
      <c r="F1066">
        <v>2021</v>
      </c>
      <c r="G1066" s="1">
        <f>DATE(Table2[[#This Row],[Tahun]],Table2[[#This Row],[Bulan]],1)</f>
        <v>44440</v>
      </c>
      <c r="H1066">
        <v>149</v>
      </c>
    </row>
    <row r="1067" spans="1:8" x14ac:dyDescent="0.25">
      <c r="A1067">
        <v>1066</v>
      </c>
      <c r="B1067" t="str">
        <f>Table2[[#This Row],[Propinsi]]&amp;"_"&amp;Table2[[#This Row],[Dati 2]]&amp;"_"&amp;Table2[[#This Row],[Tanggal]]</f>
        <v>SULAWESI SELATAN_BARRU_44470</v>
      </c>
      <c r="C1067" t="s">
        <v>7</v>
      </c>
      <c r="D1067" t="s">
        <v>131</v>
      </c>
      <c r="E1067">
        <v>10</v>
      </c>
      <c r="F1067">
        <v>2021</v>
      </c>
      <c r="G1067" s="1">
        <f>DATE(Table2[[#This Row],[Tahun]],Table2[[#This Row],[Bulan]],1)</f>
        <v>44470</v>
      </c>
      <c r="H1067">
        <v>155</v>
      </c>
    </row>
    <row r="1068" spans="1:8" x14ac:dyDescent="0.25">
      <c r="A1068">
        <v>1067</v>
      </c>
      <c r="B1068" t="str">
        <f>Table2[[#This Row],[Propinsi]]&amp;"_"&amp;Table2[[#This Row],[Dati 2]]&amp;"_"&amp;Table2[[#This Row],[Tanggal]]</f>
        <v>SULAWESI SELATAN_BARRU_44501</v>
      </c>
      <c r="C1068" t="s">
        <v>7</v>
      </c>
      <c r="D1068" t="s">
        <v>131</v>
      </c>
      <c r="E1068">
        <v>11</v>
      </c>
      <c r="F1068">
        <v>2021</v>
      </c>
      <c r="G1068" s="1">
        <f>DATE(Table2[[#This Row],[Tahun]],Table2[[#This Row],[Bulan]],1)</f>
        <v>44501</v>
      </c>
      <c r="H1068">
        <v>161</v>
      </c>
    </row>
    <row r="1069" spans="1:8" x14ac:dyDescent="0.25">
      <c r="A1069">
        <v>1068</v>
      </c>
      <c r="B1069" t="str">
        <f>Table2[[#This Row],[Propinsi]]&amp;"_"&amp;Table2[[#This Row],[Dati 2]]&amp;"_"&amp;Table2[[#This Row],[Tanggal]]</f>
        <v>SULAWESI SELATAN_BARRU_44531</v>
      </c>
      <c r="C1069" t="s">
        <v>7</v>
      </c>
      <c r="D1069" t="s">
        <v>131</v>
      </c>
      <c r="E1069">
        <v>12</v>
      </c>
      <c r="F1069">
        <v>2021</v>
      </c>
      <c r="G1069" s="1">
        <f>DATE(Table2[[#This Row],[Tahun]],Table2[[#This Row],[Bulan]],1)</f>
        <v>44531</v>
      </c>
      <c r="H1069">
        <v>162</v>
      </c>
    </row>
    <row r="1070" spans="1:8" x14ac:dyDescent="0.25">
      <c r="A1070">
        <v>1069</v>
      </c>
      <c r="B1070" t="str">
        <f>Table2[[#This Row],[Propinsi]]&amp;"_"&amp;Table2[[#This Row],[Dati 2]]&amp;"_"&amp;Table2[[#This Row],[Tanggal]]</f>
        <v>SULAWESI SELATAN_SOPPENG_44197</v>
      </c>
      <c r="C1070" t="s">
        <v>7</v>
      </c>
      <c r="D1070" t="s">
        <v>132</v>
      </c>
      <c r="E1070">
        <v>1</v>
      </c>
      <c r="F1070">
        <v>2021</v>
      </c>
      <c r="G1070" s="1">
        <f>DATE(Table2[[#This Row],[Tahun]],Table2[[#This Row],[Bulan]],1)</f>
        <v>44197</v>
      </c>
      <c r="H1070">
        <v>184</v>
      </c>
    </row>
    <row r="1071" spans="1:8" x14ac:dyDescent="0.25">
      <c r="A1071">
        <v>1070</v>
      </c>
      <c r="B1071" t="str">
        <f>Table2[[#This Row],[Propinsi]]&amp;"_"&amp;Table2[[#This Row],[Dati 2]]&amp;"_"&amp;Table2[[#This Row],[Tanggal]]</f>
        <v>SULAWESI SELATAN_SOPPENG_44228</v>
      </c>
      <c r="C1071" t="s">
        <v>7</v>
      </c>
      <c r="D1071" t="s">
        <v>132</v>
      </c>
      <c r="E1071">
        <v>2</v>
      </c>
      <c r="F1071">
        <v>2021</v>
      </c>
      <c r="G1071" s="1">
        <f>DATE(Table2[[#This Row],[Tahun]],Table2[[#This Row],[Bulan]],1)</f>
        <v>44228</v>
      </c>
      <c r="H1071">
        <v>191</v>
      </c>
    </row>
    <row r="1072" spans="1:8" x14ac:dyDescent="0.25">
      <c r="A1072">
        <v>1071</v>
      </c>
      <c r="B1072" t="str">
        <f>Table2[[#This Row],[Propinsi]]&amp;"_"&amp;Table2[[#This Row],[Dati 2]]&amp;"_"&amp;Table2[[#This Row],[Tanggal]]</f>
        <v>SULAWESI SELATAN_SOPPENG_44256</v>
      </c>
      <c r="C1072" t="s">
        <v>7</v>
      </c>
      <c r="D1072" t="s">
        <v>132</v>
      </c>
      <c r="E1072">
        <v>3</v>
      </c>
      <c r="F1072">
        <v>2021</v>
      </c>
      <c r="G1072" s="1">
        <f>DATE(Table2[[#This Row],[Tahun]],Table2[[#This Row],[Bulan]],1)</f>
        <v>44256</v>
      </c>
      <c r="H1072">
        <v>197</v>
      </c>
    </row>
    <row r="1073" spans="1:8" x14ac:dyDescent="0.25">
      <c r="A1073">
        <v>1072</v>
      </c>
      <c r="B1073" t="str">
        <f>Table2[[#This Row],[Propinsi]]&amp;"_"&amp;Table2[[#This Row],[Dati 2]]&amp;"_"&amp;Table2[[#This Row],[Tanggal]]</f>
        <v>SULAWESI SELATAN_SOPPENG_44287</v>
      </c>
      <c r="C1073" t="s">
        <v>7</v>
      </c>
      <c r="D1073" t="s">
        <v>132</v>
      </c>
      <c r="E1073">
        <v>4</v>
      </c>
      <c r="F1073">
        <v>2021</v>
      </c>
      <c r="G1073" s="1">
        <f>DATE(Table2[[#This Row],[Tahun]],Table2[[#This Row],[Bulan]],1)</f>
        <v>44287</v>
      </c>
      <c r="H1073">
        <v>204</v>
      </c>
    </row>
    <row r="1074" spans="1:8" x14ac:dyDescent="0.25">
      <c r="A1074">
        <v>1073</v>
      </c>
      <c r="B1074" t="str">
        <f>Table2[[#This Row],[Propinsi]]&amp;"_"&amp;Table2[[#This Row],[Dati 2]]&amp;"_"&amp;Table2[[#This Row],[Tanggal]]</f>
        <v>SULAWESI SELATAN_SOPPENG_44317</v>
      </c>
      <c r="C1074" t="s">
        <v>7</v>
      </c>
      <c r="D1074" t="s">
        <v>132</v>
      </c>
      <c r="E1074">
        <v>5</v>
      </c>
      <c r="F1074">
        <v>2021</v>
      </c>
      <c r="G1074" s="1">
        <f>DATE(Table2[[#This Row],[Tahun]],Table2[[#This Row],[Bulan]],1)</f>
        <v>44317</v>
      </c>
      <c r="H1074">
        <v>206</v>
      </c>
    </row>
    <row r="1075" spans="1:8" x14ac:dyDescent="0.25">
      <c r="A1075">
        <v>1074</v>
      </c>
      <c r="B1075" t="str">
        <f>Table2[[#This Row],[Propinsi]]&amp;"_"&amp;Table2[[#This Row],[Dati 2]]&amp;"_"&amp;Table2[[#This Row],[Tanggal]]</f>
        <v>SULAWESI SELATAN_SOPPENG_44348</v>
      </c>
      <c r="C1075" t="s">
        <v>7</v>
      </c>
      <c r="D1075" t="s">
        <v>132</v>
      </c>
      <c r="E1075">
        <v>6</v>
      </c>
      <c r="F1075">
        <v>2021</v>
      </c>
      <c r="G1075" s="1">
        <f>DATE(Table2[[#This Row],[Tahun]],Table2[[#This Row],[Bulan]],1)</f>
        <v>44348</v>
      </c>
      <c r="H1075">
        <v>206</v>
      </c>
    </row>
    <row r="1076" spans="1:8" x14ac:dyDescent="0.25">
      <c r="A1076">
        <v>1075</v>
      </c>
      <c r="B1076" t="str">
        <f>Table2[[#This Row],[Propinsi]]&amp;"_"&amp;Table2[[#This Row],[Dati 2]]&amp;"_"&amp;Table2[[#This Row],[Tanggal]]</f>
        <v>SULAWESI SELATAN_SOPPENG_44378</v>
      </c>
      <c r="C1076" t="s">
        <v>7</v>
      </c>
      <c r="D1076" t="s">
        <v>132</v>
      </c>
      <c r="E1076">
        <v>7</v>
      </c>
      <c r="F1076">
        <v>2021</v>
      </c>
      <c r="G1076" s="1">
        <f>DATE(Table2[[#This Row],[Tahun]],Table2[[#This Row],[Bulan]],1)</f>
        <v>44378</v>
      </c>
      <c r="H1076">
        <v>205</v>
      </c>
    </row>
    <row r="1077" spans="1:8" x14ac:dyDescent="0.25">
      <c r="A1077">
        <v>1076</v>
      </c>
      <c r="B1077" t="str">
        <f>Table2[[#This Row],[Propinsi]]&amp;"_"&amp;Table2[[#This Row],[Dati 2]]&amp;"_"&amp;Table2[[#This Row],[Tanggal]]</f>
        <v>SULAWESI SELATAN_SOPPENG_44409</v>
      </c>
      <c r="C1077" t="s">
        <v>7</v>
      </c>
      <c r="D1077" t="s">
        <v>132</v>
      </c>
      <c r="E1077">
        <v>8</v>
      </c>
      <c r="F1077">
        <v>2021</v>
      </c>
      <c r="G1077" s="1">
        <f>DATE(Table2[[#This Row],[Tahun]],Table2[[#This Row],[Bulan]],1)</f>
        <v>44409</v>
      </c>
      <c r="H1077">
        <v>209</v>
      </c>
    </row>
    <row r="1078" spans="1:8" x14ac:dyDescent="0.25">
      <c r="A1078">
        <v>1077</v>
      </c>
      <c r="B1078" t="str">
        <f>Table2[[#This Row],[Propinsi]]&amp;"_"&amp;Table2[[#This Row],[Dati 2]]&amp;"_"&amp;Table2[[#This Row],[Tanggal]]</f>
        <v>SULAWESI SELATAN_SOPPENG_44440</v>
      </c>
      <c r="C1078" t="s">
        <v>7</v>
      </c>
      <c r="D1078" t="s">
        <v>132</v>
      </c>
      <c r="E1078">
        <v>9</v>
      </c>
      <c r="F1078">
        <v>2021</v>
      </c>
      <c r="G1078" s="1">
        <f>DATE(Table2[[#This Row],[Tahun]],Table2[[#This Row],[Bulan]],1)</f>
        <v>44440</v>
      </c>
      <c r="H1078">
        <v>211</v>
      </c>
    </row>
    <row r="1079" spans="1:8" x14ac:dyDescent="0.25">
      <c r="A1079">
        <v>1078</v>
      </c>
      <c r="B1079" t="str">
        <f>Table2[[#This Row],[Propinsi]]&amp;"_"&amp;Table2[[#This Row],[Dati 2]]&amp;"_"&amp;Table2[[#This Row],[Tanggal]]</f>
        <v>SULAWESI SELATAN_SOPPENG_44470</v>
      </c>
      <c r="C1079" t="s">
        <v>7</v>
      </c>
      <c r="D1079" t="s">
        <v>132</v>
      </c>
      <c r="E1079">
        <v>10</v>
      </c>
      <c r="F1079">
        <v>2021</v>
      </c>
      <c r="G1079" s="1">
        <f>DATE(Table2[[#This Row],[Tahun]],Table2[[#This Row],[Bulan]],1)</f>
        <v>44470</v>
      </c>
      <c r="H1079">
        <v>216</v>
      </c>
    </row>
    <row r="1080" spans="1:8" x14ac:dyDescent="0.25">
      <c r="A1080">
        <v>1079</v>
      </c>
      <c r="B1080" t="str">
        <f>Table2[[#This Row],[Propinsi]]&amp;"_"&amp;Table2[[#This Row],[Dati 2]]&amp;"_"&amp;Table2[[#This Row],[Tanggal]]</f>
        <v>SULAWESI SELATAN_SOPPENG_44501</v>
      </c>
      <c r="C1080" t="s">
        <v>7</v>
      </c>
      <c r="D1080" t="s">
        <v>132</v>
      </c>
      <c r="E1080">
        <v>11</v>
      </c>
      <c r="F1080">
        <v>2021</v>
      </c>
      <c r="G1080" s="1">
        <f>DATE(Table2[[#This Row],[Tahun]],Table2[[#This Row],[Bulan]],1)</f>
        <v>44501</v>
      </c>
      <c r="H1080">
        <v>216</v>
      </c>
    </row>
    <row r="1081" spans="1:8" x14ac:dyDescent="0.25">
      <c r="A1081">
        <v>1080</v>
      </c>
      <c r="B1081" t="str">
        <f>Table2[[#This Row],[Propinsi]]&amp;"_"&amp;Table2[[#This Row],[Dati 2]]&amp;"_"&amp;Table2[[#This Row],[Tanggal]]</f>
        <v>SULAWESI SELATAN_SOPPENG_44531</v>
      </c>
      <c r="C1081" t="s">
        <v>7</v>
      </c>
      <c r="D1081" t="s">
        <v>132</v>
      </c>
      <c r="E1081">
        <v>12</v>
      </c>
      <c r="F1081">
        <v>2021</v>
      </c>
      <c r="G1081" s="1">
        <f>DATE(Table2[[#This Row],[Tahun]],Table2[[#This Row],[Bulan]],1)</f>
        <v>44531</v>
      </c>
      <c r="H1081">
        <v>216</v>
      </c>
    </row>
    <row r="1082" spans="1:8" x14ac:dyDescent="0.25">
      <c r="A1082">
        <v>1081</v>
      </c>
      <c r="B1082" t="str">
        <f>Table2[[#This Row],[Propinsi]]&amp;"_"&amp;Table2[[#This Row],[Dati 2]]&amp;"_"&amp;Table2[[#This Row],[Tanggal]]</f>
        <v>SULAWESI SELATAN_WAJO_44197</v>
      </c>
      <c r="C1082" t="s">
        <v>7</v>
      </c>
      <c r="D1082" t="s">
        <v>133</v>
      </c>
      <c r="E1082">
        <v>1</v>
      </c>
      <c r="F1082">
        <v>2021</v>
      </c>
      <c r="G1082" s="1">
        <f>DATE(Table2[[#This Row],[Tahun]],Table2[[#This Row],[Bulan]],1)</f>
        <v>44197</v>
      </c>
      <c r="H1082">
        <v>189</v>
      </c>
    </row>
    <row r="1083" spans="1:8" x14ac:dyDescent="0.25">
      <c r="A1083">
        <v>1082</v>
      </c>
      <c r="B1083" t="str">
        <f>Table2[[#This Row],[Propinsi]]&amp;"_"&amp;Table2[[#This Row],[Dati 2]]&amp;"_"&amp;Table2[[#This Row],[Tanggal]]</f>
        <v>SULAWESI SELATAN_WAJO_44228</v>
      </c>
      <c r="C1083" t="s">
        <v>7</v>
      </c>
      <c r="D1083" t="s">
        <v>133</v>
      </c>
      <c r="E1083">
        <v>2</v>
      </c>
      <c r="F1083">
        <v>2021</v>
      </c>
      <c r="G1083" s="1">
        <f>DATE(Table2[[#This Row],[Tahun]],Table2[[#This Row],[Bulan]],1)</f>
        <v>44228</v>
      </c>
      <c r="H1083">
        <v>190</v>
      </c>
    </row>
    <row r="1084" spans="1:8" x14ac:dyDescent="0.25">
      <c r="A1084">
        <v>1083</v>
      </c>
      <c r="B1084" t="str">
        <f>Table2[[#This Row],[Propinsi]]&amp;"_"&amp;Table2[[#This Row],[Dati 2]]&amp;"_"&amp;Table2[[#This Row],[Tanggal]]</f>
        <v>SULAWESI SELATAN_WAJO_44256</v>
      </c>
      <c r="C1084" t="s">
        <v>7</v>
      </c>
      <c r="D1084" t="s">
        <v>133</v>
      </c>
      <c r="E1084">
        <v>3</v>
      </c>
      <c r="F1084">
        <v>2021</v>
      </c>
      <c r="G1084" s="1">
        <f>DATE(Table2[[#This Row],[Tahun]],Table2[[#This Row],[Bulan]],1)</f>
        <v>44256</v>
      </c>
      <c r="H1084">
        <v>188</v>
      </c>
    </row>
    <row r="1085" spans="1:8" x14ac:dyDescent="0.25">
      <c r="A1085">
        <v>1084</v>
      </c>
      <c r="B1085" t="str">
        <f>Table2[[#This Row],[Propinsi]]&amp;"_"&amp;Table2[[#This Row],[Dati 2]]&amp;"_"&amp;Table2[[#This Row],[Tanggal]]</f>
        <v>SULAWESI SELATAN_WAJO_44287</v>
      </c>
      <c r="C1085" t="s">
        <v>7</v>
      </c>
      <c r="D1085" t="s">
        <v>133</v>
      </c>
      <c r="E1085">
        <v>4</v>
      </c>
      <c r="F1085">
        <v>2021</v>
      </c>
      <c r="G1085" s="1">
        <f>DATE(Table2[[#This Row],[Tahun]],Table2[[#This Row],[Bulan]],1)</f>
        <v>44287</v>
      </c>
      <c r="H1085">
        <v>188</v>
      </c>
    </row>
    <row r="1086" spans="1:8" x14ac:dyDescent="0.25">
      <c r="A1086">
        <v>1085</v>
      </c>
      <c r="B1086" t="str">
        <f>Table2[[#This Row],[Propinsi]]&amp;"_"&amp;Table2[[#This Row],[Dati 2]]&amp;"_"&amp;Table2[[#This Row],[Tanggal]]</f>
        <v>SULAWESI SELATAN_WAJO_44317</v>
      </c>
      <c r="C1086" t="s">
        <v>7</v>
      </c>
      <c r="D1086" t="s">
        <v>133</v>
      </c>
      <c r="E1086">
        <v>5</v>
      </c>
      <c r="F1086">
        <v>2021</v>
      </c>
      <c r="G1086" s="1">
        <f>DATE(Table2[[#This Row],[Tahun]],Table2[[#This Row],[Bulan]],1)</f>
        <v>44317</v>
      </c>
      <c r="H1086">
        <v>189</v>
      </c>
    </row>
    <row r="1087" spans="1:8" x14ac:dyDescent="0.25">
      <c r="A1087">
        <v>1086</v>
      </c>
      <c r="B1087" t="str">
        <f>Table2[[#This Row],[Propinsi]]&amp;"_"&amp;Table2[[#This Row],[Dati 2]]&amp;"_"&amp;Table2[[#This Row],[Tanggal]]</f>
        <v>SULAWESI SELATAN_WAJO_44348</v>
      </c>
      <c r="C1087" t="s">
        <v>7</v>
      </c>
      <c r="D1087" t="s">
        <v>133</v>
      </c>
      <c r="E1087">
        <v>6</v>
      </c>
      <c r="F1087">
        <v>2021</v>
      </c>
      <c r="G1087" s="1">
        <f>DATE(Table2[[#This Row],[Tahun]],Table2[[#This Row],[Bulan]],1)</f>
        <v>44348</v>
      </c>
      <c r="H1087">
        <v>193</v>
      </c>
    </row>
    <row r="1088" spans="1:8" x14ac:dyDescent="0.25">
      <c r="A1088">
        <v>1087</v>
      </c>
      <c r="B1088" t="str">
        <f>Table2[[#This Row],[Propinsi]]&amp;"_"&amp;Table2[[#This Row],[Dati 2]]&amp;"_"&amp;Table2[[#This Row],[Tanggal]]</f>
        <v>SULAWESI SELATAN_WAJO_44378</v>
      </c>
      <c r="C1088" t="s">
        <v>7</v>
      </c>
      <c r="D1088" t="s">
        <v>133</v>
      </c>
      <c r="E1088">
        <v>7</v>
      </c>
      <c r="F1088">
        <v>2021</v>
      </c>
      <c r="G1088" s="1">
        <f>DATE(Table2[[#This Row],[Tahun]],Table2[[#This Row],[Bulan]],1)</f>
        <v>44378</v>
      </c>
      <c r="H1088">
        <v>195</v>
      </c>
    </row>
    <row r="1089" spans="1:8" x14ac:dyDescent="0.25">
      <c r="A1089">
        <v>1088</v>
      </c>
      <c r="B1089" t="str">
        <f>Table2[[#This Row],[Propinsi]]&amp;"_"&amp;Table2[[#This Row],[Dati 2]]&amp;"_"&amp;Table2[[#This Row],[Tanggal]]</f>
        <v>SULAWESI SELATAN_WAJO_44409</v>
      </c>
      <c r="C1089" t="s">
        <v>7</v>
      </c>
      <c r="D1089" t="s">
        <v>133</v>
      </c>
      <c r="E1089">
        <v>8</v>
      </c>
      <c r="F1089">
        <v>2021</v>
      </c>
      <c r="G1089" s="1">
        <f>DATE(Table2[[#This Row],[Tahun]],Table2[[#This Row],[Bulan]],1)</f>
        <v>44409</v>
      </c>
      <c r="H1089">
        <v>201</v>
      </c>
    </row>
    <row r="1090" spans="1:8" x14ac:dyDescent="0.25">
      <c r="A1090">
        <v>1089</v>
      </c>
      <c r="B1090" t="str">
        <f>Table2[[#This Row],[Propinsi]]&amp;"_"&amp;Table2[[#This Row],[Dati 2]]&amp;"_"&amp;Table2[[#This Row],[Tanggal]]</f>
        <v>SULAWESI SELATAN_WAJO_44440</v>
      </c>
      <c r="C1090" t="s">
        <v>7</v>
      </c>
      <c r="D1090" t="s">
        <v>133</v>
      </c>
      <c r="E1090">
        <v>9</v>
      </c>
      <c r="F1090">
        <v>2021</v>
      </c>
      <c r="G1090" s="1">
        <f>DATE(Table2[[#This Row],[Tahun]],Table2[[#This Row],[Bulan]],1)</f>
        <v>44440</v>
      </c>
      <c r="H1090">
        <v>202</v>
      </c>
    </row>
    <row r="1091" spans="1:8" x14ac:dyDescent="0.25">
      <c r="A1091">
        <v>1090</v>
      </c>
      <c r="B1091" t="str">
        <f>Table2[[#This Row],[Propinsi]]&amp;"_"&amp;Table2[[#This Row],[Dati 2]]&amp;"_"&amp;Table2[[#This Row],[Tanggal]]</f>
        <v>SULAWESI SELATAN_WAJO_44470</v>
      </c>
      <c r="C1091" t="s">
        <v>7</v>
      </c>
      <c r="D1091" t="s">
        <v>133</v>
      </c>
      <c r="E1091">
        <v>10</v>
      </c>
      <c r="F1091">
        <v>2021</v>
      </c>
      <c r="G1091" s="1">
        <f>DATE(Table2[[#This Row],[Tahun]],Table2[[#This Row],[Bulan]],1)</f>
        <v>44470</v>
      </c>
      <c r="H1091">
        <v>204</v>
      </c>
    </row>
    <row r="1092" spans="1:8" x14ac:dyDescent="0.25">
      <c r="A1092">
        <v>1091</v>
      </c>
      <c r="B1092" t="str">
        <f>Table2[[#This Row],[Propinsi]]&amp;"_"&amp;Table2[[#This Row],[Dati 2]]&amp;"_"&amp;Table2[[#This Row],[Tanggal]]</f>
        <v>SULAWESI SELATAN_WAJO_44501</v>
      </c>
      <c r="C1092" t="s">
        <v>7</v>
      </c>
      <c r="D1092" t="s">
        <v>133</v>
      </c>
      <c r="E1092">
        <v>11</v>
      </c>
      <c r="F1092">
        <v>2021</v>
      </c>
      <c r="G1092" s="1">
        <f>DATE(Table2[[#This Row],[Tahun]],Table2[[#This Row],[Bulan]],1)</f>
        <v>44501</v>
      </c>
      <c r="H1092">
        <v>208</v>
      </c>
    </row>
    <row r="1093" spans="1:8" x14ac:dyDescent="0.25">
      <c r="A1093">
        <v>1092</v>
      </c>
      <c r="B1093" t="str">
        <f>Table2[[#This Row],[Propinsi]]&amp;"_"&amp;Table2[[#This Row],[Dati 2]]&amp;"_"&amp;Table2[[#This Row],[Tanggal]]</f>
        <v>SULAWESI SELATAN_WAJO_44531</v>
      </c>
      <c r="C1093" t="s">
        <v>7</v>
      </c>
      <c r="D1093" t="s">
        <v>133</v>
      </c>
      <c r="E1093">
        <v>12</v>
      </c>
      <c r="F1093">
        <v>2021</v>
      </c>
      <c r="G1093" s="1">
        <f>DATE(Table2[[#This Row],[Tahun]],Table2[[#This Row],[Bulan]],1)</f>
        <v>44531</v>
      </c>
      <c r="H1093">
        <v>212</v>
      </c>
    </row>
    <row r="1094" spans="1:8" x14ac:dyDescent="0.25">
      <c r="A1094">
        <v>1093</v>
      </c>
      <c r="B1094" t="str">
        <f>Table2[[#This Row],[Propinsi]]&amp;"_"&amp;Table2[[#This Row],[Dati 2]]&amp;"_"&amp;Table2[[#This Row],[Tanggal]]</f>
        <v>SULAWESI SELATAN_PAREPARE_44197</v>
      </c>
      <c r="C1094" t="s">
        <v>7</v>
      </c>
      <c r="D1094" t="s">
        <v>134</v>
      </c>
      <c r="E1094">
        <v>1</v>
      </c>
      <c r="F1094">
        <v>2021</v>
      </c>
      <c r="G1094" s="1">
        <f>DATE(Table2[[#This Row],[Tahun]],Table2[[#This Row],[Bulan]],1)</f>
        <v>44197</v>
      </c>
      <c r="H1094">
        <v>95</v>
      </c>
    </row>
    <row r="1095" spans="1:8" x14ac:dyDescent="0.25">
      <c r="A1095">
        <v>1094</v>
      </c>
      <c r="B1095" t="str">
        <f>Table2[[#This Row],[Propinsi]]&amp;"_"&amp;Table2[[#This Row],[Dati 2]]&amp;"_"&amp;Table2[[#This Row],[Tanggal]]</f>
        <v>SULAWESI SELATAN_PAREPARE_44228</v>
      </c>
      <c r="C1095" t="s">
        <v>7</v>
      </c>
      <c r="D1095" t="s">
        <v>134</v>
      </c>
      <c r="E1095">
        <v>2</v>
      </c>
      <c r="F1095">
        <v>2021</v>
      </c>
      <c r="G1095" s="1">
        <f>DATE(Table2[[#This Row],[Tahun]],Table2[[#This Row],[Bulan]],1)</f>
        <v>44228</v>
      </c>
      <c r="H1095">
        <v>96</v>
      </c>
    </row>
    <row r="1096" spans="1:8" x14ac:dyDescent="0.25">
      <c r="A1096">
        <v>1095</v>
      </c>
      <c r="B1096" t="str">
        <f>Table2[[#This Row],[Propinsi]]&amp;"_"&amp;Table2[[#This Row],[Dati 2]]&amp;"_"&amp;Table2[[#This Row],[Tanggal]]</f>
        <v>SULAWESI SELATAN_PAREPARE_44256</v>
      </c>
      <c r="C1096" t="s">
        <v>7</v>
      </c>
      <c r="D1096" t="s">
        <v>134</v>
      </c>
      <c r="E1096">
        <v>3</v>
      </c>
      <c r="F1096">
        <v>2021</v>
      </c>
      <c r="G1096" s="1">
        <f>DATE(Table2[[#This Row],[Tahun]],Table2[[#This Row],[Bulan]],1)</f>
        <v>44256</v>
      </c>
      <c r="H1096">
        <v>96</v>
      </c>
    </row>
    <row r="1097" spans="1:8" x14ac:dyDescent="0.25">
      <c r="A1097">
        <v>1096</v>
      </c>
      <c r="B1097" t="str">
        <f>Table2[[#This Row],[Propinsi]]&amp;"_"&amp;Table2[[#This Row],[Dati 2]]&amp;"_"&amp;Table2[[#This Row],[Tanggal]]</f>
        <v>SULAWESI SELATAN_PAREPARE_44287</v>
      </c>
      <c r="C1097" t="s">
        <v>7</v>
      </c>
      <c r="D1097" t="s">
        <v>134</v>
      </c>
      <c r="E1097">
        <v>4</v>
      </c>
      <c r="F1097">
        <v>2021</v>
      </c>
      <c r="G1097" s="1">
        <f>DATE(Table2[[#This Row],[Tahun]],Table2[[#This Row],[Bulan]],1)</f>
        <v>44287</v>
      </c>
      <c r="H1097">
        <v>97</v>
      </c>
    </row>
    <row r="1098" spans="1:8" x14ac:dyDescent="0.25">
      <c r="A1098">
        <v>1097</v>
      </c>
      <c r="B1098" t="str">
        <f>Table2[[#This Row],[Propinsi]]&amp;"_"&amp;Table2[[#This Row],[Dati 2]]&amp;"_"&amp;Table2[[#This Row],[Tanggal]]</f>
        <v>SULAWESI SELATAN_PAREPARE_44317</v>
      </c>
      <c r="C1098" t="s">
        <v>7</v>
      </c>
      <c r="D1098" t="s">
        <v>134</v>
      </c>
      <c r="E1098">
        <v>5</v>
      </c>
      <c r="F1098">
        <v>2021</v>
      </c>
      <c r="G1098" s="1">
        <f>DATE(Table2[[#This Row],[Tahun]],Table2[[#This Row],[Bulan]],1)</f>
        <v>44317</v>
      </c>
      <c r="H1098">
        <v>103</v>
      </c>
    </row>
    <row r="1099" spans="1:8" x14ac:dyDescent="0.25">
      <c r="A1099">
        <v>1098</v>
      </c>
      <c r="B1099" t="str">
        <f>Table2[[#This Row],[Propinsi]]&amp;"_"&amp;Table2[[#This Row],[Dati 2]]&amp;"_"&amp;Table2[[#This Row],[Tanggal]]</f>
        <v>SULAWESI SELATAN_PAREPARE_44348</v>
      </c>
      <c r="C1099" t="s">
        <v>7</v>
      </c>
      <c r="D1099" t="s">
        <v>134</v>
      </c>
      <c r="E1099">
        <v>6</v>
      </c>
      <c r="F1099">
        <v>2021</v>
      </c>
      <c r="G1099" s="1">
        <f>DATE(Table2[[#This Row],[Tahun]],Table2[[#This Row],[Bulan]],1)</f>
        <v>44348</v>
      </c>
      <c r="H1099">
        <v>106</v>
      </c>
    </row>
    <row r="1100" spans="1:8" x14ac:dyDescent="0.25">
      <c r="A1100">
        <v>1099</v>
      </c>
      <c r="B1100" t="str">
        <f>Table2[[#This Row],[Propinsi]]&amp;"_"&amp;Table2[[#This Row],[Dati 2]]&amp;"_"&amp;Table2[[#This Row],[Tanggal]]</f>
        <v>SULAWESI SELATAN_PAREPARE_44378</v>
      </c>
      <c r="C1100" t="s">
        <v>7</v>
      </c>
      <c r="D1100" t="s">
        <v>134</v>
      </c>
      <c r="E1100">
        <v>7</v>
      </c>
      <c r="F1100">
        <v>2021</v>
      </c>
      <c r="G1100" s="1">
        <f>DATE(Table2[[#This Row],[Tahun]],Table2[[#This Row],[Bulan]],1)</f>
        <v>44378</v>
      </c>
      <c r="H1100">
        <v>111</v>
      </c>
    </row>
    <row r="1101" spans="1:8" x14ac:dyDescent="0.25">
      <c r="A1101">
        <v>1100</v>
      </c>
      <c r="B1101" t="str">
        <f>Table2[[#This Row],[Propinsi]]&amp;"_"&amp;Table2[[#This Row],[Dati 2]]&amp;"_"&amp;Table2[[#This Row],[Tanggal]]</f>
        <v>SULAWESI SELATAN_PAREPARE_44409</v>
      </c>
      <c r="C1101" t="s">
        <v>7</v>
      </c>
      <c r="D1101" t="s">
        <v>134</v>
      </c>
      <c r="E1101">
        <v>8</v>
      </c>
      <c r="F1101">
        <v>2021</v>
      </c>
      <c r="G1101" s="1">
        <f>DATE(Table2[[#This Row],[Tahun]],Table2[[#This Row],[Bulan]],1)</f>
        <v>44409</v>
      </c>
      <c r="H1101">
        <v>112</v>
      </c>
    </row>
    <row r="1102" spans="1:8" x14ac:dyDescent="0.25">
      <c r="A1102">
        <v>1101</v>
      </c>
      <c r="B1102" t="str">
        <f>Table2[[#This Row],[Propinsi]]&amp;"_"&amp;Table2[[#This Row],[Dati 2]]&amp;"_"&amp;Table2[[#This Row],[Tanggal]]</f>
        <v>SULAWESI SELATAN_PAREPARE_44440</v>
      </c>
      <c r="C1102" t="s">
        <v>7</v>
      </c>
      <c r="D1102" t="s">
        <v>134</v>
      </c>
      <c r="E1102">
        <v>9</v>
      </c>
      <c r="F1102">
        <v>2021</v>
      </c>
      <c r="G1102" s="1">
        <f>DATE(Table2[[#This Row],[Tahun]],Table2[[#This Row],[Bulan]],1)</f>
        <v>44440</v>
      </c>
      <c r="H1102">
        <v>115</v>
      </c>
    </row>
    <row r="1103" spans="1:8" x14ac:dyDescent="0.25">
      <c r="A1103">
        <v>1102</v>
      </c>
      <c r="B1103" t="str">
        <f>Table2[[#This Row],[Propinsi]]&amp;"_"&amp;Table2[[#This Row],[Dati 2]]&amp;"_"&amp;Table2[[#This Row],[Tanggal]]</f>
        <v>SULAWESI SELATAN_PAREPARE_44470</v>
      </c>
      <c r="C1103" t="s">
        <v>7</v>
      </c>
      <c r="D1103" t="s">
        <v>134</v>
      </c>
      <c r="E1103">
        <v>10</v>
      </c>
      <c r="F1103">
        <v>2021</v>
      </c>
      <c r="G1103" s="1">
        <f>DATE(Table2[[#This Row],[Tahun]],Table2[[#This Row],[Bulan]],1)</f>
        <v>44470</v>
      </c>
      <c r="H1103">
        <v>115</v>
      </c>
    </row>
    <row r="1104" spans="1:8" x14ac:dyDescent="0.25">
      <c r="A1104">
        <v>1103</v>
      </c>
      <c r="B1104" t="str">
        <f>Table2[[#This Row],[Propinsi]]&amp;"_"&amp;Table2[[#This Row],[Dati 2]]&amp;"_"&amp;Table2[[#This Row],[Tanggal]]</f>
        <v>SULAWESI SELATAN_PAREPARE_44501</v>
      </c>
      <c r="C1104" t="s">
        <v>7</v>
      </c>
      <c r="D1104" t="s">
        <v>134</v>
      </c>
      <c r="E1104">
        <v>11</v>
      </c>
      <c r="F1104">
        <v>2021</v>
      </c>
      <c r="G1104" s="1">
        <f>DATE(Table2[[#This Row],[Tahun]],Table2[[#This Row],[Bulan]],1)</f>
        <v>44501</v>
      </c>
      <c r="H1104">
        <v>113</v>
      </c>
    </row>
    <row r="1105" spans="1:8" x14ac:dyDescent="0.25">
      <c r="A1105">
        <v>1104</v>
      </c>
      <c r="B1105" t="str">
        <f>Table2[[#This Row],[Propinsi]]&amp;"_"&amp;Table2[[#This Row],[Dati 2]]&amp;"_"&amp;Table2[[#This Row],[Tanggal]]</f>
        <v>SULAWESI SELATAN_PAREPARE_44531</v>
      </c>
      <c r="C1105" t="s">
        <v>7</v>
      </c>
      <c r="D1105" t="s">
        <v>134</v>
      </c>
      <c r="E1105">
        <v>12</v>
      </c>
      <c r="F1105">
        <v>2021</v>
      </c>
      <c r="G1105" s="1">
        <f>DATE(Table2[[#This Row],[Tahun]],Table2[[#This Row],[Bulan]],1)</f>
        <v>44531</v>
      </c>
      <c r="H1105">
        <v>117</v>
      </c>
    </row>
    <row r="1106" spans="1:8" x14ac:dyDescent="0.25">
      <c r="A1106">
        <v>1105</v>
      </c>
      <c r="B1106" t="str">
        <f>Table2[[#This Row],[Propinsi]]&amp;"_"&amp;Table2[[#This Row],[Dati 2]]&amp;"_"&amp;Table2[[#This Row],[Tanggal]]</f>
        <v>SULAWESI SELATAN_PINRANG_44197</v>
      </c>
      <c r="C1106" t="s">
        <v>7</v>
      </c>
      <c r="D1106" t="s">
        <v>135</v>
      </c>
      <c r="E1106">
        <v>1</v>
      </c>
      <c r="F1106">
        <v>2021</v>
      </c>
      <c r="G1106" s="1">
        <f>DATE(Table2[[#This Row],[Tahun]],Table2[[#This Row],[Bulan]],1)</f>
        <v>44197</v>
      </c>
      <c r="H1106">
        <v>271</v>
      </c>
    </row>
    <row r="1107" spans="1:8" x14ac:dyDescent="0.25">
      <c r="A1107">
        <v>1106</v>
      </c>
      <c r="B1107" t="str">
        <f>Table2[[#This Row],[Propinsi]]&amp;"_"&amp;Table2[[#This Row],[Dati 2]]&amp;"_"&amp;Table2[[#This Row],[Tanggal]]</f>
        <v>SULAWESI SELATAN_PINRANG_44228</v>
      </c>
      <c r="C1107" t="s">
        <v>7</v>
      </c>
      <c r="D1107" t="s">
        <v>135</v>
      </c>
      <c r="E1107">
        <v>2</v>
      </c>
      <c r="F1107">
        <v>2021</v>
      </c>
      <c r="G1107" s="1">
        <f>DATE(Table2[[#This Row],[Tahun]],Table2[[#This Row],[Bulan]],1)</f>
        <v>44228</v>
      </c>
      <c r="H1107">
        <v>276</v>
      </c>
    </row>
    <row r="1108" spans="1:8" x14ac:dyDescent="0.25">
      <c r="A1108">
        <v>1107</v>
      </c>
      <c r="B1108" t="str">
        <f>Table2[[#This Row],[Propinsi]]&amp;"_"&amp;Table2[[#This Row],[Dati 2]]&amp;"_"&amp;Table2[[#This Row],[Tanggal]]</f>
        <v>SULAWESI SELATAN_PINRANG_44256</v>
      </c>
      <c r="C1108" t="s">
        <v>7</v>
      </c>
      <c r="D1108" t="s">
        <v>135</v>
      </c>
      <c r="E1108">
        <v>3</v>
      </c>
      <c r="F1108">
        <v>2021</v>
      </c>
      <c r="G1108" s="1">
        <f>DATE(Table2[[#This Row],[Tahun]],Table2[[#This Row],[Bulan]],1)</f>
        <v>44256</v>
      </c>
      <c r="H1108">
        <v>279</v>
      </c>
    </row>
    <row r="1109" spans="1:8" x14ac:dyDescent="0.25">
      <c r="A1109">
        <v>1108</v>
      </c>
      <c r="B1109" t="str">
        <f>Table2[[#This Row],[Propinsi]]&amp;"_"&amp;Table2[[#This Row],[Dati 2]]&amp;"_"&amp;Table2[[#This Row],[Tanggal]]</f>
        <v>SULAWESI SELATAN_PINRANG_44287</v>
      </c>
      <c r="C1109" t="s">
        <v>7</v>
      </c>
      <c r="D1109" t="s">
        <v>135</v>
      </c>
      <c r="E1109">
        <v>4</v>
      </c>
      <c r="F1109">
        <v>2021</v>
      </c>
      <c r="G1109" s="1">
        <f>DATE(Table2[[#This Row],[Tahun]],Table2[[#This Row],[Bulan]],1)</f>
        <v>44287</v>
      </c>
      <c r="H1109">
        <v>282</v>
      </c>
    </row>
    <row r="1110" spans="1:8" x14ac:dyDescent="0.25">
      <c r="A1110">
        <v>1109</v>
      </c>
      <c r="B1110" t="str">
        <f>Table2[[#This Row],[Propinsi]]&amp;"_"&amp;Table2[[#This Row],[Dati 2]]&amp;"_"&amp;Table2[[#This Row],[Tanggal]]</f>
        <v>SULAWESI SELATAN_PINRANG_44317</v>
      </c>
      <c r="C1110" t="s">
        <v>7</v>
      </c>
      <c r="D1110" t="s">
        <v>135</v>
      </c>
      <c r="E1110">
        <v>5</v>
      </c>
      <c r="F1110">
        <v>2021</v>
      </c>
      <c r="G1110" s="1">
        <f>DATE(Table2[[#This Row],[Tahun]],Table2[[#This Row],[Bulan]],1)</f>
        <v>44317</v>
      </c>
      <c r="H1110">
        <v>285</v>
      </c>
    </row>
    <row r="1111" spans="1:8" x14ac:dyDescent="0.25">
      <c r="A1111">
        <v>1110</v>
      </c>
      <c r="B1111" t="str">
        <f>Table2[[#This Row],[Propinsi]]&amp;"_"&amp;Table2[[#This Row],[Dati 2]]&amp;"_"&amp;Table2[[#This Row],[Tanggal]]</f>
        <v>SULAWESI SELATAN_PINRANG_44348</v>
      </c>
      <c r="C1111" t="s">
        <v>7</v>
      </c>
      <c r="D1111" t="s">
        <v>135</v>
      </c>
      <c r="E1111">
        <v>6</v>
      </c>
      <c r="F1111">
        <v>2021</v>
      </c>
      <c r="G1111" s="1">
        <f>DATE(Table2[[#This Row],[Tahun]],Table2[[#This Row],[Bulan]],1)</f>
        <v>44348</v>
      </c>
      <c r="H1111">
        <v>285</v>
      </c>
    </row>
    <row r="1112" spans="1:8" x14ac:dyDescent="0.25">
      <c r="A1112">
        <v>1111</v>
      </c>
      <c r="B1112" t="str">
        <f>Table2[[#This Row],[Propinsi]]&amp;"_"&amp;Table2[[#This Row],[Dati 2]]&amp;"_"&amp;Table2[[#This Row],[Tanggal]]</f>
        <v>SULAWESI SELATAN_PINRANG_44378</v>
      </c>
      <c r="C1112" t="s">
        <v>7</v>
      </c>
      <c r="D1112" t="s">
        <v>135</v>
      </c>
      <c r="E1112">
        <v>7</v>
      </c>
      <c r="F1112">
        <v>2021</v>
      </c>
      <c r="G1112" s="1">
        <f>DATE(Table2[[#This Row],[Tahun]],Table2[[#This Row],[Bulan]],1)</f>
        <v>44378</v>
      </c>
      <c r="H1112">
        <v>291</v>
      </c>
    </row>
    <row r="1113" spans="1:8" x14ac:dyDescent="0.25">
      <c r="A1113">
        <v>1112</v>
      </c>
      <c r="B1113" t="str">
        <f>Table2[[#This Row],[Propinsi]]&amp;"_"&amp;Table2[[#This Row],[Dati 2]]&amp;"_"&amp;Table2[[#This Row],[Tanggal]]</f>
        <v>SULAWESI SELATAN_PINRANG_44409</v>
      </c>
      <c r="C1113" t="s">
        <v>7</v>
      </c>
      <c r="D1113" t="s">
        <v>135</v>
      </c>
      <c r="E1113">
        <v>8</v>
      </c>
      <c r="F1113">
        <v>2021</v>
      </c>
      <c r="G1113" s="1">
        <f>DATE(Table2[[#This Row],[Tahun]],Table2[[#This Row],[Bulan]],1)</f>
        <v>44409</v>
      </c>
      <c r="H1113">
        <v>290</v>
      </c>
    </row>
    <row r="1114" spans="1:8" x14ac:dyDescent="0.25">
      <c r="A1114">
        <v>1113</v>
      </c>
      <c r="B1114" t="str">
        <f>Table2[[#This Row],[Propinsi]]&amp;"_"&amp;Table2[[#This Row],[Dati 2]]&amp;"_"&amp;Table2[[#This Row],[Tanggal]]</f>
        <v>SULAWESI SELATAN_PINRANG_44440</v>
      </c>
      <c r="C1114" t="s">
        <v>7</v>
      </c>
      <c r="D1114" t="s">
        <v>135</v>
      </c>
      <c r="E1114">
        <v>9</v>
      </c>
      <c r="F1114">
        <v>2021</v>
      </c>
      <c r="G1114" s="1">
        <f>DATE(Table2[[#This Row],[Tahun]],Table2[[#This Row],[Bulan]],1)</f>
        <v>44440</v>
      </c>
      <c r="H1114">
        <v>290</v>
      </c>
    </row>
    <row r="1115" spans="1:8" x14ac:dyDescent="0.25">
      <c r="A1115">
        <v>1114</v>
      </c>
      <c r="B1115" t="str">
        <f>Table2[[#This Row],[Propinsi]]&amp;"_"&amp;Table2[[#This Row],[Dati 2]]&amp;"_"&amp;Table2[[#This Row],[Tanggal]]</f>
        <v>SULAWESI SELATAN_PINRANG_44470</v>
      </c>
      <c r="C1115" t="s">
        <v>7</v>
      </c>
      <c r="D1115" t="s">
        <v>135</v>
      </c>
      <c r="E1115">
        <v>10</v>
      </c>
      <c r="F1115">
        <v>2021</v>
      </c>
      <c r="G1115" s="1">
        <f>DATE(Table2[[#This Row],[Tahun]],Table2[[#This Row],[Bulan]],1)</f>
        <v>44470</v>
      </c>
      <c r="H1115">
        <v>291</v>
      </c>
    </row>
    <row r="1116" spans="1:8" x14ac:dyDescent="0.25">
      <c r="A1116">
        <v>1115</v>
      </c>
      <c r="B1116" t="str">
        <f>Table2[[#This Row],[Propinsi]]&amp;"_"&amp;Table2[[#This Row],[Dati 2]]&amp;"_"&amp;Table2[[#This Row],[Tanggal]]</f>
        <v>SULAWESI SELATAN_PINRANG_44501</v>
      </c>
      <c r="C1116" t="s">
        <v>7</v>
      </c>
      <c r="D1116" t="s">
        <v>135</v>
      </c>
      <c r="E1116">
        <v>11</v>
      </c>
      <c r="F1116">
        <v>2021</v>
      </c>
      <c r="G1116" s="1">
        <f>DATE(Table2[[#This Row],[Tahun]],Table2[[#This Row],[Bulan]],1)</f>
        <v>44501</v>
      </c>
      <c r="H1116">
        <v>292</v>
      </c>
    </row>
    <row r="1117" spans="1:8" x14ac:dyDescent="0.25">
      <c r="A1117">
        <v>1116</v>
      </c>
      <c r="B1117" t="str">
        <f>Table2[[#This Row],[Propinsi]]&amp;"_"&amp;Table2[[#This Row],[Dati 2]]&amp;"_"&amp;Table2[[#This Row],[Tanggal]]</f>
        <v>SULAWESI SELATAN_PINRANG_44531</v>
      </c>
      <c r="C1117" t="s">
        <v>7</v>
      </c>
      <c r="D1117" t="s">
        <v>135</v>
      </c>
      <c r="E1117">
        <v>12</v>
      </c>
      <c r="F1117">
        <v>2021</v>
      </c>
      <c r="G1117" s="1">
        <f>DATE(Table2[[#This Row],[Tahun]],Table2[[#This Row],[Bulan]],1)</f>
        <v>44531</v>
      </c>
      <c r="H1117">
        <v>296</v>
      </c>
    </row>
    <row r="1118" spans="1:8" x14ac:dyDescent="0.25">
      <c r="A1118">
        <v>1117</v>
      </c>
      <c r="B1118" t="str">
        <f>Table2[[#This Row],[Propinsi]]&amp;"_"&amp;Table2[[#This Row],[Dati 2]]&amp;"_"&amp;Table2[[#This Row],[Tanggal]]</f>
        <v>SULAWESI SELATAN_SIDENRENG RAPPANG_44197</v>
      </c>
      <c r="C1118" t="s">
        <v>7</v>
      </c>
      <c r="D1118" t="s">
        <v>136</v>
      </c>
      <c r="E1118">
        <v>1</v>
      </c>
      <c r="F1118">
        <v>2021</v>
      </c>
      <c r="G1118" s="1">
        <f>DATE(Table2[[#This Row],[Tahun]],Table2[[#This Row],[Bulan]],1)</f>
        <v>44197</v>
      </c>
      <c r="H1118">
        <v>126</v>
      </c>
    </row>
    <row r="1119" spans="1:8" x14ac:dyDescent="0.25">
      <c r="A1119">
        <v>1118</v>
      </c>
      <c r="B1119" t="str">
        <f>Table2[[#This Row],[Propinsi]]&amp;"_"&amp;Table2[[#This Row],[Dati 2]]&amp;"_"&amp;Table2[[#This Row],[Tanggal]]</f>
        <v>SULAWESI SELATAN_SIDENRENG RAPPANG_44228</v>
      </c>
      <c r="C1119" t="s">
        <v>7</v>
      </c>
      <c r="D1119" t="s">
        <v>136</v>
      </c>
      <c r="E1119">
        <v>2</v>
      </c>
      <c r="F1119">
        <v>2021</v>
      </c>
      <c r="G1119" s="1">
        <f>DATE(Table2[[#This Row],[Tahun]],Table2[[#This Row],[Bulan]],1)</f>
        <v>44228</v>
      </c>
      <c r="H1119">
        <v>128</v>
      </c>
    </row>
    <row r="1120" spans="1:8" x14ac:dyDescent="0.25">
      <c r="A1120">
        <v>1119</v>
      </c>
      <c r="B1120" t="str">
        <f>Table2[[#This Row],[Propinsi]]&amp;"_"&amp;Table2[[#This Row],[Dati 2]]&amp;"_"&amp;Table2[[#This Row],[Tanggal]]</f>
        <v>SULAWESI SELATAN_SIDENRENG RAPPANG_44256</v>
      </c>
      <c r="C1120" t="s">
        <v>7</v>
      </c>
      <c r="D1120" t="s">
        <v>136</v>
      </c>
      <c r="E1120">
        <v>3</v>
      </c>
      <c r="F1120">
        <v>2021</v>
      </c>
      <c r="G1120" s="1">
        <f>DATE(Table2[[#This Row],[Tahun]],Table2[[#This Row],[Bulan]],1)</f>
        <v>44256</v>
      </c>
      <c r="H1120">
        <v>131</v>
      </c>
    </row>
    <row r="1121" spans="1:8" x14ac:dyDescent="0.25">
      <c r="A1121">
        <v>1120</v>
      </c>
      <c r="B1121" t="str">
        <f>Table2[[#This Row],[Propinsi]]&amp;"_"&amp;Table2[[#This Row],[Dati 2]]&amp;"_"&amp;Table2[[#This Row],[Tanggal]]</f>
        <v>SULAWESI SELATAN_SIDENRENG RAPPANG_44287</v>
      </c>
      <c r="C1121" t="s">
        <v>7</v>
      </c>
      <c r="D1121" t="s">
        <v>136</v>
      </c>
      <c r="E1121">
        <v>4</v>
      </c>
      <c r="F1121">
        <v>2021</v>
      </c>
      <c r="G1121" s="1">
        <f>DATE(Table2[[#This Row],[Tahun]],Table2[[#This Row],[Bulan]],1)</f>
        <v>44287</v>
      </c>
      <c r="H1121">
        <v>136</v>
      </c>
    </row>
    <row r="1122" spans="1:8" x14ac:dyDescent="0.25">
      <c r="A1122">
        <v>1121</v>
      </c>
      <c r="B1122" t="str">
        <f>Table2[[#This Row],[Propinsi]]&amp;"_"&amp;Table2[[#This Row],[Dati 2]]&amp;"_"&amp;Table2[[#This Row],[Tanggal]]</f>
        <v>SULAWESI SELATAN_SIDENRENG RAPPANG_44317</v>
      </c>
      <c r="C1122" t="s">
        <v>7</v>
      </c>
      <c r="D1122" t="s">
        <v>136</v>
      </c>
      <c r="E1122">
        <v>5</v>
      </c>
      <c r="F1122">
        <v>2021</v>
      </c>
      <c r="G1122" s="1">
        <f>DATE(Table2[[#This Row],[Tahun]],Table2[[#This Row],[Bulan]],1)</f>
        <v>44317</v>
      </c>
      <c r="H1122">
        <v>141</v>
      </c>
    </row>
    <row r="1123" spans="1:8" x14ac:dyDescent="0.25">
      <c r="A1123">
        <v>1122</v>
      </c>
      <c r="B1123" t="str">
        <f>Table2[[#This Row],[Propinsi]]&amp;"_"&amp;Table2[[#This Row],[Dati 2]]&amp;"_"&amp;Table2[[#This Row],[Tanggal]]</f>
        <v>SULAWESI SELATAN_SIDENRENG RAPPANG_44348</v>
      </c>
      <c r="C1123" t="s">
        <v>7</v>
      </c>
      <c r="D1123" t="s">
        <v>136</v>
      </c>
      <c r="E1123">
        <v>6</v>
      </c>
      <c r="F1123">
        <v>2021</v>
      </c>
      <c r="G1123" s="1">
        <f>DATE(Table2[[#This Row],[Tahun]],Table2[[#This Row],[Bulan]],1)</f>
        <v>44348</v>
      </c>
      <c r="H1123">
        <v>145</v>
      </c>
    </row>
    <row r="1124" spans="1:8" x14ac:dyDescent="0.25">
      <c r="A1124">
        <v>1123</v>
      </c>
      <c r="B1124" t="str">
        <f>Table2[[#This Row],[Propinsi]]&amp;"_"&amp;Table2[[#This Row],[Dati 2]]&amp;"_"&amp;Table2[[#This Row],[Tanggal]]</f>
        <v>SULAWESI SELATAN_SIDENRENG RAPPANG_44378</v>
      </c>
      <c r="C1124" t="s">
        <v>7</v>
      </c>
      <c r="D1124" t="s">
        <v>136</v>
      </c>
      <c r="E1124">
        <v>7</v>
      </c>
      <c r="F1124">
        <v>2021</v>
      </c>
      <c r="G1124" s="1">
        <f>DATE(Table2[[#This Row],[Tahun]],Table2[[#This Row],[Bulan]],1)</f>
        <v>44378</v>
      </c>
      <c r="H1124">
        <v>149</v>
      </c>
    </row>
    <row r="1125" spans="1:8" x14ac:dyDescent="0.25">
      <c r="A1125">
        <v>1124</v>
      </c>
      <c r="B1125" t="str">
        <f>Table2[[#This Row],[Propinsi]]&amp;"_"&amp;Table2[[#This Row],[Dati 2]]&amp;"_"&amp;Table2[[#This Row],[Tanggal]]</f>
        <v>SULAWESI SELATAN_SIDENRENG RAPPANG_44409</v>
      </c>
      <c r="C1125" t="s">
        <v>7</v>
      </c>
      <c r="D1125" t="s">
        <v>136</v>
      </c>
      <c r="E1125">
        <v>8</v>
      </c>
      <c r="F1125">
        <v>2021</v>
      </c>
      <c r="G1125" s="1">
        <f>DATE(Table2[[#This Row],[Tahun]],Table2[[#This Row],[Bulan]],1)</f>
        <v>44409</v>
      </c>
      <c r="H1125">
        <v>155</v>
      </c>
    </row>
    <row r="1126" spans="1:8" x14ac:dyDescent="0.25">
      <c r="A1126">
        <v>1125</v>
      </c>
      <c r="B1126" t="str">
        <f>Table2[[#This Row],[Propinsi]]&amp;"_"&amp;Table2[[#This Row],[Dati 2]]&amp;"_"&amp;Table2[[#This Row],[Tanggal]]</f>
        <v>SULAWESI SELATAN_SIDENRENG RAPPANG_44440</v>
      </c>
      <c r="C1126" t="s">
        <v>7</v>
      </c>
      <c r="D1126" t="s">
        <v>136</v>
      </c>
      <c r="E1126">
        <v>9</v>
      </c>
      <c r="F1126">
        <v>2021</v>
      </c>
      <c r="G1126" s="1">
        <f>DATE(Table2[[#This Row],[Tahun]],Table2[[#This Row],[Bulan]],1)</f>
        <v>44440</v>
      </c>
      <c r="H1126">
        <v>155</v>
      </c>
    </row>
    <row r="1127" spans="1:8" x14ac:dyDescent="0.25">
      <c r="A1127">
        <v>1126</v>
      </c>
      <c r="B1127" t="str">
        <f>Table2[[#This Row],[Propinsi]]&amp;"_"&amp;Table2[[#This Row],[Dati 2]]&amp;"_"&amp;Table2[[#This Row],[Tanggal]]</f>
        <v>SULAWESI SELATAN_SIDENRENG RAPPANG_44470</v>
      </c>
      <c r="C1127" t="s">
        <v>7</v>
      </c>
      <c r="D1127" t="s">
        <v>136</v>
      </c>
      <c r="E1127">
        <v>10</v>
      </c>
      <c r="F1127">
        <v>2021</v>
      </c>
      <c r="G1127" s="1">
        <f>DATE(Table2[[#This Row],[Tahun]],Table2[[#This Row],[Bulan]],1)</f>
        <v>44470</v>
      </c>
      <c r="H1127">
        <v>157</v>
      </c>
    </row>
    <row r="1128" spans="1:8" x14ac:dyDescent="0.25">
      <c r="A1128">
        <v>1127</v>
      </c>
      <c r="B1128" t="str">
        <f>Table2[[#This Row],[Propinsi]]&amp;"_"&amp;Table2[[#This Row],[Dati 2]]&amp;"_"&amp;Table2[[#This Row],[Tanggal]]</f>
        <v>SULAWESI SELATAN_SIDENRENG RAPPANG_44501</v>
      </c>
      <c r="C1128" t="s">
        <v>7</v>
      </c>
      <c r="D1128" t="s">
        <v>136</v>
      </c>
      <c r="E1128">
        <v>11</v>
      </c>
      <c r="F1128">
        <v>2021</v>
      </c>
      <c r="G1128" s="1">
        <f>DATE(Table2[[#This Row],[Tahun]],Table2[[#This Row],[Bulan]],1)</f>
        <v>44501</v>
      </c>
      <c r="H1128">
        <v>157</v>
      </c>
    </row>
    <row r="1129" spans="1:8" x14ac:dyDescent="0.25">
      <c r="A1129">
        <v>1128</v>
      </c>
      <c r="B1129" t="str">
        <f>Table2[[#This Row],[Propinsi]]&amp;"_"&amp;Table2[[#This Row],[Dati 2]]&amp;"_"&amp;Table2[[#This Row],[Tanggal]]</f>
        <v>SULAWESI SELATAN_SIDENRENG RAPPANG_44531</v>
      </c>
      <c r="C1129" t="s">
        <v>7</v>
      </c>
      <c r="D1129" t="s">
        <v>136</v>
      </c>
      <c r="E1129">
        <v>12</v>
      </c>
      <c r="F1129">
        <v>2021</v>
      </c>
      <c r="G1129" s="1">
        <f>DATE(Table2[[#This Row],[Tahun]],Table2[[#This Row],[Bulan]],1)</f>
        <v>44531</v>
      </c>
      <c r="H1129">
        <v>161</v>
      </c>
    </row>
    <row r="1130" spans="1:8" x14ac:dyDescent="0.25">
      <c r="A1130">
        <v>1129</v>
      </c>
      <c r="B1130" t="str">
        <f>Table2[[#This Row],[Propinsi]]&amp;"_"&amp;Table2[[#This Row],[Dati 2]]&amp;"_"&amp;Table2[[#This Row],[Tanggal]]</f>
        <v>SULAWESI SELATAN_SINJAI_44197</v>
      </c>
      <c r="C1130" t="s">
        <v>7</v>
      </c>
      <c r="D1130" t="s">
        <v>137</v>
      </c>
      <c r="E1130">
        <v>1</v>
      </c>
      <c r="F1130">
        <v>2021</v>
      </c>
      <c r="G1130" s="1">
        <f>DATE(Table2[[#This Row],[Tahun]],Table2[[#This Row],[Bulan]],1)</f>
        <v>44197</v>
      </c>
      <c r="H1130">
        <v>79</v>
      </c>
    </row>
    <row r="1131" spans="1:8" x14ac:dyDescent="0.25">
      <c r="A1131">
        <v>1130</v>
      </c>
      <c r="B1131" t="str">
        <f>Table2[[#This Row],[Propinsi]]&amp;"_"&amp;Table2[[#This Row],[Dati 2]]&amp;"_"&amp;Table2[[#This Row],[Tanggal]]</f>
        <v>SULAWESI SELATAN_SINJAI_44228</v>
      </c>
      <c r="C1131" t="s">
        <v>7</v>
      </c>
      <c r="D1131" t="s">
        <v>137</v>
      </c>
      <c r="E1131">
        <v>2</v>
      </c>
      <c r="F1131">
        <v>2021</v>
      </c>
      <c r="G1131" s="1">
        <f>DATE(Table2[[#This Row],[Tahun]],Table2[[#This Row],[Bulan]],1)</f>
        <v>44228</v>
      </c>
      <c r="H1131">
        <v>79</v>
      </c>
    </row>
    <row r="1132" spans="1:8" x14ac:dyDescent="0.25">
      <c r="A1132">
        <v>1131</v>
      </c>
      <c r="B1132" t="str">
        <f>Table2[[#This Row],[Propinsi]]&amp;"_"&amp;Table2[[#This Row],[Dati 2]]&amp;"_"&amp;Table2[[#This Row],[Tanggal]]</f>
        <v>SULAWESI SELATAN_SINJAI_44256</v>
      </c>
      <c r="C1132" t="s">
        <v>7</v>
      </c>
      <c r="D1132" t="s">
        <v>137</v>
      </c>
      <c r="E1132">
        <v>3</v>
      </c>
      <c r="F1132">
        <v>2021</v>
      </c>
      <c r="G1132" s="1">
        <f>DATE(Table2[[#This Row],[Tahun]],Table2[[#This Row],[Bulan]],1)</f>
        <v>44256</v>
      </c>
      <c r="H1132">
        <v>78</v>
      </c>
    </row>
    <row r="1133" spans="1:8" x14ac:dyDescent="0.25">
      <c r="A1133">
        <v>1132</v>
      </c>
      <c r="B1133" t="str">
        <f>Table2[[#This Row],[Propinsi]]&amp;"_"&amp;Table2[[#This Row],[Dati 2]]&amp;"_"&amp;Table2[[#This Row],[Tanggal]]</f>
        <v>SULAWESI SELATAN_SINJAI_44287</v>
      </c>
      <c r="C1133" t="s">
        <v>7</v>
      </c>
      <c r="D1133" t="s">
        <v>137</v>
      </c>
      <c r="E1133">
        <v>4</v>
      </c>
      <c r="F1133">
        <v>2021</v>
      </c>
      <c r="G1133" s="1">
        <f>DATE(Table2[[#This Row],[Tahun]],Table2[[#This Row],[Bulan]],1)</f>
        <v>44287</v>
      </c>
      <c r="H1133">
        <v>81</v>
      </c>
    </row>
    <row r="1134" spans="1:8" x14ac:dyDescent="0.25">
      <c r="A1134">
        <v>1133</v>
      </c>
      <c r="B1134" t="str">
        <f>Table2[[#This Row],[Propinsi]]&amp;"_"&amp;Table2[[#This Row],[Dati 2]]&amp;"_"&amp;Table2[[#This Row],[Tanggal]]</f>
        <v>SULAWESI SELATAN_SINJAI_44317</v>
      </c>
      <c r="C1134" t="s">
        <v>7</v>
      </c>
      <c r="D1134" t="s">
        <v>137</v>
      </c>
      <c r="E1134">
        <v>5</v>
      </c>
      <c r="F1134">
        <v>2021</v>
      </c>
      <c r="G1134" s="1">
        <f>DATE(Table2[[#This Row],[Tahun]],Table2[[#This Row],[Bulan]],1)</f>
        <v>44317</v>
      </c>
      <c r="H1134">
        <v>88</v>
      </c>
    </row>
    <row r="1135" spans="1:8" x14ac:dyDescent="0.25">
      <c r="A1135">
        <v>1134</v>
      </c>
      <c r="B1135" t="str">
        <f>Table2[[#This Row],[Propinsi]]&amp;"_"&amp;Table2[[#This Row],[Dati 2]]&amp;"_"&amp;Table2[[#This Row],[Tanggal]]</f>
        <v>SULAWESI SELATAN_SINJAI_44348</v>
      </c>
      <c r="C1135" t="s">
        <v>7</v>
      </c>
      <c r="D1135" t="s">
        <v>137</v>
      </c>
      <c r="E1135">
        <v>6</v>
      </c>
      <c r="F1135">
        <v>2021</v>
      </c>
      <c r="G1135" s="1">
        <f>DATE(Table2[[#This Row],[Tahun]],Table2[[#This Row],[Bulan]],1)</f>
        <v>44348</v>
      </c>
      <c r="H1135">
        <v>94</v>
      </c>
    </row>
    <row r="1136" spans="1:8" x14ac:dyDescent="0.25">
      <c r="A1136">
        <v>1135</v>
      </c>
      <c r="B1136" t="str">
        <f>Table2[[#This Row],[Propinsi]]&amp;"_"&amp;Table2[[#This Row],[Dati 2]]&amp;"_"&amp;Table2[[#This Row],[Tanggal]]</f>
        <v>SULAWESI SELATAN_SINJAI_44378</v>
      </c>
      <c r="C1136" t="s">
        <v>7</v>
      </c>
      <c r="D1136" t="s">
        <v>137</v>
      </c>
      <c r="E1136">
        <v>7</v>
      </c>
      <c r="F1136">
        <v>2021</v>
      </c>
      <c r="G1136" s="1">
        <f>DATE(Table2[[#This Row],[Tahun]],Table2[[#This Row],[Bulan]],1)</f>
        <v>44378</v>
      </c>
      <c r="H1136">
        <v>95</v>
      </c>
    </row>
    <row r="1137" spans="1:8" x14ac:dyDescent="0.25">
      <c r="A1137">
        <v>1136</v>
      </c>
      <c r="B1137" t="str">
        <f>Table2[[#This Row],[Propinsi]]&amp;"_"&amp;Table2[[#This Row],[Dati 2]]&amp;"_"&amp;Table2[[#This Row],[Tanggal]]</f>
        <v>SULAWESI SELATAN_SINJAI_44409</v>
      </c>
      <c r="C1137" t="s">
        <v>7</v>
      </c>
      <c r="D1137" t="s">
        <v>137</v>
      </c>
      <c r="E1137">
        <v>8</v>
      </c>
      <c r="F1137">
        <v>2021</v>
      </c>
      <c r="G1137" s="1">
        <f>DATE(Table2[[#This Row],[Tahun]],Table2[[#This Row],[Bulan]],1)</f>
        <v>44409</v>
      </c>
      <c r="H1137">
        <v>94</v>
      </c>
    </row>
    <row r="1138" spans="1:8" x14ac:dyDescent="0.25">
      <c r="A1138">
        <v>1137</v>
      </c>
      <c r="B1138" t="str">
        <f>Table2[[#This Row],[Propinsi]]&amp;"_"&amp;Table2[[#This Row],[Dati 2]]&amp;"_"&amp;Table2[[#This Row],[Tanggal]]</f>
        <v>SULAWESI SELATAN_SINJAI_44440</v>
      </c>
      <c r="C1138" t="s">
        <v>7</v>
      </c>
      <c r="D1138" t="s">
        <v>137</v>
      </c>
      <c r="E1138">
        <v>9</v>
      </c>
      <c r="F1138">
        <v>2021</v>
      </c>
      <c r="G1138" s="1">
        <f>DATE(Table2[[#This Row],[Tahun]],Table2[[#This Row],[Bulan]],1)</f>
        <v>44440</v>
      </c>
      <c r="H1138">
        <v>93</v>
      </c>
    </row>
    <row r="1139" spans="1:8" x14ac:dyDescent="0.25">
      <c r="A1139">
        <v>1138</v>
      </c>
      <c r="B1139" t="str">
        <f>Table2[[#This Row],[Propinsi]]&amp;"_"&amp;Table2[[#This Row],[Dati 2]]&amp;"_"&amp;Table2[[#This Row],[Tanggal]]</f>
        <v>SULAWESI SELATAN_SINJAI_44470</v>
      </c>
      <c r="C1139" t="s">
        <v>7</v>
      </c>
      <c r="D1139" t="s">
        <v>137</v>
      </c>
      <c r="E1139">
        <v>10</v>
      </c>
      <c r="F1139">
        <v>2021</v>
      </c>
      <c r="G1139" s="1">
        <f>DATE(Table2[[#This Row],[Tahun]],Table2[[#This Row],[Bulan]],1)</f>
        <v>44470</v>
      </c>
      <c r="H1139">
        <v>95</v>
      </c>
    </row>
    <row r="1140" spans="1:8" x14ac:dyDescent="0.25">
      <c r="A1140">
        <v>1139</v>
      </c>
      <c r="B1140" t="str">
        <f>Table2[[#This Row],[Propinsi]]&amp;"_"&amp;Table2[[#This Row],[Dati 2]]&amp;"_"&amp;Table2[[#This Row],[Tanggal]]</f>
        <v>SULAWESI SELATAN_SINJAI_44501</v>
      </c>
      <c r="C1140" t="s">
        <v>7</v>
      </c>
      <c r="D1140" t="s">
        <v>137</v>
      </c>
      <c r="E1140">
        <v>11</v>
      </c>
      <c r="F1140">
        <v>2021</v>
      </c>
      <c r="G1140" s="1">
        <f>DATE(Table2[[#This Row],[Tahun]],Table2[[#This Row],[Bulan]],1)</f>
        <v>44501</v>
      </c>
      <c r="H1140">
        <v>94</v>
      </c>
    </row>
    <row r="1141" spans="1:8" x14ac:dyDescent="0.25">
      <c r="A1141">
        <v>1140</v>
      </c>
      <c r="B1141" t="str">
        <f>Table2[[#This Row],[Propinsi]]&amp;"_"&amp;Table2[[#This Row],[Dati 2]]&amp;"_"&amp;Table2[[#This Row],[Tanggal]]</f>
        <v>SULAWESI SELATAN_SINJAI_44531</v>
      </c>
      <c r="C1141" t="s">
        <v>7</v>
      </c>
      <c r="D1141" t="s">
        <v>137</v>
      </c>
      <c r="E1141">
        <v>12</v>
      </c>
      <c r="F1141">
        <v>2021</v>
      </c>
      <c r="G1141" s="1">
        <f>DATE(Table2[[#This Row],[Tahun]],Table2[[#This Row],[Bulan]],1)</f>
        <v>44531</v>
      </c>
      <c r="H1141">
        <v>92</v>
      </c>
    </row>
    <row r="1142" spans="1:8" x14ac:dyDescent="0.25">
      <c r="A1142">
        <v>1141</v>
      </c>
      <c r="B1142" t="str">
        <f>Table2[[#This Row],[Propinsi]]&amp;"_"&amp;Table2[[#This Row],[Dati 2]]&amp;"_"&amp;Table2[[#This Row],[Tanggal]]</f>
        <v>SULAWESI SELATAN_ENREKANG_44197</v>
      </c>
      <c r="C1142" t="s">
        <v>7</v>
      </c>
      <c r="D1142" t="s">
        <v>138</v>
      </c>
      <c r="E1142">
        <v>1</v>
      </c>
      <c r="F1142">
        <v>2021</v>
      </c>
      <c r="G1142" s="1">
        <f>DATE(Table2[[#This Row],[Tahun]],Table2[[#This Row],[Bulan]],1)</f>
        <v>44197</v>
      </c>
      <c r="H1142">
        <v>158</v>
      </c>
    </row>
    <row r="1143" spans="1:8" x14ac:dyDescent="0.25">
      <c r="A1143">
        <v>1142</v>
      </c>
      <c r="B1143" t="str">
        <f>Table2[[#This Row],[Propinsi]]&amp;"_"&amp;Table2[[#This Row],[Dati 2]]&amp;"_"&amp;Table2[[#This Row],[Tanggal]]</f>
        <v>SULAWESI SELATAN_ENREKANG_44228</v>
      </c>
      <c r="C1143" t="s">
        <v>7</v>
      </c>
      <c r="D1143" t="s">
        <v>138</v>
      </c>
      <c r="E1143">
        <v>2</v>
      </c>
      <c r="F1143">
        <v>2021</v>
      </c>
      <c r="G1143" s="1">
        <f>DATE(Table2[[#This Row],[Tahun]],Table2[[#This Row],[Bulan]],1)</f>
        <v>44228</v>
      </c>
      <c r="H1143">
        <v>165</v>
      </c>
    </row>
    <row r="1144" spans="1:8" x14ac:dyDescent="0.25">
      <c r="A1144">
        <v>1143</v>
      </c>
      <c r="B1144" t="str">
        <f>Table2[[#This Row],[Propinsi]]&amp;"_"&amp;Table2[[#This Row],[Dati 2]]&amp;"_"&amp;Table2[[#This Row],[Tanggal]]</f>
        <v>SULAWESI SELATAN_ENREKANG_44256</v>
      </c>
      <c r="C1144" t="s">
        <v>7</v>
      </c>
      <c r="D1144" t="s">
        <v>138</v>
      </c>
      <c r="E1144">
        <v>3</v>
      </c>
      <c r="F1144">
        <v>2021</v>
      </c>
      <c r="G1144" s="1">
        <f>DATE(Table2[[#This Row],[Tahun]],Table2[[#This Row],[Bulan]],1)</f>
        <v>44256</v>
      </c>
      <c r="H1144">
        <v>170</v>
      </c>
    </row>
    <row r="1145" spans="1:8" x14ac:dyDescent="0.25">
      <c r="A1145">
        <v>1144</v>
      </c>
      <c r="B1145" t="str">
        <f>Table2[[#This Row],[Propinsi]]&amp;"_"&amp;Table2[[#This Row],[Dati 2]]&amp;"_"&amp;Table2[[#This Row],[Tanggal]]</f>
        <v>SULAWESI SELATAN_ENREKANG_44287</v>
      </c>
      <c r="C1145" t="s">
        <v>7</v>
      </c>
      <c r="D1145" t="s">
        <v>138</v>
      </c>
      <c r="E1145">
        <v>4</v>
      </c>
      <c r="F1145">
        <v>2021</v>
      </c>
      <c r="G1145" s="1">
        <f>DATE(Table2[[#This Row],[Tahun]],Table2[[#This Row],[Bulan]],1)</f>
        <v>44287</v>
      </c>
      <c r="H1145">
        <v>171</v>
      </c>
    </row>
    <row r="1146" spans="1:8" x14ac:dyDescent="0.25">
      <c r="A1146">
        <v>1145</v>
      </c>
      <c r="B1146" t="str">
        <f>Table2[[#This Row],[Propinsi]]&amp;"_"&amp;Table2[[#This Row],[Dati 2]]&amp;"_"&amp;Table2[[#This Row],[Tanggal]]</f>
        <v>SULAWESI SELATAN_ENREKANG_44317</v>
      </c>
      <c r="C1146" t="s">
        <v>7</v>
      </c>
      <c r="D1146" t="s">
        <v>138</v>
      </c>
      <c r="E1146">
        <v>5</v>
      </c>
      <c r="F1146">
        <v>2021</v>
      </c>
      <c r="G1146" s="1">
        <f>DATE(Table2[[#This Row],[Tahun]],Table2[[#This Row],[Bulan]],1)</f>
        <v>44317</v>
      </c>
      <c r="H1146">
        <v>173</v>
      </c>
    </row>
    <row r="1147" spans="1:8" x14ac:dyDescent="0.25">
      <c r="A1147">
        <v>1146</v>
      </c>
      <c r="B1147" t="str">
        <f>Table2[[#This Row],[Propinsi]]&amp;"_"&amp;Table2[[#This Row],[Dati 2]]&amp;"_"&amp;Table2[[#This Row],[Tanggal]]</f>
        <v>SULAWESI SELATAN_ENREKANG_44348</v>
      </c>
      <c r="C1147" t="s">
        <v>7</v>
      </c>
      <c r="D1147" t="s">
        <v>138</v>
      </c>
      <c r="E1147">
        <v>6</v>
      </c>
      <c r="F1147">
        <v>2021</v>
      </c>
      <c r="G1147" s="1">
        <f>DATE(Table2[[#This Row],[Tahun]],Table2[[#This Row],[Bulan]],1)</f>
        <v>44348</v>
      </c>
      <c r="H1147">
        <v>175</v>
      </c>
    </row>
    <row r="1148" spans="1:8" x14ac:dyDescent="0.25">
      <c r="A1148">
        <v>1147</v>
      </c>
      <c r="B1148" t="str">
        <f>Table2[[#This Row],[Propinsi]]&amp;"_"&amp;Table2[[#This Row],[Dati 2]]&amp;"_"&amp;Table2[[#This Row],[Tanggal]]</f>
        <v>SULAWESI SELATAN_ENREKANG_44378</v>
      </c>
      <c r="C1148" t="s">
        <v>7</v>
      </c>
      <c r="D1148" t="s">
        <v>138</v>
      </c>
      <c r="E1148">
        <v>7</v>
      </c>
      <c r="F1148">
        <v>2021</v>
      </c>
      <c r="G1148" s="1">
        <f>DATE(Table2[[#This Row],[Tahun]],Table2[[#This Row],[Bulan]],1)</f>
        <v>44378</v>
      </c>
      <c r="H1148">
        <v>175</v>
      </c>
    </row>
    <row r="1149" spans="1:8" x14ac:dyDescent="0.25">
      <c r="A1149">
        <v>1148</v>
      </c>
      <c r="B1149" t="str">
        <f>Table2[[#This Row],[Propinsi]]&amp;"_"&amp;Table2[[#This Row],[Dati 2]]&amp;"_"&amp;Table2[[#This Row],[Tanggal]]</f>
        <v>SULAWESI SELATAN_ENREKANG_44409</v>
      </c>
      <c r="C1149" t="s">
        <v>7</v>
      </c>
      <c r="D1149" t="s">
        <v>138</v>
      </c>
      <c r="E1149">
        <v>8</v>
      </c>
      <c r="F1149">
        <v>2021</v>
      </c>
      <c r="G1149" s="1">
        <f>DATE(Table2[[#This Row],[Tahun]],Table2[[#This Row],[Bulan]],1)</f>
        <v>44409</v>
      </c>
      <c r="H1149">
        <v>174</v>
      </c>
    </row>
    <row r="1150" spans="1:8" x14ac:dyDescent="0.25">
      <c r="A1150">
        <v>1149</v>
      </c>
      <c r="B1150" t="str">
        <f>Table2[[#This Row],[Propinsi]]&amp;"_"&amp;Table2[[#This Row],[Dati 2]]&amp;"_"&amp;Table2[[#This Row],[Tanggal]]</f>
        <v>SULAWESI SELATAN_ENREKANG_44440</v>
      </c>
      <c r="C1150" t="s">
        <v>7</v>
      </c>
      <c r="D1150" t="s">
        <v>138</v>
      </c>
      <c r="E1150">
        <v>9</v>
      </c>
      <c r="F1150">
        <v>2021</v>
      </c>
      <c r="G1150" s="1">
        <f>DATE(Table2[[#This Row],[Tahun]],Table2[[#This Row],[Bulan]],1)</f>
        <v>44440</v>
      </c>
      <c r="H1150">
        <v>179</v>
      </c>
    </row>
    <row r="1151" spans="1:8" x14ac:dyDescent="0.25">
      <c r="A1151">
        <v>1150</v>
      </c>
      <c r="B1151" t="str">
        <f>Table2[[#This Row],[Propinsi]]&amp;"_"&amp;Table2[[#This Row],[Dati 2]]&amp;"_"&amp;Table2[[#This Row],[Tanggal]]</f>
        <v>SULAWESI SELATAN_ENREKANG_44470</v>
      </c>
      <c r="C1151" t="s">
        <v>7</v>
      </c>
      <c r="D1151" t="s">
        <v>138</v>
      </c>
      <c r="E1151">
        <v>10</v>
      </c>
      <c r="F1151">
        <v>2021</v>
      </c>
      <c r="G1151" s="1">
        <f>DATE(Table2[[#This Row],[Tahun]],Table2[[#This Row],[Bulan]],1)</f>
        <v>44470</v>
      </c>
      <c r="H1151">
        <v>183</v>
      </c>
    </row>
    <row r="1152" spans="1:8" x14ac:dyDescent="0.25">
      <c r="A1152">
        <v>1151</v>
      </c>
      <c r="B1152" t="str">
        <f>Table2[[#This Row],[Propinsi]]&amp;"_"&amp;Table2[[#This Row],[Dati 2]]&amp;"_"&amp;Table2[[#This Row],[Tanggal]]</f>
        <v>SULAWESI SELATAN_ENREKANG_44501</v>
      </c>
      <c r="C1152" t="s">
        <v>7</v>
      </c>
      <c r="D1152" t="s">
        <v>138</v>
      </c>
      <c r="E1152">
        <v>11</v>
      </c>
      <c r="F1152">
        <v>2021</v>
      </c>
      <c r="G1152" s="1">
        <f>DATE(Table2[[#This Row],[Tahun]],Table2[[#This Row],[Bulan]],1)</f>
        <v>44501</v>
      </c>
      <c r="H1152">
        <v>187</v>
      </c>
    </row>
    <row r="1153" spans="1:8" x14ac:dyDescent="0.25">
      <c r="A1153">
        <v>1152</v>
      </c>
      <c r="B1153" t="str">
        <f>Table2[[#This Row],[Propinsi]]&amp;"_"&amp;Table2[[#This Row],[Dati 2]]&amp;"_"&amp;Table2[[#This Row],[Tanggal]]</f>
        <v>SULAWESI SELATAN_ENREKANG_44531</v>
      </c>
      <c r="C1153" t="s">
        <v>7</v>
      </c>
      <c r="D1153" t="s">
        <v>138</v>
      </c>
      <c r="E1153">
        <v>12</v>
      </c>
      <c r="F1153">
        <v>2021</v>
      </c>
      <c r="G1153" s="1">
        <f>DATE(Table2[[#This Row],[Tahun]],Table2[[#This Row],[Bulan]],1)</f>
        <v>44531</v>
      </c>
      <c r="H1153">
        <v>187</v>
      </c>
    </row>
    <row r="1154" spans="1:8" x14ac:dyDescent="0.25">
      <c r="A1154">
        <v>1153</v>
      </c>
      <c r="B1154" t="str">
        <f>Table2[[#This Row],[Propinsi]]&amp;"_"&amp;Table2[[#This Row],[Dati 2]]&amp;"_"&amp;Table2[[#This Row],[Tanggal]]</f>
        <v>SULAWESI SELATAN_TANA TORAJA_44197</v>
      </c>
      <c r="C1154" t="s">
        <v>7</v>
      </c>
      <c r="D1154" t="s">
        <v>139</v>
      </c>
      <c r="E1154">
        <v>1</v>
      </c>
      <c r="F1154">
        <v>2021</v>
      </c>
      <c r="G1154" s="1">
        <f>DATE(Table2[[#This Row],[Tahun]],Table2[[#This Row],[Bulan]],1)</f>
        <v>44197</v>
      </c>
      <c r="H1154">
        <v>212</v>
      </c>
    </row>
    <row r="1155" spans="1:8" x14ac:dyDescent="0.25">
      <c r="A1155">
        <v>1154</v>
      </c>
      <c r="B1155" t="str">
        <f>Table2[[#This Row],[Propinsi]]&amp;"_"&amp;Table2[[#This Row],[Dati 2]]&amp;"_"&amp;Table2[[#This Row],[Tanggal]]</f>
        <v>SULAWESI SELATAN_TANA TORAJA_44228</v>
      </c>
      <c r="C1155" t="s">
        <v>7</v>
      </c>
      <c r="D1155" t="s">
        <v>139</v>
      </c>
      <c r="E1155">
        <v>2</v>
      </c>
      <c r="F1155">
        <v>2021</v>
      </c>
      <c r="G1155" s="1">
        <f>DATE(Table2[[#This Row],[Tahun]],Table2[[#This Row],[Bulan]],1)</f>
        <v>44228</v>
      </c>
      <c r="H1155">
        <v>216</v>
      </c>
    </row>
    <row r="1156" spans="1:8" x14ac:dyDescent="0.25">
      <c r="A1156">
        <v>1155</v>
      </c>
      <c r="B1156" t="str">
        <f>Table2[[#This Row],[Propinsi]]&amp;"_"&amp;Table2[[#This Row],[Dati 2]]&amp;"_"&amp;Table2[[#This Row],[Tanggal]]</f>
        <v>SULAWESI SELATAN_TANA TORAJA_44256</v>
      </c>
      <c r="C1156" t="s">
        <v>7</v>
      </c>
      <c r="D1156" t="s">
        <v>139</v>
      </c>
      <c r="E1156">
        <v>3</v>
      </c>
      <c r="F1156">
        <v>2021</v>
      </c>
      <c r="G1156" s="1">
        <f>DATE(Table2[[#This Row],[Tahun]],Table2[[#This Row],[Bulan]],1)</f>
        <v>44256</v>
      </c>
      <c r="H1156">
        <v>219</v>
      </c>
    </row>
    <row r="1157" spans="1:8" x14ac:dyDescent="0.25">
      <c r="A1157">
        <v>1156</v>
      </c>
      <c r="B1157" t="str">
        <f>Table2[[#This Row],[Propinsi]]&amp;"_"&amp;Table2[[#This Row],[Dati 2]]&amp;"_"&amp;Table2[[#This Row],[Tanggal]]</f>
        <v>SULAWESI SELATAN_TANA TORAJA_44287</v>
      </c>
      <c r="C1157" t="s">
        <v>7</v>
      </c>
      <c r="D1157" t="s">
        <v>139</v>
      </c>
      <c r="E1157">
        <v>4</v>
      </c>
      <c r="F1157">
        <v>2021</v>
      </c>
      <c r="G1157" s="1">
        <f>DATE(Table2[[#This Row],[Tahun]],Table2[[#This Row],[Bulan]],1)</f>
        <v>44287</v>
      </c>
      <c r="H1157">
        <v>222</v>
      </c>
    </row>
    <row r="1158" spans="1:8" x14ac:dyDescent="0.25">
      <c r="A1158">
        <v>1157</v>
      </c>
      <c r="B1158" t="str">
        <f>Table2[[#This Row],[Propinsi]]&amp;"_"&amp;Table2[[#This Row],[Dati 2]]&amp;"_"&amp;Table2[[#This Row],[Tanggal]]</f>
        <v>SULAWESI SELATAN_TANA TORAJA_44317</v>
      </c>
      <c r="C1158" t="s">
        <v>7</v>
      </c>
      <c r="D1158" t="s">
        <v>139</v>
      </c>
      <c r="E1158">
        <v>5</v>
      </c>
      <c r="F1158">
        <v>2021</v>
      </c>
      <c r="G1158" s="1">
        <f>DATE(Table2[[#This Row],[Tahun]],Table2[[#This Row],[Bulan]],1)</f>
        <v>44317</v>
      </c>
      <c r="H1158">
        <v>225</v>
      </c>
    </row>
    <row r="1159" spans="1:8" x14ac:dyDescent="0.25">
      <c r="A1159">
        <v>1158</v>
      </c>
      <c r="B1159" t="str">
        <f>Table2[[#This Row],[Propinsi]]&amp;"_"&amp;Table2[[#This Row],[Dati 2]]&amp;"_"&amp;Table2[[#This Row],[Tanggal]]</f>
        <v>SULAWESI SELATAN_TANA TORAJA_44348</v>
      </c>
      <c r="C1159" t="s">
        <v>7</v>
      </c>
      <c r="D1159" t="s">
        <v>139</v>
      </c>
      <c r="E1159">
        <v>6</v>
      </c>
      <c r="F1159">
        <v>2021</v>
      </c>
      <c r="G1159" s="1">
        <f>DATE(Table2[[#This Row],[Tahun]],Table2[[#This Row],[Bulan]],1)</f>
        <v>44348</v>
      </c>
      <c r="H1159">
        <v>226</v>
      </c>
    </row>
    <row r="1160" spans="1:8" x14ac:dyDescent="0.25">
      <c r="A1160">
        <v>1159</v>
      </c>
      <c r="B1160" t="str">
        <f>Table2[[#This Row],[Propinsi]]&amp;"_"&amp;Table2[[#This Row],[Dati 2]]&amp;"_"&amp;Table2[[#This Row],[Tanggal]]</f>
        <v>SULAWESI SELATAN_TANA TORAJA_44378</v>
      </c>
      <c r="C1160" t="s">
        <v>7</v>
      </c>
      <c r="D1160" t="s">
        <v>139</v>
      </c>
      <c r="E1160">
        <v>7</v>
      </c>
      <c r="F1160">
        <v>2021</v>
      </c>
      <c r="G1160" s="1">
        <f>DATE(Table2[[#This Row],[Tahun]],Table2[[#This Row],[Bulan]],1)</f>
        <v>44378</v>
      </c>
      <c r="H1160">
        <v>224</v>
      </c>
    </row>
    <row r="1161" spans="1:8" x14ac:dyDescent="0.25">
      <c r="A1161">
        <v>1160</v>
      </c>
      <c r="B1161" t="str">
        <f>Table2[[#This Row],[Propinsi]]&amp;"_"&amp;Table2[[#This Row],[Dati 2]]&amp;"_"&amp;Table2[[#This Row],[Tanggal]]</f>
        <v>SULAWESI SELATAN_TANA TORAJA_44409</v>
      </c>
      <c r="C1161" t="s">
        <v>7</v>
      </c>
      <c r="D1161" t="s">
        <v>139</v>
      </c>
      <c r="E1161">
        <v>8</v>
      </c>
      <c r="F1161">
        <v>2021</v>
      </c>
      <c r="G1161" s="1">
        <f>DATE(Table2[[#This Row],[Tahun]],Table2[[#This Row],[Bulan]],1)</f>
        <v>44409</v>
      </c>
      <c r="H1161">
        <v>227</v>
      </c>
    </row>
    <row r="1162" spans="1:8" x14ac:dyDescent="0.25">
      <c r="A1162">
        <v>1161</v>
      </c>
      <c r="B1162" t="str">
        <f>Table2[[#This Row],[Propinsi]]&amp;"_"&amp;Table2[[#This Row],[Dati 2]]&amp;"_"&amp;Table2[[#This Row],[Tanggal]]</f>
        <v>SULAWESI SELATAN_TANA TORAJA_44440</v>
      </c>
      <c r="C1162" t="s">
        <v>7</v>
      </c>
      <c r="D1162" t="s">
        <v>139</v>
      </c>
      <c r="E1162">
        <v>9</v>
      </c>
      <c r="F1162">
        <v>2021</v>
      </c>
      <c r="G1162" s="1">
        <f>DATE(Table2[[#This Row],[Tahun]],Table2[[#This Row],[Bulan]],1)</f>
        <v>44440</v>
      </c>
      <c r="H1162">
        <v>231</v>
      </c>
    </row>
    <row r="1163" spans="1:8" x14ac:dyDescent="0.25">
      <c r="A1163">
        <v>1162</v>
      </c>
      <c r="B1163" t="str">
        <f>Table2[[#This Row],[Propinsi]]&amp;"_"&amp;Table2[[#This Row],[Dati 2]]&amp;"_"&amp;Table2[[#This Row],[Tanggal]]</f>
        <v>SULAWESI SELATAN_TANA TORAJA_44470</v>
      </c>
      <c r="C1163" t="s">
        <v>7</v>
      </c>
      <c r="D1163" t="s">
        <v>139</v>
      </c>
      <c r="E1163">
        <v>10</v>
      </c>
      <c r="F1163">
        <v>2021</v>
      </c>
      <c r="G1163" s="1">
        <f>DATE(Table2[[#This Row],[Tahun]],Table2[[#This Row],[Bulan]],1)</f>
        <v>44470</v>
      </c>
      <c r="H1163">
        <v>232</v>
      </c>
    </row>
    <row r="1164" spans="1:8" x14ac:dyDescent="0.25">
      <c r="A1164">
        <v>1163</v>
      </c>
      <c r="B1164" t="str">
        <f>Table2[[#This Row],[Propinsi]]&amp;"_"&amp;Table2[[#This Row],[Dati 2]]&amp;"_"&amp;Table2[[#This Row],[Tanggal]]</f>
        <v>SULAWESI SELATAN_TANA TORAJA_44501</v>
      </c>
      <c r="C1164" t="s">
        <v>7</v>
      </c>
      <c r="D1164" t="s">
        <v>139</v>
      </c>
      <c r="E1164">
        <v>11</v>
      </c>
      <c r="F1164">
        <v>2021</v>
      </c>
      <c r="G1164" s="1">
        <f>DATE(Table2[[#This Row],[Tahun]],Table2[[#This Row],[Bulan]],1)</f>
        <v>44501</v>
      </c>
      <c r="H1164">
        <v>235</v>
      </c>
    </row>
    <row r="1165" spans="1:8" x14ac:dyDescent="0.25">
      <c r="A1165">
        <v>1164</v>
      </c>
      <c r="B1165" t="str">
        <f>Table2[[#This Row],[Propinsi]]&amp;"_"&amp;Table2[[#This Row],[Dati 2]]&amp;"_"&amp;Table2[[#This Row],[Tanggal]]</f>
        <v>SULAWESI SELATAN_TANA TORAJA_44531</v>
      </c>
      <c r="C1165" t="s">
        <v>7</v>
      </c>
      <c r="D1165" t="s">
        <v>139</v>
      </c>
      <c r="E1165">
        <v>12</v>
      </c>
      <c r="F1165">
        <v>2021</v>
      </c>
      <c r="G1165" s="1">
        <f>DATE(Table2[[#This Row],[Tahun]],Table2[[#This Row],[Bulan]],1)</f>
        <v>44531</v>
      </c>
      <c r="H1165">
        <v>233</v>
      </c>
    </row>
    <row r="1166" spans="1:8" x14ac:dyDescent="0.25">
      <c r="A1166">
        <v>1165</v>
      </c>
      <c r="B1166" t="str">
        <f>Table2[[#This Row],[Propinsi]]&amp;"_"&amp;Table2[[#This Row],[Dati 2]]&amp;"_"&amp;Table2[[#This Row],[Tanggal]]</f>
        <v>SULAWESI SELATAN_TORAJA UTARA_44197</v>
      </c>
      <c r="C1166" t="s">
        <v>7</v>
      </c>
      <c r="D1166" t="s">
        <v>140</v>
      </c>
      <c r="E1166">
        <v>1</v>
      </c>
      <c r="F1166">
        <v>2021</v>
      </c>
      <c r="G1166" s="1">
        <f>DATE(Table2[[#This Row],[Tahun]],Table2[[#This Row],[Bulan]],1)</f>
        <v>44197</v>
      </c>
      <c r="H1166">
        <v>172</v>
      </c>
    </row>
    <row r="1167" spans="1:8" x14ac:dyDescent="0.25">
      <c r="A1167">
        <v>1166</v>
      </c>
      <c r="B1167" t="str">
        <f>Table2[[#This Row],[Propinsi]]&amp;"_"&amp;Table2[[#This Row],[Dati 2]]&amp;"_"&amp;Table2[[#This Row],[Tanggal]]</f>
        <v>SULAWESI SELATAN_TORAJA UTARA_44228</v>
      </c>
      <c r="C1167" t="s">
        <v>7</v>
      </c>
      <c r="D1167" t="s">
        <v>140</v>
      </c>
      <c r="E1167">
        <v>2</v>
      </c>
      <c r="F1167">
        <v>2021</v>
      </c>
      <c r="G1167" s="1">
        <f>DATE(Table2[[#This Row],[Tahun]],Table2[[#This Row],[Bulan]],1)</f>
        <v>44228</v>
      </c>
      <c r="H1167">
        <v>173</v>
      </c>
    </row>
    <row r="1168" spans="1:8" x14ac:dyDescent="0.25">
      <c r="A1168">
        <v>1167</v>
      </c>
      <c r="B1168" t="str">
        <f>Table2[[#This Row],[Propinsi]]&amp;"_"&amp;Table2[[#This Row],[Dati 2]]&amp;"_"&amp;Table2[[#This Row],[Tanggal]]</f>
        <v>SULAWESI SELATAN_TORAJA UTARA_44256</v>
      </c>
      <c r="C1168" t="s">
        <v>7</v>
      </c>
      <c r="D1168" t="s">
        <v>140</v>
      </c>
      <c r="E1168">
        <v>3</v>
      </c>
      <c r="F1168">
        <v>2021</v>
      </c>
      <c r="G1168" s="1">
        <f>DATE(Table2[[#This Row],[Tahun]],Table2[[#This Row],[Bulan]],1)</f>
        <v>44256</v>
      </c>
      <c r="H1168">
        <v>176</v>
      </c>
    </row>
    <row r="1169" spans="1:8" x14ac:dyDescent="0.25">
      <c r="A1169">
        <v>1168</v>
      </c>
      <c r="B1169" t="str">
        <f>Table2[[#This Row],[Propinsi]]&amp;"_"&amp;Table2[[#This Row],[Dati 2]]&amp;"_"&amp;Table2[[#This Row],[Tanggal]]</f>
        <v>SULAWESI SELATAN_TORAJA UTARA_44287</v>
      </c>
      <c r="C1169" t="s">
        <v>7</v>
      </c>
      <c r="D1169" t="s">
        <v>140</v>
      </c>
      <c r="E1169">
        <v>4</v>
      </c>
      <c r="F1169">
        <v>2021</v>
      </c>
      <c r="G1169" s="1">
        <f>DATE(Table2[[#This Row],[Tahun]],Table2[[#This Row],[Bulan]],1)</f>
        <v>44287</v>
      </c>
      <c r="H1169">
        <v>181</v>
      </c>
    </row>
    <row r="1170" spans="1:8" x14ac:dyDescent="0.25">
      <c r="A1170">
        <v>1169</v>
      </c>
      <c r="B1170" t="str">
        <f>Table2[[#This Row],[Propinsi]]&amp;"_"&amp;Table2[[#This Row],[Dati 2]]&amp;"_"&amp;Table2[[#This Row],[Tanggal]]</f>
        <v>SULAWESI SELATAN_TORAJA UTARA_44317</v>
      </c>
      <c r="C1170" t="s">
        <v>7</v>
      </c>
      <c r="D1170" t="s">
        <v>140</v>
      </c>
      <c r="E1170">
        <v>5</v>
      </c>
      <c r="F1170">
        <v>2021</v>
      </c>
      <c r="G1170" s="1">
        <f>DATE(Table2[[#This Row],[Tahun]],Table2[[#This Row],[Bulan]],1)</f>
        <v>44317</v>
      </c>
      <c r="H1170">
        <v>185</v>
      </c>
    </row>
    <row r="1171" spans="1:8" x14ac:dyDescent="0.25">
      <c r="A1171">
        <v>1170</v>
      </c>
      <c r="B1171" t="str">
        <f>Table2[[#This Row],[Propinsi]]&amp;"_"&amp;Table2[[#This Row],[Dati 2]]&amp;"_"&amp;Table2[[#This Row],[Tanggal]]</f>
        <v>SULAWESI SELATAN_TORAJA UTARA_44348</v>
      </c>
      <c r="C1171" t="s">
        <v>7</v>
      </c>
      <c r="D1171" t="s">
        <v>140</v>
      </c>
      <c r="E1171">
        <v>6</v>
      </c>
      <c r="F1171">
        <v>2021</v>
      </c>
      <c r="G1171" s="1">
        <f>DATE(Table2[[#This Row],[Tahun]],Table2[[#This Row],[Bulan]],1)</f>
        <v>44348</v>
      </c>
      <c r="H1171">
        <v>190</v>
      </c>
    </row>
    <row r="1172" spans="1:8" x14ac:dyDescent="0.25">
      <c r="A1172">
        <v>1171</v>
      </c>
      <c r="B1172" t="str">
        <f>Table2[[#This Row],[Propinsi]]&amp;"_"&amp;Table2[[#This Row],[Dati 2]]&amp;"_"&amp;Table2[[#This Row],[Tanggal]]</f>
        <v>SULAWESI SELATAN_TORAJA UTARA_44378</v>
      </c>
      <c r="C1172" t="s">
        <v>7</v>
      </c>
      <c r="D1172" t="s">
        <v>140</v>
      </c>
      <c r="E1172">
        <v>7</v>
      </c>
      <c r="F1172">
        <v>2021</v>
      </c>
      <c r="G1172" s="1">
        <f>DATE(Table2[[#This Row],[Tahun]],Table2[[#This Row],[Bulan]],1)</f>
        <v>44378</v>
      </c>
      <c r="H1172">
        <v>196</v>
      </c>
    </row>
    <row r="1173" spans="1:8" x14ac:dyDescent="0.25">
      <c r="A1173">
        <v>1172</v>
      </c>
      <c r="B1173" t="str">
        <f>Table2[[#This Row],[Propinsi]]&amp;"_"&amp;Table2[[#This Row],[Dati 2]]&amp;"_"&amp;Table2[[#This Row],[Tanggal]]</f>
        <v>SULAWESI SELATAN_TORAJA UTARA_44409</v>
      </c>
      <c r="C1173" t="s">
        <v>7</v>
      </c>
      <c r="D1173" t="s">
        <v>140</v>
      </c>
      <c r="E1173">
        <v>8</v>
      </c>
      <c r="F1173">
        <v>2021</v>
      </c>
      <c r="G1173" s="1">
        <f>DATE(Table2[[#This Row],[Tahun]],Table2[[#This Row],[Bulan]],1)</f>
        <v>44409</v>
      </c>
      <c r="H1173">
        <v>196</v>
      </c>
    </row>
    <row r="1174" spans="1:8" x14ac:dyDescent="0.25">
      <c r="A1174">
        <v>1173</v>
      </c>
      <c r="B1174" t="str">
        <f>Table2[[#This Row],[Propinsi]]&amp;"_"&amp;Table2[[#This Row],[Dati 2]]&amp;"_"&amp;Table2[[#This Row],[Tanggal]]</f>
        <v>SULAWESI SELATAN_TORAJA UTARA_44440</v>
      </c>
      <c r="C1174" t="s">
        <v>7</v>
      </c>
      <c r="D1174" t="s">
        <v>140</v>
      </c>
      <c r="E1174">
        <v>9</v>
      </c>
      <c r="F1174">
        <v>2021</v>
      </c>
      <c r="G1174" s="1">
        <f>DATE(Table2[[#This Row],[Tahun]],Table2[[#This Row],[Bulan]],1)</f>
        <v>44440</v>
      </c>
      <c r="H1174">
        <v>197</v>
      </c>
    </row>
    <row r="1175" spans="1:8" x14ac:dyDescent="0.25">
      <c r="A1175">
        <v>1174</v>
      </c>
      <c r="B1175" t="str">
        <f>Table2[[#This Row],[Propinsi]]&amp;"_"&amp;Table2[[#This Row],[Dati 2]]&amp;"_"&amp;Table2[[#This Row],[Tanggal]]</f>
        <v>SULAWESI SELATAN_TORAJA UTARA_44470</v>
      </c>
      <c r="C1175" t="s">
        <v>7</v>
      </c>
      <c r="D1175" t="s">
        <v>140</v>
      </c>
      <c r="E1175">
        <v>10</v>
      </c>
      <c r="F1175">
        <v>2021</v>
      </c>
      <c r="G1175" s="1">
        <f>DATE(Table2[[#This Row],[Tahun]],Table2[[#This Row],[Bulan]],1)</f>
        <v>44470</v>
      </c>
      <c r="H1175">
        <v>198</v>
      </c>
    </row>
    <row r="1176" spans="1:8" x14ac:dyDescent="0.25">
      <c r="A1176">
        <v>1175</v>
      </c>
      <c r="B1176" t="str">
        <f>Table2[[#This Row],[Propinsi]]&amp;"_"&amp;Table2[[#This Row],[Dati 2]]&amp;"_"&amp;Table2[[#This Row],[Tanggal]]</f>
        <v>SULAWESI SELATAN_TORAJA UTARA_44501</v>
      </c>
      <c r="C1176" t="s">
        <v>7</v>
      </c>
      <c r="D1176" t="s">
        <v>140</v>
      </c>
      <c r="E1176">
        <v>11</v>
      </c>
      <c r="F1176">
        <v>2021</v>
      </c>
      <c r="G1176" s="1">
        <f>DATE(Table2[[#This Row],[Tahun]],Table2[[#This Row],[Bulan]],1)</f>
        <v>44501</v>
      </c>
      <c r="H1176">
        <v>200</v>
      </c>
    </row>
    <row r="1177" spans="1:8" x14ac:dyDescent="0.25">
      <c r="A1177">
        <v>1176</v>
      </c>
      <c r="B1177" t="str">
        <f>Table2[[#This Row],[Propinsi]]&amp;"_"&amp;Table2[[#This Row],[Dati 2]]&amp;"_"&amp;Table2[[#This Row],[Tanggal]]</f>
        <v>SULAWESI SELATAN_TORAJA UTARA_44531</v>
      </c>
      <c r="C1177" t="s">
        <v>7</v>
      </c>
      <c r="D1177" t="s">
        <v>140</v>
      </c>
      <c r="E1177">
        <v>12</v>
      </c>
      <c r="F1177">
        <v>2021</v>
      </c>
      <c r="G1177" s="1">
        <f>DATE(Table2[[#This Row],[Tahun]],Table2[[#This Row],[Bulan]],1)</f>
        <v>44531</v>
      </c>
      <c r="H1177">
        <v>198</v>
      </c>
    </row>
    <row r="1178" spans="1:8" x14ac:dyDescent="0.25">
      <c r="A1178">
        <v>1177</v>
      </c>
      <c r="B1178" t="str">
        <f>Table2[[#This Row],[Propinsi]]&amp;"_"&amp;Table2[[#This Row],[Dati 2]]&amp;"_"&amp;Table2[[#This Row],[Tanggal]]</f>
        <v>SULAWESI SELATAN_LUWU UTARA_44197</v>
      </c>
      <c r="C1178" t="s">
        <v>7</v>
      </c>
      <c r="D1178" t="s">
        <v>141</v>
      </c>
      <c r="E1178">
        <v>1</v>
      </c>
      <c r="F1178">
        <v>2021</v>
      </c>
      <c r="G1178" s="1">
        <f>DATE(Table2[[#This Row],[Tahun]],Table2[[#This Row],[Bulan]],1)</f>
        <v>44197</v>
      </c>
      <c r="H1178">
        <v>123</v>
      </c>
    </row>
    <row r="1179" spans="1:8" x14ac:dyDescent="0.25">
      <c r="A1179">
        <v>1178</v>
      </c>
      <c r="B1179" t="str">
        <f>Table2[[#This Row],[Propinsi]]&amp;"_"&amp;Table2[[#This Row],[Dati 2]]&amp;"_"&amp;Table2[[#This Row],[Tanggal]]</f>
        <v>SULAWESI SELATAN_LUWU UTARA_44228</v>
      </c>
      <c r="C1179" t="s">
        <v>7</v>
      </c>
      <c r="D1179" t="s">
        <v>141</v>
      </c>
      <c r="E1179">
        <v>2</v>
      </c>
      <c r="F1179">
        <v>2021</v>
      </c>
      <c r="G1179" s="1">
        <f>DATE(Table2[[#This Row],[Tahun]],Table2[[#This Row],[Bulan]],1)</f>
        <v>44228</v>
      </c>
      <c r="H1179">
        <v>123</v>
      </c>
    </row>
    <row r="1180" spans="1:8" x14ac:dyDescent="0.25">
      <c r="A1180">
        <v>1179</v>
      </c>
      <c r="B1180" t="str">
        <f>Table2[[#This Row],[Propinsi]]&amp;"_"&amp;Table2[[#This Row],[Dati 2]]&amp;"_"&amp;Table2[[#This Row],[Tanggal]]</f>
        <v>SULAWESI SELATAN_LUWU UTARA_44256</v>
      </c>
      <c r="C1180" t="s">
        <v>7</v>
      </c>
      <c r="D1180" t="s">
        <v>141</v>
      </c>
      <c r="E1180">
        <v>3</v>
      </c>
      <c r="F1180">
        <v>2021</v>
      </c>
      <c r="G1180" s="1">
        <f>DATE(Table2[[#This Row],[Tahun]],Table2[[#This Row],[Bulan]],1)</f>
        <v>44256</v>
      </c>
      <c r="H1180">
        <v>129</v>
      </c>
    </row>
    <row r="1181" spans="1:8" x14ac:dyDescent="0.25">
      <c r="A1181">
        <v>1180</v>
      </c>
      <c r="B1181" t="str">
        <f>Table2[[#This Row],[Propinsi]]&amp;"_"&amp;Table2[[#This Row],[Dati 2]]&amp;"_"&amp;Table2[[#This Row],[Tanggal]]</f>
        <v>SULAWESI SELATAN_LUWU UTARA_44287</v>
      </c>
      <c r="C1181" t="s">
        <v>7</v>
      </c>
      <c r="D1181" t="s">
        <v>141</v>
      </c>
      <c r="E1181">
        <v>4</v>
      </c>
      <c r="F1181">
        <v>2021</v>
      </c>
      <c r="G1181" s="1">
        <f>DATE(Table2[[#This Row],[Tahun]],Table2[[#This Row],[Bulan]],1)</f>
        <v>44287</v>
      </c>
      <c r="H1181">
        <v>132</v>
      </c>
    </row>
    <row r="1182" spans="1:8" x14ac:dyDescent="0.25">
      <c r="A1182">
        <v>1181</v>
      </c>
      <c r="B1182" t="str">
        <f>Table2[[#This Row],[Propinsi]]&amp;"_"&amp;Table2[[#This Row],[Dati 2]]&amp;"_"&amp;Table2[[#This Row],[Tanggal]]</f>
        <v>SULAWESI SELATAN_LUWU UTARA_44317</v>
      </c>
      <c r="C1182" t="s">
        <v>7</v>
      </c>
      <c r="D1182" t="s">
        <v>141</v>
      </c>
      <c r="E1182">
        <v>5</v>
      </c>
      <c r="F1182">
        <v>2021</v>
      </c>
      <c r="G1182" s="1">
        <f>DATE(Table2[[#This Row],[Tahun]],Table2[[#This Row],[Bulan]],1)</f>
        <v>44317</v>
      </c>
      <c r="H1182">
        <v>131</v>
      </c>
    </row>
    <row r="1183" spans="1:8" x14ac:dyDescent="0.25">
      <c r="A1183">
        <v>1182</v>
      </c>
      <c r="B1183" t="str">
        <f>Table2[[#This Row],[Propinsi]]&amp;"_"&amp;Table2[[#This Row],[Dati 2]]&amp;"_"&amp;Table2[[#This Row],[Tanggal]]</f>
        <v>SULAWESI SELATAN_LUWU UTARA_44348</v>
      </c>
      <c r="C1183" t="s">
        <v>7</v>
      </c>
      <c r="D1183" t="s">
        <v>141</v>
      </c>
      <c r="E1183">
        <v>6</v>
      </c>
      <c r="F1183">
        <v>2021</v>
      </c>
      <c r="G1183" s="1">
        <f>DATE(Table2[[#This Row],[Tahun]],Table2[[#This Row],[Bulan]],1)</f>
        <v>44348</v>
      </c>
      <c r="H1183">
        <v>129</v>
      </c>
    </row>
    <row r="1184" spans="1:8" x14ac:dyDescent="0.25">
      <c r="A1184">
        <v>1183</v>
      </c>
      <c r="B1184" t="str">
        <f>Table2[[#This Row],[Propinsi]]&amp;"_"&amp;Table2[[#This Row],[Dati 2]]&amp;"_"&amp;Table2[[#This Row],[Tanggal]]</f>
        <v>SULAWESI SELATAN_LUWU UTARA_44378</v>
      </c>
      <c r="C1184" t="s">
        <v>7</v>
      </c>
      <c r="D1184" t="s">
        <v>141</v>
      </c>
      <c r="E1184">
        <v>7</v>
      </c>
      <c r="F1184">
        <v>2021</v>
      </c>
      <c r="G1184" s="1">
        <f>DATE(Table2[[#This Row],[Tahun]],Table2[[#This Row],[Bulan]],1)</f>
        <v>44378</v>
      </c>
      <c r="H1184">
        <v>129</v>
      </c>
    </row>
    <row r="1185" spans="1:8" x14ac:dyDescent="0.25">
      <c r="A1185">
        <v>1184</v>
      </c>
      <c r="B1185" t="str">
        <f>Table2[[#This Row],[Propinsi]]&amp;"_"&amp;Table2[[#This Row],[Dati 2]]&amp;"_"&amp;Table2[[#This Row],[Tanggal]]</f>
        <v>SULAWESI SELATAN_LUWU UTARA_44409</v>
      </c>
      <c r="C1185" t="s">
        <v>7</v>
      </c>
      <c r="D1185" t="s">
        <v>141</v>
      </c>
      <c r="E1185">
        <v>8</v>
      </c>
      <c r="F1185">
        <v>2021</v>
      </c>
      <c r="G1185" s="1">
        <f>DATE(Table2[[#This Row],[Tahun]],Table2[[#This Row],[Bulan]],1)</f>
        <v>44409</v>
      </c>
      <c r="H1185">
        <v>128</v>
      </c>
    </row>
    <row r="1186" spans="1:8" x14ac:dyDescent="0.25">
      <c r="A1186">
        <v>1185</v>
      </c>
      <c r="B1186" t="str">
        <f>Table2[[#This Row],[Propinsi]]&amp;"_"&amp;Table2[[#This Row],[Dati 2]]&amp;"_"&amp;Table2[[#This Row],[Tanggal]]</f>
        <v>SULAWESI SELATAN_LUWU UTARA_44440</v>
      </c>
      <c r="C1186" t="s">
        <v>7</v>
      </c>
      <c r="D1186" t="s">
        <v>141</v>
      </c>
      <c r="E1186">
        <v>9</v>
      </c>
      <c r="F1186">
        <v>2021</v>
      </c>
      <c r="G1186" s="1">
        <f>DATE(Table2[[#This Row],[Tahun]],Table2[[#This Row],[Bulan]],1)</f>
        <v>44440</v>
      </c>
      <c r="H1186">
        <v>129</v>
      </c>
    </row>
    <row r="1187" spans="1:8" x14ac:dyDescent="0.25">
      <c r="A1187">
        <v>1186</v>
      </c>
      <c r="B1187" t="str">
        <f>Table2[[#This Row],[Propinsi]]&amp;"_"&amp;Table2[[#This Row],[Dati 2]]&amp;"_"&amp;Table2[[#This Row],[Tanggal]]</f>
        <v>SULAWESI SELATAN_LUWU UTARA_44470</v>
      </c>
      <c r="C1187" t="s">
        <v>7</v>
      </c>
      <c r="D1187" t="s">
        <v>141</v>
      </c>
      <c r="E1187">
        <v>10</v>
      </c>
      <c r="F1187">
        <v>2021</v>
      </c>
      <c r="G1187" s="1">
        <f>DATE(Table2[[#This Row],[Tahun]],Table2[[#This Row],[Bulan]],1)</f>
        <v>44470</v>
      </c>
      <c r="H1187">
        <v>136</v>
      </c>
    </row>
    <row r="1188" spans="1:8" x14ac:dyDescent="0.25">
      <c r="A1188">
        <v>1187</v>
      </c>
      <c r="B1188" t="str">
        <f>Table2[[#This Row],[Propinsi]]&amp;"_"&amp;Table2[[#This Row],[Dati 2]]&amp;"_"&amp;Table2[[#This Row],[Tanggal]]</f>
        <v>SULAWESI SELATAN_LUWU UTARA_44501</v>
      </c>
      <c r="C1188" t="s">
        <v>7</v>
      </c>
      <c r="D1188" t="s">
        <v>141</v>
      </c>
      <c r="E1188">
        <v>11</v>
      </c>
      <c r="F1188">
        <v>2021</v>
      </c>
      <c r="G1188" s="1">
        <f>DATE(Table2[[#This Row],[Tahun]],Table2[[#This Row],[Bulan]],1)</f>
        <v>44501</v>
      </c>
      <c r="H1188">
        <v>141</v>
      </c>
    </row>
    <row r="1189" spans="1:8" x14ac:dyDescent="0.25">
      <c r="A1189">
        <v>1188</v>
      </c>
      <c r="B1189" t="str">
        <f>Table2[[#This Row],[Propinsi]]&amp;"_"&amp;Table2[[#This Row],[Dati 2]]&amp;"_"&amp;Table2[[#This Row],[Tanggal]]</f>
        <v>SULAWESI SELATAN_LUWU UTARA_44531</v>
      </c>
      <c r="C1189" t="s">
        <v>7</v>
      </c>
      <c r="D1189" t="s">
        <v>141</v>
      </c>
      <c r="E1189">
        <v>12</v>
      </c>
      <c r="F1189">
        <v>2021</v>
      </c>
      <c r="G1189" s="1">
        <f>DATE(Table2[[#This Row],[Tahun]],Table2[[#This Row],[Bulan]],1)</f>
        <v>44531</v>
      </c>
      <c r="H1189">
        <v>143</v>
      </c>
    </row>
    <row r="1190" spans="1:8" x14ac:dyDescent="0.25">
      <c r="A1190">
        <v>1189</v>
      </c>
      <c r="B1190" t="str">
        <f>Table2[[#This Row],[Propinsi]]&amp;"_"&amp;Table2[[#This Row],[Dati 2]]&amp;"_"&amp;Table2[[#This Row],[Tanggal]]</f>
        <v>SULAWESI SELATAN_PALOPO_44197</v>
      </c>
      <c r="C1190" t="s">
        <v>7</v>
      </c>
      <c r="D1190" t="s">
        <v>142</v>
      </c>
      <c r="E1190">
        <v>1</v>
      </c>
      <c r="F1190">
        <v>2021</v>
      </c>
      <c r="G1190" s="1">
        <f>DATE(Table2[[#This Row],[Tahun]],Table2[[#This Row],[Bulan]],1)</f>
        <v>44197</v>
      </c>
      <c r="H1190">
        <v>137</v>
      </c>
    </row>
    <row r="1191" spans="1:8" x14ac:dyDescent="0.25">
      <c r="A1191">
        <v>1190</v>
      </c>
      <c r="B1191" t="str">
        <f>Table2[[#This Row],[Propinsi]]&amp;"_"&amp;Table2[[#This Row],[Dati 2]]&amp;"_"&amp;Table2[[#This Row],[Tanggal]]</f>
        <v>SULAWESI SELATAN_PALOPO_44228</v>
      </c>
      <c r="C1191" t="s">
        <v>7</v>
      </c>
      <c r="D1191" t="s">
        <v>142</v>
      </c>
      <c r="E1191">
        <v>2</v>
      </c>
      <c r="F1191">
        <v>2021</v>
      </c>
      <c r="G1191" s="1">
        <f>DATE(Table2[[#This Row],[Tahun]],Table2[[#This Row],[Bulan]],1)</f>
        <v>44228</v>
      </c>
      <c r="H1191">
        <v>140</v>
      </c>
    </row>
    <row r="1192" spans="1:8" x14ac:dyDescent="0.25">
      <c r="A1192">
        <v>1191</v>
      </c>
      <c r="B1192" t="str">
        <f>Table2[[#This Row],[Propinsi]]&amp;"_"&amp;Table2[[#This Row],[Dati 2]]&amp;"_"&amp;Table2[[#This Row],[Tanggal]]</f>
        <v>SULAWESI SELATAN_PALOPO_44256</v>
      </c>
      <c r="C1192" t="s">
        <v>7</v>
      </c>
      <c r="D1192" t="s">
        <v>142</v>
      </c>
      <c r="E1192">
        <v>3</v>
      </c>
      <c r="F1192">
        <v>2021</v>
      </c>
      <c r="G1192" s="1">
        <f>DATE(Table2[[#This Row],[Tahun]],Table2[[#This Row],[Bulan]],1)</f>
        <v>44256</v>
      </c>
      <c r="H1192">
        <v>140</v>
      </c>
    </row>
    <row r="1193" spans="1:8" x14ac:dyDescent="0.25">
      <c r="A1193">
        <v>1192</v>
      </c>
      <c r="B1193" t="str">
        <f>Table2[[#This Row],[Propinsi]]&amp;"_"&amp;Table2[[#This Row],[Dati 2]]&amp;"_"&amp;Table2[[#This Row],[Tanggal]]</f>
        <v>SULAWESI SELATAN_PALOPO_44287</v>
      </c>
      <c r="C1193" t="s">
        <v>7</v>
      </c>
      <c r="D1193" t="s">
        <v>142</v>
      </c>
      <c r="E1193">
        <v>4</v>
      </c>
      <c r="F1193">
        <v>2021</v>
      </c>
      <c r="G1193" s="1">
        <f>DATE(Table2[[#This Row],[Tahun]],Table2[[#This Row],[Bulan]],1)</f>
        <v>44287</v>
      </c>
      <c r="H1193">
        <v>140</v>
      </c>
    </row>
    <row r="1194" spans="1:8" x14ac:dyDescent="0.25">
      <c r="A1194">
        <v>1193</v>
      </c>
      <c r="B1194" t="str">
        <f>Table2[[#This Row],[Propinsi]]&amp;"_"&amp;Table2[[#This Row],[Dati 2]]&amp;"_"&amp;Table2[[#This Row],[Tanggal]]</f>
        <v>SULAWESI SELATAN_PALOPO_44317</v>
      </c>
      <c r="C1194" t="s">
        <v>7</v>
      </c>
      <c r="D1194" t="s">
        <v>142</v>
      </c>
      <c r="E1194">
        <v>5</v>
      </c>
      <c r="F1194">
        <v>2021</v>
      </c>
      <c r="G1194" s="1">
        <f>DATE(Table2[[#This Row],[Tahun]],Table2[[#This Row],[Bulan]],1)</f>
        <v>44317</v>
      </c>
      <c r="H1194">
        <v>144</v>
      </c>
    </row>
    <row r="1195" spans="1:8" x14ac:dyDescent="0.25">
      <c r="A1195">
        <v>1194</v>
      </c>
      <c r="B1195" t="str">
        <f>Table2[[#This Row],[Propinsi]]&amp;"_"&amp;Table2[[#This Row],[Dati 2]]&amp;"_"&amp;Table2[[#This Row],[Tanggal]]</f>
        <v>SULAWESI SELATAN_PALOPO_44348</v>
      </c>
      <c r="C1195" t="s">
        <v>7</v>
      </c>
      <c r="D1195" t="s">
        <v>142</v>
      </c>
      <c r="E1195">
        <v>6</v>
      </c>
      <c r="F1195">
        <v>2021</v>
      </c>
      <c r="G1195" s="1">
        <f>DATE(Table2[[#This Row],[Tahun]],Table2[[#This Row],[Bulan]],1)</f>
        <v>44348</v>
      </c>
      <c r="H1195">
        <v>145</v>
      </c>
    </row>
    <row r="1196" spans="1:8" x14ac:dyDescent="0.25">
      <c r="A1196">
        <v>1195</v>
      </c>
      <c r="B1196" t="str">
        <f>Table2[[#This Row],[Propinsi]]&amp;"_"&amp;Table2[[#This Row],[Dati 2]]&amp;"_"&amp;Table2[[#This Row],[Tanggal]]</f>
        <v>SULAWESI SELATAN_PALOPO_44378</v>
      </c>
      <c r="C1196" t="s">
        <v>7</v>
      </c>
      <c r="D1196" t="s">
        <v>142</v>
      </c>
      <c r="E1196">
        <v>7</v>
      </c>
      <c r="F1196">
        <v>2021</v>
      </c>
      <c r="G1196" s="1">
        <f>DATE(Table2[[#This Row],[Tahun]],Table2[[#This Row],[Bulan]],1)</f>
        <v>44378</v>
      </c>
      <c r="H1196">
        <v>147</v>
      </c>
    </row>
    <row r="1197" spans="1:8" x14ac:dyDescent="0.25">
      <c r="A1197">
        <v>1196</v>
      </c>
      <c r="B1197" t="str">
        <f>Table2[[#This Row],[Propinsi]]&amp;"_"&amp;Table2[[#This Row],[Dati 2]]&amp;"_"&amp;Table2[[#This Row],[Tanggal]]</f>
        <v>SULAWESI SELATAN_PALOPO_44409</v>
      </c>
      <c r="C1197" t="s">
        <v>7</v>
      </c>
      <c r="D1197" t="s">
        <v>142</v>
      </c>
      <c r="E1197">
        <v>8</v>
      </c>
      <c r="F1197">
        <v>2021</v>
      </c>
      <c r="G1197" s="1">
        <f>DATE(Table2[[#This Row],[Tahun]],Table2[[#This Row],[Bulan]],1)</f>
        <v>44409</v>
      </c>
      <c r="H1197">
        <v>147</v>
      </c>
    </row>
    <row r="1198" spans="1:8" x14ac:dyDescent="0.25">
      <c r="A1198">
        <v>1197</v>
      </c>
      <c r="B1198" t="str">
        <f>Table2[[#This Row],[Propinsi]]&amp;"_"&amp;Table2[[#This Row],[Dati 2]]&amp;"_"&amp;Table2[[#This Row],[Tanggal]]</f>
        <v>SULAWESI SELATAN_PALOPO_44440</v>
      </c>
      <c r="C1198" t="s">
        <v>7</v>
      </c>
      <c r="D1198" t="s">
        <v>142</v>
      </c>
      <c r="E1198">
        <v>9</v>
      </c>
      <c r="F1198">
        <v>2021</v>
      </c>
      <c r="G1198" s="1">
        <f>DATE(Table2[[#This Row],[Tahun]],Table2[[#This Row],[Bulan]],1)</f>
        <v>44440</v>
      </c>
      <c r="H1198">
        <v>153</v>
      </c>
    </row>
    <row r="1199" spans="1:8" x14ac:dyDescent="0.25">
      <c r="A1199">
        <v>1198</v>
      </c>
      <c r="B1199" t="str">
        <f>Table2[[#This Row],[Propinsi]]&amp;"_"&amp;Table2[[#This Row],[Dati 2]]&amp;"_"&amp;Table2[[#This Row],[Tanggal]]</f>
        <v>SULAWESI SELATAN_PALOPO_44470</v>
      </c>
      <c r="C1199" t="s">
        <v>7</v>
      </c>
      <c r="D1199" t="s">
        <v>142</v>
      </c>
      <c r="E1199">
        <v>10</v>
      </c>
      <c r="F1199">
        <v>2021</v>
      </c>
      <c r="G1199" s="1">
        <f>DATE(Table2[[#This Row],[Tahun]],Table2[[#This Row],[Bulan]],1)</f>
        <v>44470</v>
      </c>
      <c r="H1199">
        <v>159</v>
      </c>
    </row>
    <row r="1200" spans="1:8" x14ac:dyDescent="0.25">
      <c r="A1200">
        <v>1199</v>
      </c>
      <c r="B1200" t="str">
        <f>Table2[[#This Row],[Propinsi]]&amp;"_"&amp;Table2[[#This Row],[Dati 2]]&amp;"_"&amp;Table2[[#This Row],[Tanggal]]</f>
        <v>SULAWESI SELATAN_PALOPO_44501</v>
      </c>
      <c r="C1200" t="s">
        <v>7</v>
      </c>
      <c r="D1200" t="s">
        <v>142</v>
      </c>
      <c r="E1200">
        <v>11</v>
      </c>
      <c r="F1200">
        <v>2021</v>
      </c>
      <c r="G1200" s="1">
        <f>DATE(Table2[[#This Row],[Tahun]],Table2[[#This Row],[Bulan]],1)</f>
        <v>44501</v>
      </c>
      <c r="H1200">
        <v>162</v>
      </c>
    </row>
    <row r="1201" spans="1:8" x14ac:dyDescent="0.25">
      <c r="A1201">
        <v>1200</v>
      </c>
      <c r="B1201" t="str">
        <f>Table2[[#This Row],[Propinsi]]&amp;"_"&amp;Table2[[#This Row],[Dati 2]]&amp;"_"&amp;Table2[[#This Row],[Tanggal]]</f>
        <v>SULAWESI SELATAN_PALOPO_44531</v>
      </c>
      <c r="C1201" t="s">
        <v>7</v>
      </c>
      <c r="D1201" t="s">
        <v>142</v>
      </c>
      <c r="E1201">
        <v>12</v>
      </c>
      <c r="F1201">
        <v>2021</v>
      </c>
      <c r="G1201" s="1">
        <f>DATE(Table2[[#This Row],[Tahun]],Table2[[#This Row],[Bulan]],1)</f>
        <v>44531</v>
      </c>
      <c r="H1201">
        <v>163</v>
      </c>
    </row>
    <row r="1202" spans="1:8" x14ac:dyDescent="0.25">
      <c r="A1202">
        <v>1201</v>
      </c>
      <c r="B1202" t="str">
        <f>Table2[[#This Row],[Propinsi]]&amp;"_"&amp;Table2[[#This Row],[Dati 2]]&amp;"_"&amp;Table2[[#This Row],[Tanggal]]</f>
        <v>SULAWESI SELATAN_LUWU_44197</v>
      </c>
      <c r="C1202" t="s">
        <v>7</v>
      </c>
      <c r="D1202" t="s">
        <v>143</v>
      </c>
      <c r="E1202">
        <v>1</v>
      </c>
      <c r="F1202">
        <v>2021</v>
      </c>
      <c r="G1202" s="1">
        <f>DATE(Table2[[#This Row],[Tahun]],Table2[[#This Row],[Bulan]],1)</f>
        <v>44197</v>
      </c>
      <c r="H1202">
        <v>170</v>
      </c>
    </row>
    <row r="1203" spans="1:8" x14ac:dyDescent="0.25">
      <c r="A1203">
        <v>1202</v>
      </c>
      <c r="B1203" t="str">
        <f>Table2[[#This Row],[Propinsi]]&amp;"_"&amp;Table2[[#This Row],[Dati 2]]&amp;"_"&amp;Table2[[#This Row],[Tanggal]]</f>
        <v>SULAWESI SELATAN_LUWU_44228</v>
      </c>
      <c r="C1203" t="s">
        <v>7</v>
      </c>
      <c r="D1203" t="s">
        <v>143</v>
      </c>
      <c r="E1203">
        <v>2</v>
      </c>
      <c r="F1203">
        <v>2021</v>
      </c>
      <c r="G1203" s="1">
        <f>DATE(Table2[[#This Row],[Tahun]],Table2[[#This Row],[Bulan]],1)</f>
        <v>44228</v>
      </c>
      <c r="H1203">
        <v>172</v>
      </c>
    </row>
    <row r="1204" spans="1:8" x14ac:dyDescent="0.25">
      <c r="A1204">
        <v>1203</v>
      </c>
      <c r="B1204" t="str">
        <f>Table2[[#This Row],[Propinsi]]&amp;"_"&amp;Table2[[#This Row],[Dati 2]]&amp;"_"&amp;Table2[[#This Row],[Tanggal]]</f>
        <v>SULAWESI SELATAN_LUWU_44256</v>
      </c>
      <c r="C1204" t="s">
        <v>7</v>
      </c>
      <c r="D1204" t="s">
        <v>143</v>
      </c>
      <c r="E1204">
        <v>3</v>
      </c>
      <c r="F1204">
        <v>2021</v>
      </c>
      <c r="G1204" s="1">
        <f>DATE(Table2[[#This Row],[Tahun]],Table2[[#This Row],[Bulan]],1)</f>
        <v>44256</v>
      </c>
      <c r="H1204">
        <v>175</v>
      </c>
    </row>
    <row r="1205" spans="1:8" x14ac:dyDescent="0.25">
      <c r="A1205">
        <v>1204</v>
      </c>
      <c r="B1205" t="str">
        <f>Table2[[#This Row],[Propinsi]]&amp;"_"&amp;Table2[[#This Row],[Dati 2]]&amp;"_"&amp;Table2[[#This Row],[Tanggal]]</f>
        <v>SULAWESI SELATAN_LUWU_44287</v>
      </c>
      <c r="C1205" t="s">
        <v>7</v>
      </c>
      <c r="D1205" t="s">
        <v>143</v>
      </c>
      <c r="E1205">
        <v>4</v>
      </c>
      <c r="F1205">
        <v>2021</v>
      </c>
      <c r="G1205" s="1">
        <f>DATE(Table2[[#This Row],[Tahun]],Table2[[#This Row],[Bulan]],1)</f>
        <v>44287</v>
      </c>
      <c r="H1205">
        <v>177</v>
      </c>
    </row>
    <row r="1206" spans="1:8" x14ac:dyDescent="0.25">
      <c r="A1206">
        <v>1205</v>
      </c>
      <c r="B1206" t="str">
        <f>Table2[[#This Row],[Propinsi]]&amp;"_"&amp;Table2[[#This Row],[Dati 2]]&amp;"_"&amp;Table2[[#This Row],[Tanggal]]</f>
        <v>SULAWESI SELATAN_LUWU_44317</v>
      </c>
      <c r="C1206" t="s">
        <v>7</v>
      </c>
      <c r="D1206" t="s">
        <v>143</v>
      </c>
      <c r="E1206">
        <v>5</v>
      </c>
      <c r="F1206">
        <v>2021</v>
      </c>
      <c r="G1206" s="1">
        <f>DATE(Table2[[#This Row],[Tahun]],Table2[[#This Row],[Bulan]],1)</f>
        <v>44317</v>
      </c>
      <c r="H1206">
        <v>183</v>
      </c>
    </row>
    <row r="1207" spans="1:8" x14ac:dyDescent="0.25">
      <c r="A1207">
        <v>1206</v>
      </c>
      <c r="B1207" t="str">
        <f>Table2[[#This Row],[Propinsi]]&amp;"_"&amp;Table2[[#This Row],[Dati 2]]&amp;"_"&amp;Table2[[#This Row],[Tanggal]]</f>
        <v>SULAWESI SELATAN_LUWU_44348</v>
      </c>
      <c r="C1207" t="s">
        <v>7</v>
      </c>
      <c r="D1207" t="s">
        <v>143</v>
      </c>
      <c r="E1207">
        <v>6</v>
      </c>
      <c r="F1207">
        <v>2021</v>
      </c>
      <c r="G1207" s="1">
        <f>DATE(Table2[[#This Row],[Tahun]],Table2[[#This Row],[Bulan]],1)</f>
        <v>44348</v>
      </c>
      <c r="H1207">
        <v>186</v>
      </c>
    </row>
    <row r="1208" spans="1:8" x14ac:dyDescent="0.25">
      <c r="A1208">
        <v>1207</v>
      </c>
      <c r="B1208" t="str">
        <f>Table2[[#This Row],[Propinsi]]&amp;"_"&amp;Table2[[#This Row],[Dati 2]]&amp;"_"&amp;Table2[[#This Row],[Tanggal]]</f>
        <v>SULAWESI SELATAN_LUWU_44378</v>
      </c>
      <c r="C1208" t="s">
        <v>7</v>
      </c>
      <c r="D1208" t="s">
        <v>143</v>
      </c>
      <c r="E1208">
        <v>7</v>
      </c>
      <c r="F1208">
        <v>2021</v>
      </c>
      <c r="G1208" s="1">
        <f>DATE(Table2[[#This Row],[Tahun]],Table2[[#This Row],[Bulan]],1)</f>
        <v>44378</v>
      </c>
      <c r="H1208">
        <v>189</v>
      </c>
    </row>
    <row r="1209" spans="1:8" x14ac:dyDescent="0.25">
      <c r="A1209">
        <v>1208</v>
      </c>
      <c r="B1209" t="str">
        <f>Table2[[#This Row],[Propinsi]]&amp;"_"&amp;Table2[[#This Row],[Dati 2]]&amp;"_"&amp;Table2[[#This Row],[Tanggal]]</f>
        <v>SULAWESI SELATAN_LUWU_44409</v>
      </c>
      <c r="C1209" t="s">
        <v>7</v>
      </c>
      <c r="D1209" t="s">
        <v>143</v>
      </c>
      <c r="E1209">
        <v>8</v>
      </c>
      <c r="F1209">
        <v>2021</v>
      </c>
      <c r="G1209" s="1">
        <f>DATE(Table2[[#This Row],[Tahun]],Table2[[#This Row],[Bulan]],1)</f>
        <v>44409</v>
      </c>
      <c r="H1209">
        <v>189</v>
      </c>
    </row>
    <row r="1210" spans="1:8" x14ac:dyDescent="0.25">
      <c r="A1210">
        <v>1209</v>
      </c>
      <c r="B1210" t="str">
        <f>Table2[[#This Row],[Propinsi]]&amp;"_"&amp;Table2[[#This Row],[Dati 2]]&amp;"_"&amp;Table2[[#This Row],[Tanggal]]</f>
        <v>SULAWESI SELATAN_LUWU_44440</v>
      </c>
      <c r="C1210" t="s">
        <v>7</v>
      </c>
      <c r="D1210" t="s">
        <v>143</v>
      </c>
      <c r="E1210">
        <v>9</v>
      </c>
      <c r="F1210">
        <v>2021</v>
      </c>
      <c r="G1210" s="1">
        <f>DATE(Table2[[#This Row],[Tahun]],Table2[[#This Row],[Bulan]],1)</f>
        <v>44440</v>
      </c>
      <c r="H1210">
        <v>192</v>
      </c>
    </row>
    <row r="1211" spans="1:8" x14ac:dyDescent="0.25">
      <c r="A1211">
        <v>1210</v>
      </c>
      <c r="B1211" t="str">
        <f>Table2[[#This Row],[Propinsi]]&amp;"_"&amp;Table2[[#This Row],[Dati 2]]&amp;"_"&amp;Table2[[#This Row],[Tanggal]]</f>
        <v>SULAWESI SELATAN_LUWU_44470</v>
      </c>
      <c r="C1211" t="s">
        <v>7</v>
      </c>
      <c r="D1211" t="s">
        <v>143</v>
      </c>
      <c r="E1211">
        <v>10</v>
      </c>
      <c r="F1211">
        <v>2021</v>
      </c>
      <c r="G1211" s="1">
        <f>DATE(Table2[[#This Row],[Tahun]],Table2[[#This Row],[Bulan]],1)</f>
        <v>44470</v>
      </c>
      <c r="H1211">
        <v>196</v>
      </c>
    </row>
    <row r="1212" spans="1:8" x14ac:dyDescent="0.25">
      <c r="A1212">
        <v>1211</v>
      </c>
      <c r="B1212" t="str">
        <f>Table2[[#This Row],[Propinsi]]&amp;"_"&amp;Table2[[#This Row],[Dati 2]]&amp;"_"&amp;Table2[[#This Row],[Tanggal]]</f>
        <v>SULAWESI SELATAN_LUWU_44501</v>
      </c>
      <c r="C1212" t="s">
        <v>7</v>
      </c>
      <c r="D1212" t="s">
        <v>143</v>
      </c>
      <c r="E1212">
        <v>11</v>
      </c>
      <c r="F1212">
        <v>2021</v>
      </c>
      <c r="G1212" s="1">
        <f>DATE(Table2[[#This Row],[Tahun]],Table2[[#This Row],[Bulan]],1)</f>
        <v>44501</v>
      </c>
      <c r="H1212">
        <v>196</v>
      </c>
    </row>
    <row r="1213" spans="1:8" x14ac:dyDescent="0.25">
      <c r="A1213">
        <v>1212</v>
      </c>
      <c r="B1213" t="str">
        <f>Table2[[#This Row],[Propinsi]]&amp;"_"&amp;Table2[[#This Row],[Dati 2]]&amp;"_"&amp;Table2[[#This Row],[Tanggal]]</f>
        <v>SULAWESI SELATAN_LUWU_44531</v>
      </c>
      <c r="C1213" t="s">
        <v>7</v>
      </c>
      <c r="D1213" t="s">
        <v>143</v>
      </c>
      <c r="E1213">
        <v>12</v>
      </c>
      <c r="F1213">
        <v>2021</v>
      </c>
      <c r="G1213" s="1">
        <f>DATE(Table2[[#This Row],[Tahun]],Table2[[#This Row],[Bulan]],1)</f>
        <v>44531</v>
      </c>
      <c r="H1213">
        <v>202</v>
      </c>
    </row>
    <row r="1214" spans="1:8" x14ac:dyDescent="0.25">
      <c r="A1214">
        <v>1213</v>
      </c>
      <c r="B1214" t="str">
        <f>Table2[[#This Row],[Propinsi]]&amp;"_"&amp;Table2[[#This Row],[Dati 2]]&amp;"_"&amp;Table2[[#This Row],[Tanggal]]</f>
        <v>SULAWESI SELATAN_LUWU TIMUR_44197</v>
      </c>
      <c r="C1214" t="s">
        <v>7</v>
      </c>
      <c r="D1214" t="s">
        <v>144</v>
      </c>
      <c r="E1214">
        <v>1</v>
      </c>
      <c r="F1214">
        <v>2021</v>
      </c>
      <c r="G1214" s="1">
        <f>DATE(Table2[[#This Row],[Tahun]],Table2[[#This Row],[Bulan]],1)</f>
        <v>44197</v>
      </c>
      <c r="H1214">
        <v>98</v>
      </c>
    </row>
    <row r="1215" spans="1:8" x14ac:dyDescent="0.25">
      <c r="A1215">
        <v>1214</v>
      </c>
      <c r="B1215" t="str">
        <f>Table2[[#This Row],[Propinsi]]&amp;"_"&amp;Table2[[#This Row],[Dati 2]]&amp;"_"&amp;Table2[[#This Row],[Tanggal]]</f>
        <v>SULAWESI SELATAN_LUWU TIMUR_44228</v>
      </c>
      <c r="C1215" t="s">
        <v>7</v>
      </c>
      <c r="D1215" t="s">
        <v>144</v>
      </c>
      <c r="E1215">
        <v>2</v>
      </c>
      <c r="F1215">
        <v>2021</v>
      </c>
      <c r="G1215" s="1">
        <f>DATE(Table2[[#This Row],[Tahun]],Table2[[#This Row],[Bulan]],1)</f>
        <v>44228</v>
      </c>
      <c r="H1215">
        <v>97</v>
      </c>
    </row>
    <row r="1216" spans="1:8" x14ac:dyDescent="0.25">
      <c r="A1216">
        <v>1215</v>
      </c>
      <c r="B1216" t="str">
        <f>Table2[[#This Row],[Propinsi]]&amp;"_"&amp;Table2[[#This Row],[Dati 2]]&amp;"_"&amp;Table2[[#This Row],[Tanggal]]</f>
        <v>SULAWESI SELATAN_LUWU TIMUR_44256</v>
      </c>
      <c r="C1216" t="s">
        <v>7</v>
      </c>
      <c r="D1216" t="s">
        <v>144</v>
      </c>
      <c r="E1216">
        <v>3</v>
      </c>
      <c r="F1216">
        <v>2021</v>
      </c>
      <c r="G1216" s="1">
        <f>DATE(Table2[[#This Row],[Tahun]],Table2[[#This Row],[Bulan]],1)</f>
        <v>44256</v>
      </c>
      <c r="H1216">
        <v>96</v>
      </c>
    </row>
    <row r="1217" spans="1:8" x14ac:dyDescent="0.25">
      <c r="A1217">
        <v>1216</v>
      </c>
      <c r="B1217" t="str">
        <f>Table2[[#This Row],[Propinsi]]&amp;"_"&amp;Table2[[#This Row],[Dati 2]]&amp;"_"&amp;Table2[[#This Row],[Tanggal]]</f>
        <v>SULAWESI SELATAN_LUWU TIMUR_44287</v>
      </c>
      <c r="C1217" t="s">
        <v>7</v>
      </c>
      <c r="D1217" t="s">
        <v>144</v>
      </c>
      <c r="E1217">
        <v>4</v>
      </c>
      <c r="F1217">
        <v>2021</v>
      </c>
      <c r="G1217" s="1">
        <f>DATE(Table2[[#This Row],[Tahun]],Table2[[#This Row],[Bulan]],1)</f>
        <v>44287</v>
      </c>
      <c r="H1217">
        <v>99</v>
      </c>
    </row>
    <row r="1218" spans="1:8" x14ac:dyDescent="0.25">
      <c r="A1218">
        <v>1217</v>
      </c>
      <c r="B1218" t="str">
        <f>Table2[[#This Row],[Propinsi]]&amp;"_"&amp;Table2[[#This Row],[Dati 2]]&amp;"_"&amp;Table2[[#This Row],[Tanggal]]</f>
        <v>SULAWESI SELATAN_LUWU TIMUR_44317</v>
      </c>
      <c r="C1218" t="s">
        <v>7</v>
      </c>
      <c r="D1218" t="s">
        <v>144</v>
      </c>
      <c r="E1218">
        <v>5</v>
      </c>
      <c r="F1218">
        <v>2021</v>
      </c>
      <c r="G1218" s="1">
        <f>DATE(Table2[[#This Row],[Tahun]],Table2[[#This Row],[Bulan]],1)</f>
        <v>44317</v>
      </c>
      <c r="H1218">
        <v>99</v>
      </c>
    </row>
    <row r="1219" spans="1:8" x14ac:dyDescent="0.25">
      <c r="A1219">
        <v>1218</v>
      </c>
      <c r="B1219" t="str">
        <f>Table2[[#This Row],[Propinsi]]&amp;"_"&amp;Table2[[#This Row],[Dati 2]]&amp;"_"&amp;Table2[[#This Row],[Tanggal]]</f>
        <v>SULAWESI SELATAN_LUWU TIMUR_44348</v>
      </c>
      <c r="C1219" t="s">
        <v>7</v>
      </c>
      <c r="D1219" t="s">
        <v>144</v>
      </c>
      <c r="E1219">
        <v>6</v>
      </c>
      <c r="F1219">
        <v>2021</v>
      </c>
      <c r="G1219" s="1">
        <f>DATE(Table2[[#This Row],[Tahun]],Table2[[#This Row],[Bulan]],1)</f>
        <v>44348</v>
      </c>
      <c r="H1219">
        <v>97</v>
      </c>
    </row>
    <row r="1220" spans="1:8" x14ac:dyDescent="0.25">
      <c r="A1220">
        <v>1219</v>
      </c>
      <c r="B1220" t="str">
        <f>Table2[[#This Row],[Propinsi]]&amp;"_"&amp;Table2[[#This Row],[Dati 2]]&amp;"_"&amp;Table2[[#This Row],[Tanggal]]</f>
        <v>SULAWESI SELATAN_LUWU TIMUR_44378</v>
      </c>
      <c r="C1220" t="s">
        <v>7</v>
      </c>
      <c r="D1220" t="s">
        <v>144</v>
      </c>
      <c r="E1220">
        <v>7</v>
      </c>
      <c r="F1220">
        <v>2021</v>
      </c>
      <c r="G1220" s="1">
        <f>DATE(Table2[[#This Row],[Tahun]],Table2[[#This Row],[Bulan]],1)</f>
        <v>44378</v>
      </c>
      <c r="H1220">
        <v>103</v>
      </c>
    </row>
    <row r="1221" spans="1:8" x14ac:dyDescent="0.25">
      <c r="A1221">
        <v>1220</v>
      </c>
      <c r="B1221" t="str">
        <f>Table2[[#This Row],[Propinsi]]&amp;"_"&amp;Table2[[#This Row],[Dati 2]]&amp;"_"&amp;Table2[[#This Row],[Tanggal]]</f>
        <v>SULAWESI SELATAN_LUWU TIMUR_44409</v>
      </c>
      <c r="C1221" t="s">
        <v>7</v>
      </c>
      <c r="D1221" t="s">
        <v>144</v>
      </c>
      <c r="E1221">
        <v>8</v>
      </c>
      <c r="F1221">
        <v>2021</v>
      </c>
      <c r="G1221" s="1">
        <f>DATE(Table2[[#This Row],[Tahun]],Table2[[#This Row],[Bulan]],1)</f>
        <v>44409</v>
      </c>
      <c r="H1221">
        <v>105</v>
      </c>
    </row>
    <row r="1222" spans="1:8" x14ac:dyDescent="0.25">
      <c r="A1222">
        <v>1221</v>
      </c>
      <c r="B1222" t="str">
        <f>Table2[[#This Row],[Propinsi]]&amp;"_"&amp;Table2[[#This Row],[Dati 2]]&amp;"_"&amp;Table2[[#This Row],[Tanggal]]</f>
        <v>SULAWESI SELATAN_LUWU TIMUR_44440</v>
      </c>
      <c r="C1222" t="s">
        <v>7</v>
      </c>
      <c r="D1222" t="s">
        <v>144</v>
      </c>
      <c r="E1222">
        <v>9</v>
      </c>
      <c r="F1222">
        <v>2021</v>
      </c>
      <c r="G1222" s="1">
        <f>DATE(Table2[[#This Row],[Tahun]],Table2[[#This Row],[Bulan]],1)</f>
        <v>44440</v>
      </c>
      <c r="H1222">
        <v>107</v>
      </c>
    </row>
    <row r="1223" spans="1:8" x14ac:dyDescent="0.25">
      <c r="A1223">
        <v>1222</v>
      </c>
      <c r="B1223" t="str">
        <f>Table2[[#This Row],[Propinsi]]&amp;"_"&amp;Table2[[#This Row],[Dati 2]]&amp;"_"&amp;Table2[[#This Row],[Tanggal]]</f>
        <v>SULAWESI SELATAN_LUWU TIMUR_44470</v>
      </c>
      <c r="C1223" t="s">
        <v>7</v>
      </c>
      <c r="D1223" t="s">
        <v>144</v>
      </c>
      <c r="E1223">
        <v>10</v>
      </c>
      <c r="F1223">
        <v>2021</v>
      </c>
      <c r="G1223" s="1">
        <f>DATE(Table2[[#This Row],[Tahun]],Table2[[#This Row],[Bulan]],1)</f>
        <v>44470</v>
      </c>
      <c r="H1223">
        <v>111</v>
      </c>
    </row>
    <row r="1224" spans="1:8" x14ac:dyDescent="0.25">
      <c r="A1224">
        <v>1223</v>
      </c>
      <c r="B1224" t="str">
        <f>Table2[[#This Row],[Propinsi]]&amp;"_"&amp;Table2[[#This Row],[Dati 2]]&amp;"_"&amp;Table2[[#This Row],[Tanggal]]</f>
        <v>SULAWESI SELATAN_LUWU TIMUR_44501</v>
      </c>
      <c r="C1224" t="s">
        <v>7</v>
      </c>
      <c r="D1224" t="s">
        <v>144</v>
      </c>
      <c r="E1224">
        <v>11</v>
      </c>
      <c r="F1224">
        <v>2021</v>
      </c>
      <c r="G1224" s="1">
        <f>DATE(Table2[[#This Row],[Tahun]],Table2[[#This Row],[Bulan]],1)</f>
        <v>44501</v>
      </c>
      <c r="H1224">
        <v>114</v>
      </c>
    </row>
    <row r="1225" spans="1:8" x14ac:dyDescent="0.25">
      <c r="A1225">
        <v>1224</v>
      </c>
      <c r="B1225" t="str">
        <f>Table2[[#This Row],[Propinsi]]&amp;"_"&amp;Table2[[#This Row],[Dati 2]]&amp;"_"&amp;Table2[[#This Row],[Tanggal]]</f>
        <v>SULAWESI SELATAN_LUWU TIMUR_44531</v>
      </c>
      <c r="C1225" t="s">
        <v>7</v>
      </c>
      <c r="D1225" t="s">
        <v>144</v>
      </c>
      <c r="E1225">
        <v>12</v>
      </c>
      <c r="F1225">
        <v>2021</v>
      </c>
      <c r="G1225" s="1">
        <f>DATE(Table2[[#This Row],[Tahun]],Table2[[#This Row],[Bulan]],1)</f>
        <v>44531</v>
      </c>
      <c r="H1225">
        <v>114</v>
      </c>
    </row>
    <row r="1226" spans="1:8" x14ac:dyDescent="0.25">
      <c r="A1226">
        <v>1225</v>
      </c>
      <c r="B1226" t="str">
        <f>Table2[[#This Row],[Propinsi]]&amp;"_"&amp;Table2[[#This Row],[Dati 2]]&amp;"_"&amp;Table2[[#This Row],[Tanggal]]</f>
        <v>SULAWESI SELATAN_TAKALAR_44197</v>
      </c>
      <c r="C1226" t="s">
        <v>7</v>
      </c>
      <c r="D1226" t="s">
        <v>145</v>
      </c>
      <c r="E1226">
        <v>1</v>
      </c>
      <c r="F1226">
        <v>2021</v>
      </c>
      <c r="G1226" s="1">
        <f>DATE(Table2[[#This Row],[Tahun]],Table2[[#This Row],[Bulan]],1)</f>
        <v>44197</v>
      </c>
      <c r="H1226">
        <v>106</v>
      </c>
    </row>
    <row r="1227" spans="1:8" x14ac:dyDescent="0.25">
      <c r="A1227">
        <v>1226</v>
      </c>
      <c r="B1227" t="str">
        <f>Table2[[#This Row],[Propinsi]]&amp;"_"&amp;Table2[[#This Row],[Dati 2]]&amp;"_"&amp;Table2[[#This Row],[Tanggal]]</f>
        <v>SULAWESI SELATAN_TAKALAR_44228</v>
      </c>
      <c r="C1227" t="s">
        <v>7</v>
      </c>
      <c r="D1227" t="s">
        <v>145</v>
      </c>
      <c r="E1227">
        <v>2</v>
      </c>
      <c r="F1227">
        <v>2021</v>
      </c>
      <c r="G1227" s="1">
        <f>DATE(Table2[[#This Row],[Tahun]],Table2[[#This Row],[Bulan]],1)</f>
        <v>44228</v>
      </c>
      <c r="H1227">
        <v>112</v>
      </c>
    </row>
    <row r="1228" spans="1:8" x14ac:dyDescent="0.25">
      <c r="A1228">
        <v>1227</v>
      </c>
      <c r="B1228" t="str">
        <f>Table2[[#This Row],[Propinsi]]&amp;"_"&amp;Table2[[#This Row],[Dati 2]]&amp;"_"&amp;Table2[[#This Row],[Tanggal]]</f>
        <v>SULAWESI SELATAN_TAKALAR_44256</v>
      </c>
      <c r="C1228" t="s">
        <v>7</v>
      </c>
      <c r="D1228" t="s">
        <v>145</v>
      </c>
      <c r="E1228">
        <v>3</v>
      </c>
      <c r="F1228">
        <v>2021</v>
      </c>
      <c r="G1228" s="1">
        <f>DATE(Table2[[#This Row],[Tahun]],Table2[[#This Row],[Bulan]],1)</f>
        <v>44256</v>
      </c>
      <c r="H1228">
        <v>116</v>
      </c>
    </row>
    <row r="1229" spans="1:8" x14ac:dyDescent="0.25">
      <c r="A1229">
        <v>1228</v>
      </c>
      <c r="B1229" t="str">
        <f>Table2[[#This Row],[Propinsi]]&amp;"_"&amp;Table2[[#This Row],[Dati 2]]&amp;"_"&amp;Table2[[#This Row],[Tanggal]]</f>
        <v>SULAWESI SELATAN_TAKALAR_44287</v>
      </c>
      <c r="C1229" t="s">
        <v>7</v>
      </c>
      <c r="D1229" t="s">
        <v>145</v>
      </c>
      <c r="E1229">
        <v>4</v>
      </c>
      <c r="F1229">
        <v>2021</v>
      </c>
      <c r="G1229" s="1">
        <f>DATE(Table2[[#This Row],[Tahun]],Table2[[#This Row],[Bulan]],1)</f>
        <v>44287</v>
      </c>
      <c r="H1229">
        <v>117</v>
      </c>
    </row>
    <row r="1230" spans="1:8" x14ac:dyDescent="0.25">
      <c r="A1230">
        <v>1229</v>
      </c>
      <c r="B1230" t="str">
        <f>Table2[[#This Row],[Propinsi]]&amp;"_"&amp;Table2[[#This Row],[Dati 2]]&amp;"_"&amp;Table2[[#This Row],[Tanggal]]</f>
        <v>SULAWESI SELATAN_TAKALAR_44317</v>
      </c>
      <c r="C1230" t="s">
        <v>7</v>
      </c>
      <c r="D1230" t="s">
        <v>145</v>
      </c>
      <c r="E1230">
        <v>5</v>
      </c>
      <c r="F1230">
        <v>2021</v>
      </c>
      <c r="G1230" s="1">
        <f>DATE(Table2[[#This Row],[Tahun]],Table2[[#This Row],[Bulan]],1)</f>
        <v>44317</v>
      </c>
      <c r="H1230">
        <v>118</v>
      </c>
    </row>
    <row r="1231" spans="1:8" x14ac:dyDescent="0.25">
      <c r="A1231">
        <v>1230</v>
      </c>
      <c r="B1231" t="str">
        <f>Table2[[#This Row],[Propinsi]]&amp;"_"&amp;Table2[[#This Row],[Dati 2]]&amp;"_"&amp;Table2[[#This Row],[Tanggal]]</f>
        <v>SULAWESI SELATAN_TAKALAR_44348</v>
      </c>
      <c r="C1231" t="s">
        <v>7</v>
      </c>
      <c r="D1231" t="s">
        <v>145</v>
      </c>
      <c r="E1231">
        <v>6</v>
      </c>
      <c r="F1231">
        <v>2021</v>
      </c>
      <c r="G1231" s="1">
        <f>DATE(Table2[[#This Row],[Tahun]],Table2[[#This Row],[Bulan]],1)</f>
        <v>44348</v>
      </c>
      <c r="H1231">
        <v>119</v>
      </c>
    </row>
    <row r="1232" spans="1:8" x14ac:dyDescent="0.25">
      <c r="A1232">
        <v>1231</v>
      </c>
      <c r="B1232" t="str">
        <f>Table2[[#This Row],[Propinsi]]&amp;"_"&amp;Table2[[#This Row],[Dati 2]]&amp;"_"&amp;Table2[[#This Row],[Tanggal]]</f>
        <v>SULAWESI SELATAN_TAKALAR_44378</v>
      </c>
      <c r="C1232" t="s">
        <v>7</v>
      </c>
      <c r="D1232" t="s">
        <v>145</v>
      </c>
      <c r="E1232">
        <v>7</v>
      </c>
      <c r="F1232">
        <v>2021</v>
      </c>
      <c r="G1232" s="1">
        <f>DATE(Table2[[#This Row],[Tahun]],Table2[[#This Row],[Bulan]],1)</f>
        <v>44378</v>
      </c>
      <c r="H1232">
        <v>125</v>
      </c>
    </row>
    <row r="1233" spans="1:8" x14ac:dyDescent="0.25">
      <c r="A1233">
        <v>1232</v>
      </c>
      <c r="B1233" t="str">
        <f>Table2[[#This Row],[Propinsi]]&amp;"_"&amp;Table2[[#This Row],[Dati 2]]&amp;"_"&amp;Table2[[#This Row],[Tanggal]]</f>
        <v>SULAWESI SELATAN_TAKALAR_44409</v>
      </c>
      <c r="C1233" t="s">
        <v>7</v>
      </c>
      <c r="D1233" t="s">
        <v>145</v>
      </c>
      <c r="E1233">
        <v>8</v>
      </c>
      <c r="F1233">
        <v>2021</v>
      </c>
      <c r="G1233" s="1">
        <f>DATE(Table2[[#This Row],[Tahun]],Table2[[#This Row],[Bulan]],1)</f>
        <v>44409</v>
      </c>
      <c r="H1233">
        <v>124</v>
      </c>
    </row>
    <row r="1234" spans="1:8" x14ac:dyDescent="0.25">
      <c r="A1234">
        <v>1233</v>
      </c>
      <c r="B1234" t="str">
        <f>Table2[[#This Row],[Propinsi]]&amp;"_"&amp;Table2[[#This Row],[Dati 2]]&amp;"_"&amp;Table2[[#This Row],[Tanggal]]</f>
        <v>SULAWESI SELATAN_TAKALAR_44440</v>
      </c>
      <c r="C1234" t="s">
        <v>7</v>
      </c>
      <c r="D1234" t="s">
        <v>145</v>
      </c>
      <c r="E1234">
        <v>9</v>
      </c>
      <c r="F1234">
        <v>2021</v>
      </c>
      <c r="G1234" s="1">
        <f>DATE(Table2[[#This Row],[Tahun]],Table2[[#This Row],[Bulan]],1)</f>
        <v>44440</v>
      </c>
      <c r="H1234">
        <v>124</v>
      </c>
    </row>
    <row r="1235" spans="1:8" x14ac:dyDescent="0.25">
      <c r="A1235">
        <v>1234</v>
      </c>
      <c r="B1235" t="str">
        <f>Table2[[#This Row],[Propinsi]]&amp;"_"&amp;Table2[[#This Row],[Dati 2]]&amp;"_"&amp;Table2[[#This Row],[Tanggal]]</f>
        <v>SULAWESI SELATAN_TAKALAR_44470</v>
      </c>
      <c r="C1235" t="s">
        <v>7</v>
      </c>
      <c r="D1235" t="s">
        <v>145</v>
      </c>
      <c r="E1235">
        <v>10</v>
      </c>
      <c r="F1235">
        <v>2021</v>
      </c>
      <c r="G1235" s="1">
        <f>DATE(Table2[[#This Row],[Tahun]],Table2[[#This Row],[Bulan]],1)</f>
        <v>44470</v>
      </c>
      <c r="H1235">
        <v>129</v>
      </c>
    </row>
    <row r="1236" spans="1:8" x14ac:dyDescent="0.25">
      <c r="A1236">
        <v>1235</v>
      </c>
      <c r="B1236" t="str">
        <f>Table2[[#This Row],[Propinsi]]&amp;"_"&amp;Table2[[#This Row],[Dati 2]]&amp;"_"&amp;Table2[[#This Row],[Tanggal]]</f>
        <v>SULAWESI SELATAN_TAKALAR_44501</v>
      </c>
      <c r="C1236" t="s">
        <v>7</v>
      </c>
      <c r="D1236" t="s">
        <v>145</v>
      </c>
      <c r="E1236">
        <v>11</v>
      </c>
      <c r="F1236">
        <v>2021</v>
      </c>
      <c r="G1236" s="1">
        <f>DATE(Table2[[#This Row],[Tahun]],Table2[[#This Row],[Bulan]],1)</f>
        <v>44501</v>
      </c>
      <c r="H1236">
        <v>135</v>
      </c>
    </row>
    <row r="1237" spans="1:8" x14ac:dyDescent="0.25">
      <c r="A1237">
        <v>1236</v>
      </c>
      <c r="B1237" t="str">
        <f>Table2[[#This Row],[Propinsi]]&amp;"_"&amp;Table2[[#This Row],[Dati 2]]&amp;"_"&amp;Table2[[#This Row],[Tanggal]]</f>
        <v>SULAWESI SELATAN_TAKALAR_44531</v>
      </c>
      <c r="C1237" t="s">
        <v>7</v>
      </c>
      <c r="D1237" t="s">
        <v>145</v>
      </c>
      <c r="E1237">
        <v>12</v>
      </c>
      <c r="F1237">
        <v>2021</v>
      </c>
      <c r="G1237" s="1">
        <f>DATE(Table2[[#This Row],[Tahun]],Table2[[#This Row],[Bulan]],1)</f>
        <v>44531</v>
      </c>
      <c r="H1237">
        <v>135</v>
      </c>
    </row>
    <row r="1238" spans="1:8" x14ac:dyDescent="0.25">
      <c r="A1238">
        <v>1237</v>
      </c>
      <c r="B1238" t="str">
        <f>Table2[[#This Row],[Propinsi]]&amp;"_"&amp;Table2[[#This Row],[Dati 2]]&amp;"_"&amp;Table2[[#This Row],[Tanggal]]</f>
        <v>SULAWESI SELATAN_JENEPONTO_44197</v>
      </c>
      <c r="C1238" t="s">
        <v>7</v>
      </c>
      <c r="D1238" t="s">
        <v>146</v>
      </c>
      <c r="E1238">
        <v>1</v>
      </c>
      <c r="F1238">
        <v>2021</v>
      </c>
      <c r="G1238" s="1">
        <f>DATE(Table2[[#This Row],[Tahun]],Table2[[#This Row],[Bulan]],1)</f>
        <v>44197</v>
      </c>
      <c r="H1238">
        <v>196</v>
      </c>
    </row>
    <row r="1239" spans="1:8" x14ac:dyDescent="0.25">
      <c r="A1239">
        <v>1238</v>
      </c>
      <c r="B1239" t="str">
        <f>Table2[[#This Row],[Propinsi]]&amp;"_"&amp;Table2[[#This Row],[Dati 2]]&amp;"_"&amp;Table2[[#This Row],[Tanggal]]</f>
        <v>SULAWESI SELATAN_JENEPONTO_44228</v>
      </c>
      <c r="C1239" t="s">
        <v>7</v>
      </c>
      <c r="D1239" t="s">
        <v>146</v>
      </c>
      <c r="E1239">
        <v>2</v>
      </c>
      <c r="F1239">
        <v>2021</v>
      </c>
      <c r="G1239" s="1">
        <f>DATE(Table2[[#This Row],[Tahun]],Table2[[#This Row],[Bulan]],1)</f>
        <v>44228</v>
      </c>
      <c r="H1239">
        <v>199</v>
      </c>
    </row>
    <row r="1240" spans="1:8" x14ac:dyDescent="0.25">
      <c r="A1240">
        <v>1239</v>
      </c>
      <c r="B1240" t="str">
        <f>Table2[[#This Row],[Propinsi]]&amp;"_"&amp;Table2[[#This Row],[Dati 2]]&amp;"_"&amp;Table2[[#This Row],[Tanggal]]</f>
        <v>SULAWESI SELATAN_JENEPONTO_44256</v>
      </c>
      <c r="C1240" t="s">
        <v>7</v>
      </c>
      <c r="D1240" t="s">
        <v>146</v>
      </c>
      <c r="E1240">
        <v>3</v>
      </c>
      <c r="F1240">
        <v>2021</v>
      </c>
      <c r="G1240" s="1">
        <f>DATE(Table2[[#This Row],[Tahun]],Table2[[#This Row],[Bulan]],1)</f>
        <v>44256</v>
      </c>
      <c r="H1240">
        <v>202</v>
      </c>
    </row>
    <row r="1241" spans="1:8" x14ac:dyDescent="0.25">
      <c r="A1241">
        <v>1240</v>
      </c>
      <c r="B1241" t="str">
        <f>Table2[[#This Row],[Propinsi]]&amp;"_"&amp;Table2[[#This Row],[Dati 2]]&amp;"_"&amp;Table2[[#This Row],[Tanggal]]</f>
        <v>SULAWESI SELATAN_JENEPONTO_44287</v>
      </c>
      <c r="C1241" t="s">
        <v>7</v>
      </c>
      <c r="D1241" t="s">
        <v>146</v>
      </c>
      <c r="E1241">
        <v>4</v>
      </c>
      <c r="F1241">
        <v>2021</v>
      </c>
      <c r="G1241" s="1">
        <f>DATE(Table2[[#This Row],[Tahun]],Table2[[#This Row],[Bulan]],1)</f>
        <v>44287</v>
      </c>
      <c r="H1241">
        <v>206</v>
      </c>
    </row>
    <row r="1242" spans="1:8" x14ac:dyDescent="0.25">
      <c r="A1242">
        <v>1241</v>
      </c>
      <c r="B1242" t="str">
        <f>Table2[[#This Row],[Propinsi]]&amp;"_"&amp;Table2[[#This Row],[Dati 2]]&amp;"_"&amp;Table2[[#This Row],[Tanggal]]</f>
        <v>SULAWESI SELATAN_JENEPONTO_44317</v>
      </c>
      <c r="C1242" t="s">
        <v>7</v>
      </c>
      <c r="D1242" t="s">
        <v>146</v>
      </c>
      <c r="E1242">
        <v>5</v>
      </c>
      <c r="F1242">
        <v>2021</v>
      </c>
      <c r="G1242" s="1">
        <f>DATE(Table2[[#This Row],[Tahun]],Table2[[#This Row],[Bulan]],1)</f>
        <v>44317</v>
      </c>
      <c r="H1242">
        <v>206</v>
      </c>
    </row>
    <row r="1243" spans="1:8" x14ac:dyDescent="0.25">
      <c r="A1243">
        <v>1242</v>
      </c>
      <c r="B1243" t="str">
        <f>Table2[[#This Row],[Propinsi]]&amp;"_"&amp;Table2[[#This Row],[Dati 2]]&amp;"_"&amp;Table2[[#This Row],[Tanggal]]</f>
        <v>SULAWESI SELATAN_JENEPONTO_44348</v>
      </c>
      <c r="C1243" t="s">
        <v>7</v>
      </c>
      <c r="D1243" t="s">
        <v>146</v>
      </c>
      <c r="E1243">
        <v>6</v>
      </c>
      <c r="F1243">
        <v>2021</v>
      </c>
      <c r="G1243" s="1">
        <f>DATE(Table2[[#This Row],[Tahun]],Table2[[#This Row],[Bulan]],1)</f>
        <v>44348</v>
      </c>
      <c r="H1243">
        <v>205</v>
      </c>
    </row>
    <row r="1244" spans="1:8" x14ac:dyDescent="0.25">
      <c r="A1244">
        <v>1243</v>
      </c>
      <c r="B1244" t="str">
        <f>Table2[[#This Row],[Propinsi]]&amp;"_"&amp;Table2[[#This Row],[Dati 2]]&amp;"_"&amp;Table2[[#This Row],[Tanggal]]</f>
        <v>SULAWESI SELATAN_JENEPONTO_44378</v>
      </c>
      <c r="C1244" t="s">
        <v>7</v>
      </c>
      <c r="D1244" t="s">
        <v>146</v>
      </c>
      <c r="E1244">
        <v>7</v>
      </c>
      <c r="F1244">
        <v>2021</v>
      </c>
      <c r="G1244" s="1">
        <f>DATE(Table2[[#This Row],[Tahun]],Table2[[#This Row],[Bulan]],1)</f>
        <v>44378</v>
      </c>
      <c r="H1244">
        <v>210</v>
      </c>
    </row>
    <row r="1245" spans="1:8" x14ac:dyDescent="0.25">
      <c r="A1245">
        <v>1244</v>
      </c>
      <c r="B1245" t="str">
        <f>Table2[[#This Row],[Propinsi]]&amp;"_"&amp;Table2[[#This Row],[Dati 2]]&amp;"_"&amp;Table2[[#This Row],[Tanggal]]</f>
        <v>SULAWESI SELATAN_JENEPONTO_44409</v>
      </c>
      <c r="C1245" t="s">
        <v>7</v>
      </c>
      <c r="D1245" t="s">
        <v>146</v>
      </c>
      <c r="E1245">
        <v>8</v>
      </c>
      <c r="F1245">
        <v>2021</v>
      </c>
      <c r="G1245" s="1">
        <f>DATE(Table2[[#This Row],[Tahun]],Table2[[#This Row],[Bulan]],1)</f>
        <v>44409</v>
      </c>
      <c r="H1245">
        <v>209</v>
      </c>
    </row>
    <row r="1246" spans="1:8" x14ac:dyDescent="0.25">
      <c r="A1246">
        <v>1245</v>
      </c>
      <c r="B1246" t="str">
        <f>Table2[[#This Row],[Propinsi]]&amp;"_"&amp;Table2[[#This Row],[Dati 2]]&amp;"_"&amp;Table2[[#This Row],[Tanggal]]</f>
        <v>SULAWESI SELATAN_JENEPONTO_44440</v>
      </c>
      <c r="C1246" t="s">
        <v>7</v>
      </c>
      <c r="D1246" t="s">
        <v>146</v>
      </c>
      <c r="E1246">
        <v>9</v>
      </c>
      <c r="F1246">
        <v>2021</v>
      </c>
      <c r="G1246" s="1">
        <f>DATE(Table2[[#This Row],[Tahun]],Table2[[#This Row],[Bulan]],1)</f>
        <v>44440</v>
      </c>
      <c r="H1246">
        <v>214</v>
      </c>
    </row>
    <row r="1247" spans="1:8" x14ac:dyDescent="0.25">
      <c r="A1247">
        <v>1246</v>
      </c>
      <c r="B1247" t="str">
        <f>Table2[[#This Row],[Propinsi]]&amp;"_"&amp;Table2[[#This Row],[Dati 2]]&amp;"_"&amp;Table2[[#This Row],[Tanggal]]</f>
        <v>SULAWESI SELATAN_JENEPONTO_44470</v>
      </c>
      <c r="C1247" t="s">
        <v>7</v>
      </c>
      <c r="D1247" t="s">
        <v>146</v>
      </c>
      <c r="E1247">
        <v>10</v>
      </c>
      <c r="F1247">
        <v>2021</v>
      </c>
      <c r="G1247" s="1">
        <f>DATE(Table2[[#This Row],[Tahun]],Table2[[#This Row],[Bulan]],1)</f>
        <v>44470</v>
      </c>
      <c r="H1247">
        <v>212</v>
      </c>
    </row>
    <row r="1248" spans="1:8" x14ac:dyDescent="0.25">
      <c r="A1248">
        <v>1247</v>
      </c>
      <c r="B1248" t="str">
        <f>Table2[[#This Row],[Propinsi]]&amp;"_"&amp;Table2[[#This Row],[Dati 2]]&amp;"_"&amp;Table2[[#This Row],[Tanggal]]</f>
        <v>SULAWESI SELATAN_JENEPONTO_44501</v>
      </c>
      <c r="C1248" t="s">
        <v>7</v>
      </c>
      <c r="D1248" t="s">
        <v>146</v>
      </c>
      <c r="E1248">
        <v>11</v>
      </c>
      <c r="F1248">
        <v>2021</v>
      </c>
      <c r="G1248" s="1">
        <f>DATE(Table2[[#This Row],[Tahun]],Table2[[#This Row],[Bulan]],1)</f>
        <v>44501</v>
      </c>
      <c r="H1248">
        <v>216</v>
      </c>
    </row>
    <row r="1249" spans="1:8" x14ac:dyDescent="0.25">
      <c r="A1249">
        <v>1248</v>
      </c>
      <c r="B1249" t="str">
        <f>Table2[[#This Row],[Propinsi]]&amp;"_"&amp;Table2[[#This Row],[Dati 2]]&amp;"_"&amp;Table2[[#This Row],[Tanggal]]</f>
        <v>SULAWESI SELATAN_JENEPONTO_44531</v>
      </c>
      <c r="C1249" t="s">
        <v>7</v>
      </c>
      <c r="D1249" t="s">
        <v>146</v>
      </c>
      <c r="E1249">
        <v>12</v>
      </c>
      <c r="F1249">
        <v>2021</v>
      </c>
      <c r="G1249" s="1">
        <f>DATE(Table2[[#This Row],[Tahun]],Table2[[#This Row],[Bulan]],1)</f>
        <v>44531</v>
      </c>
      <c r="H1249">
        <v>220</v>
      </c>
    </row>
    <row r="1250" spans="1:8" x14ac:dyDescent="0.25">
      <c r="A1250">
        <v>1249</v>
      </c>
      <c r="B1250" t="str">
        <f>Table2[[#This Row],[Propinsi]]&amp;"_"&amp;Table2[[#This Row],[Dati 2]]&amp;"_"&amp;Table2[[#This Row],[Tanggal]]</f>
        <v>SULAWESI SELATAN_BANTAENG_44197</v>
      </c>
      <c r="C1250" t="s">
        <v>7</v>
      </c>
      <c r="D1250" t="s">
        <v>147</v>
      </c>
      <c r="E1250">
        <v>1</v>
      </c>
      <c r="F1250">
        <v>2021</v>
      </c>
      <c r="G1250" s="1">
        <f>DATE(Table2[[#This Row],[Tahun]],Table2[[#This Row],[Bulan]],1)</f>
        <v>44197</v>
      </c>
      <c r="H1250">
        <v>108</v>
      </c>
    </row>
    <row r="1251" spans="1:8" x14ac:dyDescent="0.25">
      <c r="A1251">
        <v>1250</v>
      </c>
      <c r="B1251" t="str">
        <f>Table2[[#This Row],[Propinsi]]&amp;"_"&amp;Table2[[#This Row],[Dati 2]]&amp;"_"&amp;Table2[[#This Row],[Tanggal]]</f>
        <v>SULAWESI SELATAN_BANTAENG_44228</v>
      </c>
      <c r="C1251" t="s">
        <v>7</v>
      </c>
      <c r="D1251" t="s">
        <v>147</v>
      </c>
      <c r="E1251">
        <v>2</v>
      </c>
      <c r="F1251">
        <v>2021</v>
      </c>
      <c r="G1251" s="1">
        <f>DATE(Table2[[#This Row],[Tahun]],Table2[[#This Row],[Bulan]],1)</f>
        <v>44228</v>
      </c>
      <c r="H1251">
        <v>112</v>
      </c>
    </row>
    <row r="1252" spans="1:8" x14ac:dyDescent="0.25">
      <c r="A1252">
        <v>1251</v>
      </c>
      <c r="B1252" t="str">
        <f>Table2[[#This Row],[Propinsi]]&amp;"_"&amp;Table2[[#This Row],[Dati 2]]&amp;"_"&amp;Table2[[#This Row],[Tanggal]]</f>
        <v>SULAWESI SELATAN_BANTAENG_44256</v>
      </c>
      <c r="C1252" t="s">
        <v>7</v>
      </c>
      <c r="D1252" t="s">
        <v>147</v>
      </c>
      <c r="E1252">
        <v>3</v>
      </c>
      <c r="F1252">
        <v>2021</v>
      </c>
      <c r="G1252" s="1">
        <f>DATE(Table2[[#This Row],[Tahun]],Table2[[#This Row],[Bulan]],1)</f>
        <v>44256</v>
      </c>
      <c r="H1252">
        <v>115</v>
      </c>
    </row>
    <row r="1253" spans="1:8" x14ac:dyDescent="0.25">
      <c r="A1253">
        <v>1252</v>
      </c>
      <c r="B1253" t="str">
        <f>Table2[[#This Row],[Propinsi]]&amp;"_"&amp;Table2[[#This Row],[Dati 2]]&amp;"_"&amp;Table2[[#This Row],[Tanggal]]</f>
        <v>SULAWESI SELATAN_BANTAENG_44287</v>
      </c>
      <c r="C1253" t="s">
        <v>7</v>
      </c>
      <c r="D1253" t="s">
        <v>147</v>
      </c>
      <c r="E1253">
        <v>4</v>
      </c>
      <c r="F1253">
        <v>2021</v>
      </c>
      <c r="G1253" s="1">
        <f>DATE(Table2[[#This Row],[Tahun]],Table2[[#This Row],[Bulan]],1)</f>
        <v>44287</v>
      </c>
      <c r="H1253">
        <v>117</v>
      </c>
    </row>
    <row r="1254" spans="1:8" x14ac:dyDescent="0.25">
      <c r="A1254">
        <v>1253</v>
      </c>
      <c r="B1254" t="str">
        <f>Table2[[#This Row],[Propinsi]]&amp;"_"&amp;Table2[[#This Row],[Dati 2]]&amp;"_"&amp;Table2[[#This Row],[Tanggal]]</f>
        <v>SULAWESI SELATAN_BANTAENG_44317</v>
      </c>
      <c r="C1254" t="s">
        <v>7</v>
      </c>
      <c r="D1254" t="s">
        <v>147</v>
      </c>
      <c r="E1254">
        <v>5</v>
      </c>
      <c r="F1254">
        <v>2021</v>
      </c>
      <c r="G1254" s="1">
        <f>DATE(Table2[[#This Row],[Tahun]],Table2[[#This Row],[Bulan]],1)</f>
        <v>44317</v>
      </c>
      <c r="H1254">
        <v>119</v>
      </c>
    </row>
    <row r="1255" spans="1:8" x14ac:dyDescent="0.25">
      <c r="A1255">
        <v>1254</v>
      </c>
      <c r="B1255" t="str">
        <f>Table2[[#This Row],[Propinsi]]&amp;"_"&amp;Table2[[#This Row],[Dati 2]]&amp;"_"&amp;Table2[[#This Row],[Tanggal]]</f>
        <v>SULAWESI SELATAN_BANTAENG_44348</v>
      </c>
      <c r="C1255" t="s">
        <v>7</v>
      </c>
      <c r="D1255" t="s">
        <v>147</v>
      </c>
      <c r="E1255">
        <v>6</v>
      </c>
      <c r="F1255">
        <v>2021</v>
      </c>
      <c r="G1255" s="1">
        <f>DATE(Table2[[#This Row],[Tahun]],Table2[[#This Row],[Bulan]],1)</f>
        <v>44348</v>
      </c>
      <c r="H1255">
        <v>123</v>
      </c>
    </row>
    <row r="1256" spans="1:8" x14ac:dyDescent="0.25">
      <c r="A1256">
        <v>1255</v>
      </c>
      <c r="B1256" t="str">
        <f>Table2[[#This Row],[Propinsi]]&amp;"_"&amp;Table2[[#This Row],[Dati 2]]&amp;"_"&amp;Table2[[#This Row],[Tanggal]]</f>
        <v>SULAWESI SELATAN_BANTAENG_44378</v>
      </c>
      <c r="C1256" t="s">
        <v>7</v>
      </c>
      <c r="D1256" t="s">
        <v>147</v>
      </c>
      <c r="E1256">
        <v>7</v>
      </c>
      <c r="F1256">
        <v>2021</v>
      </c>
      <c r="G1256" s="1">
        <f>DATE(Table2[[#This Row],[Tahun]],Table2[[#This Row],[Bulan]],1)</f>
        <v>44378</v>
      </c>
      <c r="H1256">
        <v>125</v>
      </c>
    </row>
    <row r="1257" spans="1:8" x14ac:dyDescent="0.25">
      <c r="A1257">
        <v>1256</v>
      </c>
      <c r="B1257" t="str">
        <f>Table2[[#This Row],[Propinsi]]&amp;"_"&amp;Table2[[#This Row],[Dati 2]]&amp;"_"&amp;Table2[[#This Row],[Tanggal]]</f>
        <v>SULAWESI SELATAN_BANTAENG_44409</v>
      </c>
      <c r="C1257" t="s">
        <v>7</v>
      </c>
      <c r="D1257" t="s">
        <v>147</v>
      </c>
      <c r="E1257">
        <v>8</v>
      </c>
      <c r="F1257">
        <v>2021</v>
      </c>
      <c r="G1257" s="1">
        <f>DATE(Table2[[#This Row],[Tahun]],Table2[[#This Row],[Bulan]],1)</f>
        <v>44409</v>
      </c>
      <c r="H1257">
        <v>132</v>
      </c>
    </row>
    <row r="1258" spans="1:8" x14ac:dyDescent="0.25">
      <c r="A1258">
        <v>1257</v>
      </c>
      <c r="B1258" t="str">
        <f>Table2[[#This Row],[Propinsi]]&amp;"_"&amp;Table2[[#This Row],[Dati 2]]&amp;"_"&amp;Table2[[#This Row],[Tanggal]]</f>
        <v>SULAWESI SELATAN_BANTAENG_44440</v>
      </c>
      <c r="C1258" t="s">
        <v>7</v>
      </c>
      <c r="D1258" t="s">
        <v>147</v>
      </c>
      <c r="E1258">
        <v>9</v>
      </c>
      <c r="F1258">
        <v>2021</v>
      </c>
      <c r="G1258" s="1">
        <f>DATE(Table2[[#This Row],[Tahun]],Table2[[#This Row],[Bulan]],1)</f>
        <v>44440</v>
      </c>
      <c r="H1258">
        <v>135</v>
      </c>
    </row>
    <row r="1259" spans="1:8" x14ac:dyDescent="0.25">
      <c r="A1259">
        <v>1258</v>
      </c>
      <c r="B1259" t="str">
        <f>Table2[[#This Row],[Propinsi]]&amp;"_"&amp;Table2[[#This Row],[Dati 2]]&amp;"_"&amp;Table2[[#This Row],[Tanggal]]</f>
        <v>SULAWESI SELATAN_BANTAENG_44470</v>
      </c>
      <c r="C1259" t="s">
        <v>7</v>
      </c>
      <c r="D1259" t="s">
        <v>147</v>
      </c>
      <c r="E1259">
        <v>10</v>
      </c>
      <c r="F1259">
        <v>2021</v>
      </c>
      <c r="G1259" s="1">
        <f>DATE(Table2[[#This Row],[Tahun]],Table2[[#This Row],[Bulan]],1)</f>
        <v>44470</v>
      </c>
      <c r="H1259">
        <v>133</v>
      </c>
    </row>
    <row r="1260" spans="1:8" x14ac:dyDescent="0.25">
      <c r="A1260">
        <v>1259</v>
      </c>
      <c r="B1260" t="str">
        <f>Table2[[#This Row],[Propinsi]]&amp;"_"&amp;Table2[[#This Row],[Dati 2]]&amp;"_"&amp;Table2[[#This Row],[Tanggal]]</f>
        <v>SULAWESI SELATAN_BANTAENG_44501</v>
      </c>
      <c r="C1260" t="s">
        <v>7</v>
      </c>
      <c r="D1260" t="s">
        <v>147</v>
      </c>
      <c r="E1260">
        <v>11</v>
      </c>
      <c r="F1260">
        <v>2021</v>
      </c>
      <c r="G1260" s="1">
        <f>DATE(Table2[[#This Row],[Tahun]],Table2[[#This Row],[Bulan]],1)</f>
        <v>44501</v>
      </c>
      <c r="H1260">
        <v>133</v>
      </c>
    </row>
    <row r="1261" spans="1:8" x14ac:dyDescent="0.25">
      <c r="A1261">
        <v>1260</v>
      </c>
      <c r="B1261" t="str">
        <f>Table2[[#This Row],[Propinsi]]&amp;"_"&amp;Table2[[#This Row],[Dati 2]]&amp;"_"&amp;Table2[[#This Row],[Tanggal]]</f>
        <v>SULAWESI SELATAN_BANTAENG_44531</v>
      </c>
      <c r="C1261" t="s">
        <v>7</v>
      </c>
      <c r="D1261" t="s">
        <v>147</v>
      </c>
      <c r="E1261">
        <v>12</v>
      </c>
      <c r="F1261">
        <v>2021</v>
      </c>
      <c r="G1261" s="1">
        <f>DATE(Table2[[#This Row],[Tahun]],Table2[[#This Row],[Bulan]],1)</f>
        <v>44531</v>
      </c>
      <c r="H1261">
        <v>133</v>
      </c>
    </row>
    <row r="1262" spans="1:8" x14ac:dyDescent="0.25">
      <c r="A1262">
        <v>1261</v>
      </c>
      <c r="B1262" t="str">
        <f>Table2[[#This Row],[Propinsi]]&amp;"_"&amp;Table2[[#This Row],[Dati 2]]&amp;"_"&amp;Table2[[#This Row],[Tanggal]]</f>
        <v>SULAWESI SELATAN_BULUKUMBA_44197</v>
      </c>
      <c r="C1262" t="s">
        <v>7</v>
      </c>
      <c r="D1262" t="s">
        <v>148</v>
      </c>
      <c r="E1262">
        <v>1</v>
      </c>
      <c r="F1262">
        <v>2021</v>
      </c>
      <c r="G1262" s="1">
        <f>DATE(Table2[[#This Row],[Tahun]],Table2[[#This Row],[Bulan]],1)</f>
        <v>44197</v>
      </c>
      <c r="H1262">
        <v>157</v>
      </c>
    </row>
    <row r="1263" spans="1:8" x14ac:dyDescent="0.25">
      <c r="A1263">
        <v>1262</v>
      </c>
      <c r="B1263" t="str">
        <f>Table2[[#This Row],[Propinsi]]&amp;"_"&amp;Table2[[#This Row],[Dati 2]]&amp;"_"&amp;Table2[[#This Row],[Tanggal]]</f>
        <v>SULAWESI SELATAN_BULUKUMBA_44228</v>
      </c>
      <c r="C1263" t="s">
        <v>7</v>
      </c>
      <c r="D1263" t="s">
        <v>148</v>
      </c>
      <c r="E1263">
        <v>2</v>
      </c>
      <c r="F1263">
        <v>2021</v>
      </c>
      <c r="G1263" s="1">
        <f>DATE(Table2[[#This Row],[Tahun]],Table2[[#This Row],[Bulan]],1)</f>
        <v>44228</v>
      </c>
      <c r="H1263">
        <v>159</v>
      </c>
    </row>
    <row r="1264" spans="1:8" x14ac:dyDescent="0.25">
      <c r="A1264">
        <v>1263</v>
      </c>
      <c r="B1264" t="str">
        <f>Table2[[#This Row],[Propinsi]]&amp;"_"&amp;Table2[[#This Row],[Dati 2]]&amp;"_"&amp;Table2[[#This Row],[Tanggal]]</f>
        <v>SULAWESI SELATAN_BULUKUMBA_44256</v>
      </c>
      <c r="C1264" t="s">
        <v>7</v>
      </c>
      <c r="D1264" t="s">
        <v>148</v>
      </c>
      <c r="E1264">
        <v>3</v>
      </c>
      <c r="F1264">
        <v>2021</v>
      </c>
      <c r="G1264" s="1">
        <f>DATE(Table2[[#This Row],[Tahun]],Table2[[#This Row],[Bulan]],1)</f>
        <v>44256</v>
      </c>
      <c r="H1264">
        <v>160</v>
      </c>
    </row>
    <row r="1265" spans="1:8" x14ac:dyDescent="0.25">
      <c r="A1265">
        <v>1264</v>
      </c>
      <c r="B1265" t="str">
        <f>Table2[[#This Row],[Propinsi]]&amp;"_"&amp;Table2[[#This Row],[Dati 2]]&amp;"_"&amp;Table2[[#This Row],[Tanggal]]</f>
        <v>SULAWESI SELATAN_BULUKUMBA_44287</v>
      </c>
      <c r="C1265" t="s">
        <v>7</v>
      </c>
      <c r="D1265" t="s">
        <v>148</v>
      </c>
      <c r="E1265">
        <v>4</v>
      </c>
      <c r="F1265">
        <v>2021</v>
      </c>
      <c r="G1265" s="1">
        <f>DATE(Table2[[#This Row],[Tahun]],Table2[[#This Row],[Bulan]],1)</f>
        <v>44287</v>
      </c>
      <c r="H1265">
        <v>158</v>
      </c>
    </row>
    <row r="1266" spans="1:8" x14ac:dyDescent="0.25">
      <c r="A1266">
        <v>1265</v>
      </c>
      <c r="B1266" t="str">
        <f>Table2[[#This Row],[Propinsi]]&amp;"_"&amp;Table2[[#This Row],[Dati 2]]&amp;"_"&amp;Table2[[#This Row],[Tanggal]]</f>
        <v>SULAWESI SELATAN_BULUKUMBA_44317</v>
      </c>
      <c r="C1266" t="s">
        <v>7</v>
      </c>
      <c r="D1266" t="s">
        <v>148</v>
      </c>
      <c r="E1266">
        <v>5</v>
      </c>
      <c r="F1266">
        <v>2021</v>
      </c>
      <c r="G1266" s="1">
        <f>DATE(Table2[[#This Row],[Tahun]],Table2[[#This Row],[Bulan]],1)</f>
        <v>44317</v>
      </c>
      <c r="H1266">
        <v>165</v>
      </c>
    </row>
    <row r="1267" spans="1:8" x14ac:dyDescent="0.25">
      <c r="A1267">
        <v>1266</v>
      </c>
      <c r="B1267" t="str">
        <f>Table2[[#This Row],[Propinsi]]&amp;"_"&amp;Table2[[#This Row],[Dati 2]]&amp;"_"&amp;Table2[[#This Row],[Tanggal]]</f>
        <v>SULAWESI SELATAN_BULUKUMBA_44348</v>
      </c>
      <c r="C1267" t="s">
        <v>7</v>
      </c>
      <c r="D1267" t="s">
        <v>148</v>
      </c>
      <c r="E1267">
        <v>6</v>
      </c>
      <c r="F1267">
        <v>2021</v>
      </c>
      <c r="G1267" s="1">
        <f>DATE(Table2[[#This Row],[Tahun]],Table2[[#This Row],[Bulan]],1)</f>
        <v>44348</v>
      </c>
      <c r="H1267">
        <v>166</v>
      </c>
    </row>
    <row r="1268" spans="1:8" x14ac:dyDescent="0.25">
      <c r="A1268">
        <v>1267</v>
      </c>
      <c r="B1268" t="str">
        <f>Table2[[#This Row],[Propinsi]]&amp;"_"&amp;Table2[[#This Row],[Dati 2]]&amp;"_"&amp;Table2[[#This Row],[Tanggal]]</f>
        <v>SULAWESI SELATAN_BULUKUMBA_44378</v>
      </c>
      <c r="C1268" t="s">
        <v>7</v>
      </c>
      <c r="D1268" t="s">
        <v>148</v>
      </c>
      <c r="E1268">
        <v>7</v>
      </c>
      <c r="F1268">
        <v>2021</v>
      </c>
      <c r="G1268" s="1">
        <f>DATE(Table2[[#This Row],[Tahun]],Table2[[#This Row],[Bulan]],1)</f>
        <v>44378</v>
      </c>
      <c r="H1268">
        <v>165</v>
      </c>
    </row>
    <row r="1269" spans="1:8" x14ac:dyDescent="0.25">
      <c r="A1269">
        <v>1268</v>
      </c>
      <c r="B1269" t="str">
        <f>Table2[[#This Row],[Propinsi]]&amp;"_"&amp;Table2[[#This Row],[Dati 2]]&amp;"_"&amp;Table2[[#This Row],[Tanggal]]</f>
        <v>SULAWESI SELATAN_BULUKUMBA_44409</v>
      </c>
      <c r="C1269" t="s">
        <v>7</v>
      </c>
      <c r="D1269" t="s">
        <v>148</v>
      </c>
      <c r="E1269">
        <v>8</v>
      </c>
      <c r="F1269">
        <v>2021</v>
      </c>
      <c r="G1269" s="1">
        <f>DATE(Table2[[#This Row],[Tahun]],Table2[[#This Row],[Bulan]],1)</f>
        <v>44409</v>
      </c>
      <c r="H1269">
        <v>166</v>
      </c>
    </row>
    <row r="1270" spans="1:8" x14ac:dyDescent="0.25">
      <c r="A1270">
        <v>1269</v>
      </c>
      <c r="B1270" t="str">
        <f>Table2[[#This Row],[Propinsi]]&amp;"_"&amp;Table2[[#This Row],[Dati 2]]&amp;"_"&amp;Table2[[#This Row],[Tanggal]]</f>
        <v>SULAWESI SELATAN_BULUKUMBA_44440</v>
      </c>
      <c r="C1270" t="s">
        <v>7</v>
      </c>
      <c r="D1270" t="s">
        <v>148</v>
      </c>
      <c r="E1270">
        <v>9</v>
      </c>
      <c r="F1270">
        <v>2021</v>
      </c>
      <c r="G1270" s="1">
        <f>DATE(Table2[[#This Row],[Tahun]],Table2[[#This Row],[Bulan]],1)</f>
        <v>44440</v>
      </c>
      <c r="H1270">
        <v>169</v>
      </c>
    </row>
    <row r="1271" spans="1:8" x14ac:dyDescent="0.25">
      <c r="A1271">
        <v>1270</v>
      </c>
      <c r="B1271" t="str">
        <f>Table2[[#This Row],[Propinsi]]&amp;"_"&amp;Table2[[#This Row],[Dati 2]]&amp;"_"&amp;Table2[[#This Row],[Tanggal]]</f>
        <v>SULAWESI SELATAN_BULUKUMBA_44470</v>
      </c>
      <c r="C1271" t="s">
        <v>7</v>
      </c>
      <c r="D1271" t="s">
        <v>148</v>
      </c>
      <c r="E1271">
        <v>10</v>
      </c>
      <c r="F1271">
        <v>2021</v>
      </c>
      <c r="G1271" s="1">
        <f>DATE(Table2[[#This Row],[Tahun]],Table2[[#This Row],[Bulan]],1)</f>
        <v>44470</v>
      </c>
      <c r="H1271">
        <v>169</v>
      </c>
    </row>
    <row r="1272" spans="1:8" x14ac:dyDescent="0.25">
      <c r="A1272">
        <v>1271</v>
      </c>
      <c r="B1272" t="str">
        <f>Table2[[#This Row],[Propinsi]]&amp;"_"&amp;Table2[[#This Row],[Dati 2]]&amp;"_"&amp;Table2[[#This Row],[Tanggal]]</f>
        <v>SULAWESI SELATAN_BULUKUMBA_44501</v>
      </c>
      <c r="C1272" t="s">
        <v>7</v>
      </c>
      <c r="D1272" t="s">
        <v>148</v>
      </c>
      <c r="E1272">
        <v>11</v>
      </c>
      <c r="F1272">
        <v>2021</v>
      </c>
      <c r="G1272" s="1">
        <f>DATE(Table2[[#This Row],[Tahun]],Table2[[#This Row],[Bulan]],1)</f>
        <v>44501</v>
      </c>
      <c r="H1272">
        <v>167</v>
      </c>
    </row>
    <row r="1273" spans="1:8" x14ac:dyDescent="0.25">
      <c r="A1273">
        <v>1272</v>
      </c>
      <c r="B1273" t="str">
        <f>Table2[[#This Row],[Propinsi]]&amp;"_"&amp;Table2[[#This Row],[Dati 2]]&amp;"_"&amp;Table2[[#This Row],[Tanggal]]</f>
        <v>SULAWESI SELATAN_BULUKUMBA_44531</v>
      </c>
      <c r="C1273" t="s">
        <v>7</v>
      </c>
      <c r="D1273" t="s">
        <v>148</v>
      </c>
      <c r="E1273">
        <v>12</v>
      </c>
      <c r="F1273">
        <v>2021</v>
      </c>
      <c r="G1273" s="1">
        <f>DATE(Table2[[#This Row],[Tahun]],Table2[[#This Row],[Bulan]],1)</f>
        <v>44531</v>
      </c>
      <c r="H1273">
        <v>166</v>
      </c>
    </row>
    <row r="1274" spans="1:8" x14ac:dyDescent="0.25">
      <c r="A1274">
        <v>1273</v>
      </c>
      <c r="B1274" t="str">
        <f>Table2[[#This Row],[Propinsi]]&amp;"_"&amp;Table2[[#This Row],[Dati 2]]&amp;"_"&amp;Table2[[#This Row],[Tanggal]]</f>
        <v>SULAWESI SELATAN_SELAYAR (KEPULAUAN SELAYAR)_44197</v>
      </c>
      <c r="C1274" t="s">
        <v>7</v>
      </c>
      <c r="D1274" t="s">
        <v>149</v>
      </c>
      <c r="E1274">
        <v>1</v>
      </c>
      <c r="F1274">
        <v>2021</v>
      </c>
      <c r="G1274" s="1">
        <f>DATE(Table2[[#This Row],[Tahun]],Table2[[#This Row],[Bulan]],1)</f>
        <v>44197</v>
      </c>
      <c r="H1274">
        <v>50</v>
      </c>
    </row>
    <row r="1275" spans="1:8" x14ac:dyDescent="0.25">
      <c r="A1275">
        <v>1274</v>
      </c>
      <c r="B1275" t="str">
        <f>Table2[[#This Row],[Propinsi]]&amp;"_"&amp;Table2[[#This Row],[Dati 2]]&amp;"_"&amp;Table2[[#This Row],[Tanggal]]</f>
        <v>SULAWESI SELATAN_SELAYAR (KEPULAUAN SELAYAR)_44228</v>
      </c>
      <c r="C1275" t="s">
        <v>7</v>
      </c>
      <c r="D1275" t="s">
        <v>149</v>
      </c>
      <c r="E1275">
        <v>2</v>
      </c>
      <c r="F1275">
        <v>2021</v>
      </c>
      <c r="G1275" s="1">
        <f>DATE(Table2[[#This Row],[Tahun]],Table2[[#This Row],[Bulan]],1)</f>
        <v>44228</v>
      </c>
      <c r="H1275">
        <v>55</v>
      </c>
    </row>
    <row r="1276" spans="1:8" x14ac:dyDescent="0.25">
      <c r="A1276">
        <v>1275</v>
      </c>
      <c r="B1276" t="str">
        <f>Table2[[#This Row],[Propinsi]]&amp;"_"&amp;Table2[[#This Row],[Dati 2]]&amp;"_"&amp;Table2[[#This Row],[Tanggal]]</f>
        <v>SULAWESI SELATAN_SELAYAR (KEPULAUAN SELAYAR)_44256</v>
      </c>
      <c r="C1276" t="s">
        <v>7</v>
      </c>
      <c r="D1276" t="s">
        <v>149</v>
      </c>
      <c r="E1276">
        <v>3</v>
      </c>
      <c r="F1276">
        <v>2021</v>
      </c>
      <c r="G1276" s="1">
        <f>DATE(Table2[[#This Row],[Tahun]],Table2[[#This Row],[Bulan]],1)</f>
        <v>44256</v>
      </c>
      <c r="H1276">
        <v>59</v>
      </c>
    </row>
    <row r="1277" spans="1:8" x14ac:dyDescent="0.25">
      <c r="A1277">
        <v>1276</v>
      </c>
      <c r="B1277" t="str">
        <f>Table2[[#This Row],[Propinsi]]&amp;"_"&amp;Table2[[#This Row],[Dati 2]]&amp;"_"&amp;Table2[[#This Row],[Tanggal]]</f>
        <v>SULAWESI SELATAN_SELAYAR (KEPULAUAN SELAYAR)_44287</v>
      </c>
      <c r="C1277" t="s">
        <v>7</v>
      </c>
      <c r="D1277" t="s">
        <v>149</v>
      </c>
      <c r="E1277">
        <v>4</v>
      </c>
      <c r="F1277">
        <v>2021</v>
      </c>
      <c r="G1277" s="1">
        <f>DATE(Table2[[#This Row],[Tahun]],Table2[[#This Row],[Bulan]],1)</f>
        <v>44287</v>
      </c>
      <c r="H1277">
        <v>59</v>
      </c>
    </row>
    <row r="1278" spans="1:8" x14ac:dyDescent="0.25">
      <c r="A1278">
        <v>1277</v>
      </c>
      <c r="B1278" t="str">
        <f>Table2[[#This Row],[Propinsi]]&amp;"_"&amp;Table2[[#This Row],[Dati 2]]&amp;"_"&amp;Table2[[#This Row],[Tanggal]]</f>
        <v>SULAWESI SELATAN_SELAYAR (KEPULAUAN SELAYAR)_44317</v>
      </c>
      <c r="C1278" t="s">
        <v>7</v>
      </c>
      <c r="D1278" t="s">
        <v>149</v>
      </c>
      <c r="E1278">
        <v>5</v>
      </c>
      <c r="F1278">
        <v>2021</v>
      </c>
      <c r="G1278" s="1">
        <f>DATE(Table2[[#This Row],[Tahun]],Table2[[#This Row],[Bulan]],1)</f>
        <v>44317</v>
      </c>
      <c r="H1278">
        <v>57</v>
      </c>
    </row>
    <row r="1279" spans="1:8" x14ac:dyDescent="0.25">
      <c r="A1279">
        <v>1278</v>
      </c>
      <c r="B1279" t="str">
        <f>Table2[[#This Row],[Propinsi]]&amp;"_"&amp;Table2[[#This Row],[Dati 2]]&amp;"_"&amp;Table2[[#This Row],[Tanggal]]</f>
        <v>SULAWESI SELATAN_SELAYAR (KEPULAUAN SELAYAR)_44348</v>
      </c>
      <c r="C1279" t="s">
        <v>7</v>
      </c>
      <c r="D1279" t="s">
        <v>149</v>
      </c>
      <c r="E1279">
        <v>6</v>
      </c>
      <c r="F1279">
        <v>2021</v>
      </c>
      <c r="G1279" s="1">
        <f>DATE(Table2[[#This Row],[Tahun]],Table2[[#This Row],[Bulan]],1)</f>
        <v>44348</v>
      </c>
      <c r="H1279">
        <v>59</v>
      </c>
    </row>
    <row r="1280" spans="1:8" x14ac:dyDescent="0.25">
      <c r="A1280">
        <v>1279</v>
      </c>
      <c r="B1280" t="str">
        <f>Table2[[#This Row],[Propinsi]]&amp;"_"&amp;Table2[[#This Row],[Dati 2]]&amp;"_"&amp;Table2[[#This Row],[Tanggal]]</f>
        <v>SULAWESI SELATAN_SELAYAR (KEPULAUAN SELAYAR)_44378</v>
      </c>
      <c r="C1280" t="s">
        <v>7</v>
      </c>
      <c r="D1280" t="s">
        <v>149</v>
      </c>
      <c r="E1280">
        <v>7</v>
      </c>
      <c r="F1280">
        <v>2021</v>
      </c>
      <c r="G1280" s="1">
        <f>DATE(Table2[[#This Row],[Tahun]],Table2[[#This Row],[Bulan]],1)</f>
        <v>44378</v>
      </c>
      <c r="H1280">
        <v>58</v>
      </c>
    </row>
    <row r="1281" spans="1:8" x14ac:dyDescent="0.25">
      <c r="A1281">
        <v>1280</v>
      </c>
      <c r="B1281" t="str">
        <f>Table2[[#This Row],[Propinsi]]&amp;"_"&amp;Table2[[#This Row],[Dati 2]]&amp;"_"&amp;Table2[[#This Row],[Tanggal]]</f>
        <v>SULAWESI SELATAN_SELAYAR (KEPULAUAN SELAYAR)_44409</v>
      </c>
      <c r="C1281" t="s">
        <v>7</v>
      </c>
      <c r="D1281" t="s">
        <v>149</v>
      </c>
      <c r="E1281">
        <v>8</v>
      </c>
      <c r="F1281">
        <v>2021</v>
      </c>
      <c r="G1281" s="1">
        <f>DATE(Table2[[#This Row],[Tahun]],Table2[[#This Row],[Bulan]],1)</f>
        <v>44409</v>
      </c>
      <c r="H1281">
        <v>62</v>
      </c>
    </row>
    <row r="1282" spans="1:8" x14ac:dyDescent="0.25">
      <c r="A1282">
        <v>1281</v>
      </c>
      <c r="B1282" t="str">
        <f>Table2[[#This Row],[Propinsi]]&amp;"_"&amp;Table2[[#This Row],[Dati 2]]&amp;"_"&amp;Table2[[#This Row],[Tanggal]]</f>
        <v>SULAWESI SELATAN_SELAYAR (KEPULAUAN SELAYAR)_44440</v>
      </c>
      <c r="C1282" t="s">
        <v>7</v>
      </c>
      <c r="D1282" t="s">
        <v>149</v>
      </c>
      <c r="E1282">
        <v>9</v>
      </c>
      <c r="F1282">
        <v>2021</v>
      </c>
      <c r="G1282" s="1">
        <f>DATE(Table2[[#This Row],[Tahun]],Table2[[#This Row],[Bulan]],1)</f>
        <v>44440</v>
      </c>
      <c r="H1282">
        <v>67</v>
      </c>
    </row>
    <row r="1283" spans="1:8" x14ac:dyDescent="0.25">
      <c r="A1283">
        <v>1282</v>
      </c>
      <c r="B1283" t="str">
        <f>Table2[[#This Row],[Propinsi]]&amp;"_"&amp;Table2[[#This Row],[Dati 2]]&amp;"_"&amp;Table2[[#This Row],[Tanggal]]</f>
        <v>SULAWESI SELATAN_SELAYAR (KEPULAUAN SELAYAR)_44470</v>
      </c>
      <c r="C1283" t="s">
        <v>7</v>
      </c>
      <c r="D1283" t="s">
        <v>149</v>
      </c>
      <c r="E1283">
        <v>10</v>
      </c>
      <c r="F1283">
        <v>2021</v>
      </c>
      <c r="G1283" s="1">
        <f>DATE(Table2[[#This Row],[Tahun]],Table2[[#This Row],[Bulan]],1)</f>
        <v>44470</v>
      </c>
      <c r="H1283">
        <v>69</v>
      </c>
    </row>
    <row r="1284" spans="1:8" x14ac:dyDescent="0.25">
      <c r="A1284">
        <v>1283</v>
      </c>
      <c r="B1284" t="str">
        <f>Table2[[#This Row],[Propinsi]]&amp;"_"&amp;Table2[[#This Row],[Dati 2]]&amp;"_"&amp;Table2[[#This Row],[Tanggal]]</f>
        <v>SULAWESI SELATAN_SELAYAR (KEPULAUAN SELAYAR)_44501</v>
      </c>
      <c r="C1284" t="s">
        <v>7</v>
      </c>
      <c r="D1284" t="s">
        <v>149</v>
      </c>
      <c r="E1284">
        <v>11</v>
      </c>
      <c r="F1284">
        <v>2021</v>
      </c>
      <c r="G1284" s="1">
        <f>DATE(Table2[[#This Row],[Tahun]],Table2[[#This Row],[Bulan]],1)</f>
        <v>44501</v>
      </c>
      <c r="H1284">
        <v>69</v>
      </c>
    </row>
    <row r="1285" spans="1:8" x14ac:dyDescent="0.25">
      <c r="A1285">
        <v>1284</v>
      </c>
      <c r="B1285" t="str">
        <f>Table2[[#This Row],[Propinsi]]&amp;"_"&amp;Table2[[#This Row],[Dati 2]]&amp;"_"&amp;Table2[[#This Row],[Tanggal]]</f>
        <v>SULAWESI SELATAN_SELAYAR (KEPULAUAN SELAYAR)_44531</v>
      </c>
      <c r="C1285" t="s">
        <v>7</v>
      </c>
      <c r="D1285" t="s">
        <v>149</v>
      </c>
      <c r="E1285">
        <v>12</v>
      </c>
      <c r="F1285">
        <v>2021</v>
      </c>
      <c r="G1285" s="1">
        <f>DATE(Table2[[#This Row],[Tahun]],Table2[[#This Row],[Bulan]],1)</f>
        <v>44531</v>
      </c>
      <c r="H1285">
        <v>67</v>
      </c>
    </row>
    <row r="1286" spans="1:8" x14ac:dyDescent="0.25">
      <c r="A1286">
        <v>1285</v>
      </c>
      <c r="B1286" t="str">
        <f>Table2[[#This Row],[Propinsi]]&amp;"_"&amp;Table2[[#This Row],[Dati 2]]&amp;"_"&amp;Table2[[#This Row],[Tanggal]]</f>
        <v>SUMATERA SELATAN_PALEMBANG_44197</v>
      </c>
      <c r="C1286" t="s">
        <v>8</v>
      </c>
      <c r="D1286" t="s">
        <v>150</v>
      </c>
      <c r="E1286">
        <v>1</v>
      </c>
      <c r="F1286">
        <v>2021</v>
      </c>
      <c r="G1286" s="1">
        <f>DATE(Table2[[#This Row],[Tahun]],Table2[[#This Row],[Bulan]],1)</f>
        <v>44197</v>
      </c>
      <c r="H1286">
        <v>658</v>
      </c>
    </row>
    <row r="1287" spans="1:8" x14ac:dyDescent="0.25">
      <c r="A1287">
        <v>1286</v>
      </c>
      <c r="B1287" t="str">
        <f>Table2[[#This Row],[Propinsi]]&amp;"_"&amp;Table2[[#This Row],[Dati 2]]&amp;"_"&amp;Table2[[#This Row],[Tanggal]]</f>
        <v>SUMATERA SELATAN_PALEMBANG_44228</v>
      </c>
      <c r="C1287" t="s">
        <v>8</v>
      </c>
      <c r="D1287" t="s">
        <v>150</v>
      </c>
      <c r="E1287">
        <v>2</v>
      </c>
      <c r="F1287">
        <v>2021</v>
      </c>
      <c r="G1287" s="1">
        <f>DATE(Table2[[#This Row],[Tahun]],Table2[[#This Row],[Bulan]],1)</f>
        <v>44228</v>
      </c>
      <c r="H1287">
        <v>660</v>
      </c>
    </row>
    <row r="1288" spans="1:8" x14ac:dyDescent="0.25">
      <c r="A1288">
        <v>1287</v>
      </c>
      <c r="B1288" t="str">
        <f>Table2[[#This Row],[Propinsi]]&amp;"_"&amp;Table2[[#This Row],[Dati 2]]&amp;"_"&amp;Table2[[#This Row],[Tanggal]]</f>
        <v>SUMATERA SELATAN_PALEMBANG_44256</v>
      </c>
      <c r="C1288" t="s">
        <v>8</v>
      </c>
      <c r="D1288" t="s">
        <v>150</v>
      </c>
      <c r="E1288">
        <v>3</v>
      </c>
      <c r="F1288">
        <v>2021</v>
      </c>
      <c r="G1288" s="1">
        <f>DATE(Table2[[#This Row],[Tahun]],Table2[[#This Row],[Bulan]],1)</f>
        <v>44256</v>
      </c>
      <c r="H1288">
        <v>660</v>
      </c>
    </row>
    <row r="1289" spans="1:8" x14ac:dyDescent="0.25">
      <c r="A1289">
        <v>1288</v>
      </c>
      <c r="B1289" t="str">
        <f>Table2[[#This Row],[Propinsi]]&amp;"_"&amp;Table2[[#This Row],[Dati 2]]&amp;"_"&amp;Table2[[#This Row],[Tanggal]]</f>
        <v>SUMATERA SELATAN_PALEMBANG_44287</v>
      </c>
      <c r="C1289" t="s">
        <v>8</v>
      </c>
      <c r="D1289" t="s">
        <v>150</v>
      </c>
      <c r="E1289">
        <v>4</v>
      </c>
      <c r="F1289">
        <v>2021</v>
      </c>
      <c r="G1289" s="1">
        <f>DATE(Table2[[#This Row],[Tahun]],Table2[[#This Row],[Bulan]],1)</f>
        <v>44287</v>
      </c>
      <c r="H1289">
        <v>667</v>
      </c>
    </row>
    <row r="1290" spans="1:8" x14ac:dyDescent="0.25">
      <c r="A1290">
        <v>1289</v>
      </c>
      <c r="B1290" t="str">
        <f>Table2[[#This Row],[Propinsi]]&amp;"_"&amp;Table2[[#This Row],[Dati 2]]&amp;"_"&amp;Table2[[#This Row],[Tanggal]]</f>
        <v>SUMATERA SELATAN_PALEMBANG_44317</v>
      </c>
      <c r="C1290" t="s">
        <v>8</v>
      </c>
      <c r="D1290" t="s">
        <v>150</v>
      </c>
      <c r="E1290">
        <v>5</v>
      </c>
      <c r="F1290">
        <v>2021</v>
      </c>
      <c r="G1290" s="1">
        <f>DATE(Table2[[#This Row],[Tahun]],Table2[[#This Row],[Bulan]],1)</f>
        <v>44317</v>
      </c>
      <c r="H1290">
        <v>667</v>
      </c>
    </row>
    <row r="1291" spans="1:8" x14ac:dyDescent="0.25">
      <c r="A1291">
        <v>1290</v>
      </c>
      <c r="B1291" t="str">
        <f>Table2[[#This Row],[Propinsi]]&amp;"_"&amp;Table2[[#This Row],[Dati 2]]&amp;"_"&amp;Table2[[#This Row],[Tanggal]]</f>
        <v>SUMATERA SELATAN_PALEMBANG_44348</v>
      </c>
      <c r="C1291" t="s">
        <v>8</v>
      </c>
      <c r="D1291" t="s">
        <v>150</v>
      </c>
      <c r="E1291">
        <v>6</v>
      </c>
      <c r="F1291">
        <v>2021</v>
      </c>
      <c r="G1291" s="1">
        <f>DATE(Table2[[#This Row],[Tahun]],Table2[[#This Row],[Bulan]],1)</f>
        <v>44348</v>
      </c>
      <c r="H1291">
        <v>666</v>
      </c>
    </row>
    <row r="1292" spans="1:8" x14ac:dyDescent="0.25">
      <c r="A1292">
        <v>1291</v>
      </c>
      <c r="B1292" t="str">
        <f>Table2[[#This Row],[Propinsi]]&amp;"_"&amp;Table2[[#This Row],[Dati 2]]&amp;"_"&amp;Table2[[#This Row],[Tanggal]]</f>
        <v>SUMATERA SELATAN_PALEMBANG_44378</v>
      </c>
      <c r="C1292" t="s">
        <v>8</v>
      </c>
      <c r="D1292" t="s">
        <v>150</v>
      </c>
      <c r="E1292">
        <v>7</v>
      </c>
      <c r="F1292">
        <v>2021</v>
      </c>
      <c r="G1292" s="1">
        <f>DATE(Table2[[#This Row],[Tahun]],Table2[[#This Row],[Bulan]],1)</f>
        <v>44378</v>
      </c>
      <c r="H1292">
        <v>668</v>
      </c>
    </row>
    <row r="1293" spans="1:8" x14ac:dyDescent="0.25">
      <c r="A1293">
        <v>1292</v>
      </c>
      <c r="B1293" t="str">
        <f>Table2[[#This Row],[Propinsi]]&amp;"_"&amp;Table2[[#This Row],[Dati 2]]&amp;"_"&amp;Table2[[#This Row],[Tanggal]]</f>
        <v>SUMATERA SELATAN_PALEMBANG_44409</v>
      </c>
      <c r="C1293" t="s">
        <v>8</v>
      </c>
      <c r="D1293" t="s">
        <v>150</v>
      </c>
      <c r="E1293">
        <v>8</v>
      </c>
      <c r="F1293">
        <v>2021</v>
      </c>
      <c r="G1293" s="1">
        <f>DATE(Table2[[#This Row],[Tahun]],Table2[[#This Row],[Bulan]],1)</f>
        <v>44409</v>
      </c>
      <c r="H1293">
        <v>667</v>
      </c>
    </row>
    <row r="1294" spans="1:8" x14ac:dyDescent="0.25">
      <c r="A1294">
        <v>1293</v>
      </c>
      <c r="B1294" t="str">
        <f>Table2[[#This Row],[Propinsi]]&amp;"_"&amp;Table2[[#This Row],[Dati 2]]&amp;"_"&amp;Table2[[#This Row],[Tanggal]]</f>
        <v>SUMATERA SELATAN_PALEMBANG_44440</v>
      </c>
      <c r="C1294" t="s">
        <v>8</v>
      </c>
      <c r="D1294" t="s">
        <v>150</v>
      </c>
      <c r="E1294">
        <v>9</v>
      </c>
      <c r="F1294">
        <v>2021</v>
      </c>
      <c r="G1294" s="1">
        <f>DATE(Table2[[#This Row],[Tahun]],Table2[[#This Row],[Bulan]],1)</f>
        <v>44440</v>
      </c>
      <c r="H1294">
        <v>674</v>
      </c>
    </row>
    <row r="1295" spans="1:8" x14ac:dyDescent="0.25">
      <c r="A1295">
        <v>1294</v>
      </c>
      <c r="B1295" t="str">
        <f>Table2[[#This Row],[Propinsi]]&amp;"_"&amp;Table2[[#This Row],[Dati 2]]&amp;"_"&amp;Table2[[#This Row],[Tanggal]]</f>
        <v>SUMATERA SELATAN_PALEMBANG_44470</v>
      </c>
      <c r="C1295" t="s">
        <v>8</v>
      </c>
      <c r="D1295" t="s">
        <v>150</v>
      </c>
      <c r="E1295">
        <v>10</v>
      </c>
      <c r="F1295">
        <v>2021</v>
      </c>
      <c r="G1295" s="1">
        <f>DATE(Table2[[#This Row],[Tahun]],Table2[[#This Row],[Bulan]],1)</f>
        <v>44470</v>
      </c>
      <c r="H1295">
        <v>680</v>
      </c>
    </row>
    <row r="1296" spans="1:8" x14ac:dyDescent="0.25">
      <c r="A1296">
        <v>1295</v>
      </c>
      <c r="B1296" t="str">
        <f>Table2[[#This Row],[Propinsi]]&amp;"_"&amp;Table2[[#This Row],[Dati 2]]&amp;"_"&amp;Table2[[#This Row],[Tanggal]]</f>
        <v>SUMATERA SELATAN_PALEMBANG_44501</v>
      </c>
      <c r="C1296" t="s">
        <v>8</v>
      </c>
      <c r="D1296" t="s">
        <v>150</v>
      </c>
      <c r="E1296">
        <v>11</v>
      </c>
      <c r="F1296">
        <v>2021</v>
      </c>
      <c r="G1296" s="1">
        <f>DATE(Table2[[#This Row],[Tahun]],Table2[[#This Row],[Bulan]],1)</f>
        <v>44501</v>
      </c>
      <c r="H1296">
        <v>682</v>
      </c>
    </row>
    <row r="1297" spans="1:8" x14ac:dyDescent="0.25">
      <c r="A1297">
        <v>1296</v>
      </c>
      <c r="B1297" t="str">
        <f>Table2[[#This Row],[Propinsi]]&amp;"_"&amp;Table2[[#This Row],[Dati 2]]&amp;"_"&amp;Table2[[#This Row],[Tanggal]]</f>
        <v>SUMATERA SELATAN_PALEMBANG_44531</v>
      </c>
      <c r="C1297" t="s">
        <v>8</v>
      </c>
      <c r="D1297" t="s">
        <v>150</v>
      </c>
      <c r="E1297">
        <v>12</v>
      </c>
      <c r="F1297">
        <v>2021</v>
      </c>
      <c r="G1297" s="1">
        <f>DATE(Table2[[#This Row],[Tahun]],Table2[[#This Row],[Bulan]],1)</f>
        <v>44531</v>
      </c>
      <c r="H1297">
        <v>683</v>
      </c>
    </row>
    <row r="1298" spans="1:8" x14ac:dyDescent="0.25">
      <c r="A1298">
        <v>1297</v>
      </c>
      <c r="B1298" t="str">
        <f>Table2[[#This Row],[Propinsi]]&amp;"_"&amp;Table2[[#This Row],[Dati 2]]&amp;"_"&amp;Table2[[#This Row],[Tanggal]]</f>
        <v>SUMATERA SELATAN_OGAN KOMERING ILIR_44197</v>
      </c>
      <c r="C1298" t="s">
        <v>8</v>
      </c>
      <c r="D1298" t="s">
        <v>151</v>
      </c>
      <c r="E1298">
        <v>1</v>
      </c>
      <c r="F1298">
        <v>2021</v>
      </c>
      <c r="G1298" s="1">
        <f>DATE(Table2[[#This Row],[Tahun]],Table2[[#This Row],[Bulan]],1)</f>
        <v>44197</v>
      </c>
      <c r="H1298">
        <v>509</v>
      </c>
    </row>
    <row r="1299" spans="1:8" x14ac:dyDescent="0.25">
      <c r="A1299">
        <v>1298</v>
      </c>
      <c r="B1299" t="str">
        <f>Table2[[#This Row],[Propinsi]]&amp;"_"&amp;Table2[[#This Row],[Dati 2]]&amp;"_"&amp;Table2[[#This Row],[Tanggal]]</f>
        <v>SUMATERA SELATAN_OGAN KOMERING ILIR_44228</v>
      </c>
      <c r="C1299" t="s">
        <v>8</v>
      </c>
      <c r="D1299" t="s">
        <v>151</v>
      </c>
      <c r="E1299">
        <v>2</v>
      </c>
      <c r="F1299">
        <v>2021</v>
      </c>
      <c r="G1299" s="1">
        <f>DATE(Table2[[#This Row],[Tahun]],Table2[[#This Row],[Bulan]],1)</f>
        <v>44228</v>
      </c>
      <c r="H1299">
        <v>516</v>
      </c>
    </row>
    <row r="1300" spans="1:8" x14ac:dyDescent="0.25">
      <c r="A1300">
        <v>1299</v>
      </c>
      <c r="B1300" t="str">
        <f>Table2[[#This Row],[Propinsi]]&amp;"_"&amp;Table2[[#This Row],[Dati 2]]&amp;"_"&amp;Table2[[#This Row],[Tanggal]]</f>
        <v>SUMATERA SELATAN_OGAN KOMERING ILIR_44256</v>
      </c>
      <c r="C1300" t="s">
        <v>8</v>
      </c>
      <c r="D1300" t="s">
        <v>151</v>
      </c>
      <c r="E1300">
        <v>3</v>
      </c>
      <c r="F1300">
        <v>2021</v>
      </c>
      <c r="G1300" s="1">
        <f>DATE(Table2[[#This Row],[Tahun]],Table2[[#This Row],[Bulan]],1)</f>
        <v>44256</v>
      </c>
      <c r="H1300">
        <v>521</v>
      </c>
    </row>
    <row r="1301" spans="1:8" x14ac:dyDescent="0.25">
      <c r="A1301">
        <v>1300</v>
      </c>
      <c r="B1301" t="str">
        <f>Table2[[#This Row],[Propinsi]]&amp;"_"&amp;Table2[[#This Row],[Dati 2]]&amp;"_"&amp;Table2[[#This Row],[Tanggal]]</f>
        <v>SUMATERA SELATAN_OGAN KOMERING ILIR_44287</v>
      </c>
      <c r="C1301" t="s">
        <v>8</v>
      </c>
      <c r="D1301" t="s">
        <v>151</v>
      </c>
      <c r="E1301">
        <v>4</v>
      </c>
      <c r="F1301">
        <v>2021</v>
      </c>
      <c r="G1301" s="1">
        <f>DATE(Table2[[#This Row],[Tahun]],Table2[[#This Row],[Bulan]],1)</f>
        <v>44287</v>
      </c>
      <c r="H1301">
        <v>523</v>
      </c>
    </row>
    <row r="1302" spans="1:8" x14ac:dyDescent="0.25">
      <c r="A1302">
        <v>1301</v>
      </c>
      <c r="B1302" t="str">
        <f>Table2[[#This Row],[Propinsi]]&amp;"_"&amp;Table2[[#This Row],[Dati 2]]&amp;"_"&amp;Table2[[#This Row],[Tanggal]]</f>
        <v>SUMATERA SELATAN_OGAN KOMERING ILIR_44317</v>
      </c>
      <c r="C1302" t="s">
        <v>8</v>
      </c>
      <c r="D1302" t="s">
        <v>151</v>
      </c>
      <c r="E1302">
        <v>5</v>
      </c>
      <c r="F1302">
        <v>2021</v>
      </c>
      <c r="G1302" s="1">
        <f>DATE(Table2[[#This Row],[Tahun]],Table2[[#This Row],[Bulan]],1)</f>
        <v>44317</v>
      </c>
      <c r="H1302">
        <v>522</v>
      </c>
    </row>
    <row r="1303" spans="1:8" x14ac:dyDescent="0.25">
      <c r="A1303">
        <v>1302</v>
      </c>
      <c r="B1303" t="str">
        <f>Table2[[#This Row],[Propinsi]]&amp;"_"&amp;Table2[[#This Row],[Dati 2]]&amp;"_"&amp;Table2[[#This Row],[Tanggal]]</f>
        <v>SUMATERA SELATAN_OGAN KOMERING ILIR_44348</v>
      </c>
      <c r="C1303" t="s">
        <v>8</v>
      </c>
      <c r="D1303" t="s">
        <v>151</v>
      </c>
      <c r="E1303">
        <v>6</v>
      </c>
      <c r="F1303">
        <v>2021</v>
      </c>
      <c r="G1303" s="1">
        <f>DATE(Table2[[#This Row],[Tahun]],Table2[[#This Row],[Bulan]],1)</f>
        <v>44348</v>
      </c>
      <c r="H1303">
        <v>528</v>
      </c>
    </row>
    <row r="1304" spans="1:8" x14ac:dyDescent="0.25">
      <c r="A1304">
        <v>1303</v>
      </c>
      <c r="B1304" t="str">
        <f>Table2[[#This Row],[Propinsi]]&amp;"_"&amp;Table2[[#This Row],[Dati 2]]&amp;"_"&amp;Table2[[#This Row],[Tanggal]]</f>
        <v>SUMATERA SELATAN_OGAN KOMERING ILIR_44378</v>
      </c>
      <c r="C1304" t="s">
        <v>8</v>
      </c>
      <c r="D1304" t="s">
        <v>151</v>
      </c>
      <c r="E1304">
        <v>7</v>
      </c>
      <c r="F1304">
        <v>2021</v>
      </c>
      <c r="G1304" s="1">
        <f>DATE(Table2[[#This Row],[Tahun]],Table2[[#This Row],[Bulan]],1)</f>
        <v>44378</v>
      </c>
      <c r="H1304">
        <v>530</v>
      </c>
    </row>
    <row r="1305" spans="1:8" x14ac:dyDescent="0.25">
      <c r="A1305">
        <v>1304</v>
      </c>
      <c r="B1305" t="str">
        <f>Table2[[#This Row],[Propinsi]]&amp;"_"&amp;Table2[[#This Row],[Dati 2]]&amp;"_"&amp;Table2[[#This Row],[Tanggal]]</f>
        <v>SUMATERA SELATAN_OGAN KOMERING ILIR_44409</v>
      </c>
      <c r="C1305" t="s">
        <v>8</v>
      </c>
      <c r="D1305" t="s">
        <v>151</v>
      </c>
      <c r="E1305">
        <v>8</v>
      </c>
      <c r="F1305">
        <v>2021</v>
      </c>
      <c r="G1305" s="1">
        <f>DATE(Table2[[#This Row],[Tahun]],Table2[[#This Row],[Bulan]],1)</f>
        <v>44409</v>
      </c>
      <c r="H1305">
        <v>532</v>
      </c>
    </row>
    <row r="1306" spans="1:8" x14ac:dyDescent="0.25">
      <c r="A1306">
        <v>1305</v>
      </c>
      <c r="B1306" t="str">
        <f>Table2[[#This Row],[Propinsi]]&amp;"_"&amp;Table2[[#This Row],[Dati 2]]&amp;"_"&amp;Table2[[#This Row],[Tanggal]]</f>
        <v>SUMATERA SELATAN_OGAN KOMERING ILIR_44440</v>
      </c>
      <c r="C1306" t="s">
        <v>8</v>
      </c>
      <c r="D1306" t="s">
        <v>151</v>
      </c>
      <c r="E1306">
        <v>9</v>
      </c>
      <c r="F1306">
        <v>2021</v>
      </c>
      <c r="G1306" s="1">
        <f>DATE(Table2[[#This Row],[Tahun]],Table2[[#This Row],[Bulan]],1)</f>
        <v>44440</v>
      </c>
      <c r="H1306">
        <v>531</v>
      </c>
    </row>
    <row r="1307" spans="1:8" x14ac:dyDescent="0.25">
      <c r="A1307">
        <v>1306</v>
      </c>
      <c r="B1307" t="str">
        <f>Table2[[#This Row],[Propinsi]]&amp;"_"&amp;Table2[[#This Row],[Dati 2]]&amp;"_"&amp;Table2[[#This Row],[Tanggal]]</f>
        <v>SUMATERA SELATAN_OGAN KOMERING ILIR_44470</v>
      </c>
      <c r="C1307" t="s">
        <v>8</v>
      </c>
      <c r="D1307" t="s">
        <v>151</v>
      </c>
      <c r="E1307">
        <v>10</v>
      </c>
      <c r="F1307">
        <v>2021</v>
      </c>
      <c r="G1307" s="1">
        <f>DATE(Table2[[#This Row],[Tahun]],Table2[[#This Row],[Bulan]],1)</f>
        <v>44470</v>
      </c>
      <c r="H1307">
        <v>529</v>
      </c>
    </row>
    <row r="1308" spans="1:8" x14ac:dyDescent="0.25">
      <c r="A1308">
        <v>1307</v>
      </c>
      <c r="B1308" t="str">
        <f>Table2[[#This Row],[Propinsi]]&amp;"_"&amp;Table2[[#This Row],[Dati 2]]&amp;"_"&amp;Table2[[#This Row],[Tanggal]]</f>
        <v>SUMATERA SELATAN_OGAN KOMERING ILIR_44501</v>
      </c>
      <c r="C1308" t="s">
        <v>8</v>
      </c>
      <c r="D1308" t="s">
        <v>151</v>
      </c>
      <c r="E1308">
        <v>11</v>
      </c>
      <c r="F1308">
        <v>2021</v>
      </c>
      <c r="G1308" s="1">
        <f>DATE(Table2[[#This Row],[Tahun]],Table2[[#This Row],[Bulan]],1)</f>
        <v>44501</v>
      </c>
      <c r="H1308">
        <v>535</v>
      </c>
    </row>
    <row r="1309" spans="1:8" x14ac:dyDescent="0.25">
      <c r="A1309">
        <v>1308</v>
      </c>
      <c r="B1309" t="str">
        <f>Table2[[#This Row],[Propinsi]]&amp;"_"&amp;Table2[[#This Row],[Dati 2]]&amp;"_"&amp;Table2[[#This Row],[Tanggal]]</f>
        <v>SUMATERA SELATAN_OGAN KOMERING ILIR_44531</v>
      </c>
      <c r="C1309" t="s">
        <v>8</v>
      </c>
      <c r="D1309" t="s">
        <v>151</v>
      </c>
      <c r="E1309">
        <v>12</v>
      </c>
      <c r="F1309">
        <v>2021</v>
      </c>
      <c r="G1309" s="1">
        <f>DATE(Table2[[#This Row],[Tahun]],Table2[[#This Row],[Bulan]],1)</f>
        <v>44531</v>
      </c>
      <c r="H1309">
        <v>540</v>
      </c>
    </row>
    <row r="1310" spans="1:8" x14ac:dyDescent="0.25">
      <c r="A1310">
        <v>1309</v>
      </c>
      <c r="B1310" t="str">
        <f>Table2[[#This Row],[Propinsi]]&amp;"_"&amp;Table2[[#This Row],[Dati 2]]&amp;"_"&amp;Table2[[#This Row],[Tanggal]]</f>
        <v>SUMATERA SELATAN_OGAN ILIR_44197</v>
      </c>
      <c r="C1310" t="s">
        <v>8</v>
      </c>
      <c r="D1310" t="s">
        <v>152</v>
      </c>
      <c r="E1310">
        <v>1</v>
      </c>
      <c r="F1310">
        <v>2021</v>
      </c>
      <c r="G1310" s="1">
        <f>DATE(Table2[[#This Row],[Tahun]],Table2[[#This Row],[Bulan]],1)</f>
        <v>44197</v>
      </c>
      <c r="H1310">
        <v>163</v>
      </c>
    </row>
    <row r="1311" spans="1:8" x14ac:dyDescent="0.25">
      <c r="A1311">
        <v>1310</v>
      </c>
      <c r="B1311" t="str">
        <f>Table2[[#This Row],[Propinsi]]&amp;"_"&amp;Table2[[#This Row],[Dati 2]]&amp;"_"&amp;Table2[[#This Row],[Tanggal]]</f>
        <v>SUMATERA SELATAN_OGAN ILIR_44228</v>
      </c>
      <c r="C1311" t="s">
        <v>8</v>
      </c>
      <c r="D1311" t="s">
        <v>152</v>
      </c>
      <c r="E1311">
        <v>2</v>
      </c>
      <c r="F1311">
        <v>2021</v>
      </c>
      <c r="G1311" s="1">
        <f>DATE(Table2[[#This Row],[Tahun]],Table2[[#This Row],[Bulan]],1)</f>
        <v>44228</v>
      </c>
      <c r="H1311">
        <v>169</v>
      </c>
    </row>
    <row r="1312" spans="1:8" x14ac:dyDescent="0.25">
      <c r="A1312">
        <v>1311</v>
      </c>
      <c r="B1312" t="str">
        <f>Table2[[#This Row],[Propinsi]]&amp;"_"&amp;Table2[[#This Row],[Dati 2]]&amp;"_"&amp;Table2[[#This Row],[Tanggal]]</f>
        <v>SUMATERA SELATAN_OGAN ILIR_44256</v>
      </c>
      <c r="C1312" t="s">
        <v>8</v>
      </c>
      <c r="D1312" t="s">
        <v>152</v>
      </c>
      <c r="E1312">
        <v>3</v>
      </c>
      <c r="F1312">
        <v>2021</v>
      </c>
      <c r="G1312" s="1">
        <f>DATE(Table2[[#This Row],[Tahun]],Table2[[#This Row],[Bulan]],1)</f>
        <v>44256</v>
      </c>
      <c r="H1312">
        <v>172</v>
      </c>
    </row>
    <row r="1313" spans="1:8" x14ac:dyDescent="0.25">
      <c r="A1313">
        <v>1312</v>
      </c>
      <c r="B1313" t="str">
        <f>Table2[[#This Row],[Propinsi]]&amp;"_"&amp;Table2[[#This Row],[Dati 2]]&amp;"_"&amp;Table2[[#This Row],[Tanggal]]</f>
        <v>SUMATERA SELATAN_OGAN ILIR_44287</v>
      </c>
      <c r="C1313" t="s">
        <v>8</v>
      </c>
      <c r="D1313" t="s">
        <v>152</v>
      </c>
      <c r="E1313">
        <v>4</v>
      </c>
      <c r="F1313">
        <v>2021</v>
      </c>
      <c r="G1313" s="1">
        <f>DATE(Table2[[#This Row],[Tahun]],Table2[[#This Row],[Bulan]],1)</f>
        <v>44287</v>
      </c>
      <c r="H1313">
        <v>175</v>
      </c>
    </row>
    <row r="1314" spans="1:8" x14ac:dyDescent="0.25">
      <c r="A1314">
        <v>1313</v>
      </c>
      <c r="B1314" t="str">
        <f>Table2[[#This Row],[Propinsi]]&amp;"_"&amp;Table2[[#This Row],[Dati 2]]&amp;"_"&amp;Table2[[#This Row],[Tanggal]]</f>
        <v>SUMATERA SELATAN_OGAN ILIR_44317</v>
      </c>
      <c r="C1314" t="s">
        <v>8</v>
      </c>
      <c r="D1314" t="s">
        <v>152</v>
      </c>
      <c r="E1314">
        <v>5</v>
      </c>
      <c r="F1314">
        <v>2021</v>
      </c>
      <c r="G1314" s="1">
        <f>DATE(Table2[[#This Row],[Tahun]],Table2[[#This Row],[Bulan]],1)</f>
        <v>44317</v>
      </c>
      <c r="H1314">
        <v>181</v>
      </c>
    </row>
    <row r="1315" spans="1:8" x14ac:dyDescent="0.25">
      <c r="A1315">
        <v>1314</v>
      </c>
      <c r="B1315" t="str">
        <f>Table2[[#This Row],[Propinsi]]&amp;"_"&amp;Table2[[#This Row],[Dati 2]]&amp;"_"&amp;Table2[[#This Row],[Tanggal]]</f>
        <v>SUMATERA SELATAN_OGAN ILIR_44348</v>
      </c>
      <c r="C1315" t="s">
        <v>8</v>
      </c>
      <c r="D1315" t="s">
        <v>152</v>
      </c>
      <c r="E1315">
        <v>6</v>
      </c>
      <c r="F1315">
        <v>2021</v>
      </c>
      <c r="G1315" s="1">
        <f>DATE(Table2[[#This Row],[Tahun]],Table2[[#This Row],[Bulan]],1)</f>
        <v>44348</v>
      </c>
      <c r="H1315">
        <v>180</v>
      </c>
    </row>
    <row r="1316" spans="1:8" x14ac:dyDescent="0.25">
      <c r="A1316">
        <v>1315</v>
      </c>
      <c r="B1316" t="str">
        <f>Table2[[#This Row],[Propinsi]]&amp;"_"&amp;Table2[[#This Row],[Dati 2]]&amp;"_"&amp;Table2[[#This Row],[Tanggal]]</f>
        <v>SUMATERA SELATAN_OGAN ILIR_44378</v>
      </c>
      <c r="C1316" t="s">
        <v>8</v>
      </c>
      <c r="D1316" t="s">
        <v>152</v>
      </c>
      <c r="E1316">
        <v>7</v>
      </c>
      <c r="F1316">
        <v>2021</v>
      </c>
      <c r="G1316" s="1">
        <f>DATE(Table2[[#This Row],[Tahun]],Table2[[#This Row],[Bulan]],1)</f>
        <v>44378</v>
      </c>
      <c r="H1316">
        <v>180</v>
      </c>
    </row>
    <row r="1317" spans="1:8" x14ac:dyDescent="0.25">
      <c r="A1317">
        <v>1316</v>
      </c>
      <c r="B1317" t="str">
        <f>Table2[[#This Row],[Propinsi]]&amp;"_"&amp;Table2[[#This Row],[Dati 2]]&amp;"_"&amp;Table2[[#This Row],[Tanggal]]</f>
        <v>SUMATERA SELATAN_OGAN ILIR_44409</v>
      </c>
      <c r="C1317" t="s">
        <v>8</v>
      </c>
      <c r="D1317" t="s">
        <v>152</v>
      </c>
      <c r="E1317">
        <v>8</v>
      </c>
      <c r="F1317">
        <v>2021</v>
      </c>
      <c r="G1317" s="1">
        <f>DATE(Table2[[#This Row],[Tahun]],Table2[[#This Row],[Bulan]],1)</f>
        <v>44409</v>
      </c>
      <c r="H1317">
        <v>187</v>
      </c>
    </row>
    <row r="1318" spans="1:8" x14ac:dyDescent="0.25">
      <c r="A1318">
        <v>1317</v>
      </c>
      <c r="B1318" t="str">
        <f>Table2[[#This Row],[Propinsi]]&amp;"_"&amp;Table2[[#This Row],[Dati 2]]&amp;"_"&amp;Table2[[#This Row],[Tanggal]]</f>
        <v>SUMATERA SELATAN_OGAN ILIR_44440</v>
      </c>
      <c r="C1318" t="s">
        <v>8</v>
      </c>
      <c r="D1318" t="s">
        <v>152</v>
      </c>
      <c r="E1318">
        <v>9</v>
      </c>
      <c r="F1318">
        <v>2021</v>
      </c>
      <c r="G1318" s="1">
        <f>DATE(Table2[[#This Row],[Tahun]],Table2[[#This Row],[Bulan]],1)</f>
        <v>44440</v>
      </c>
      <c r="H1318">
        <v>187</v>
      </c>
    </row>
    <row r="1319" spans="1:8" x14ac:dyDescent="0.25">
      <c r="A1319">
        <v>1318</v>
      </c>
      <c r="B1319" t="str">
        <f>Table2[[#This Row],[Propinsi]]&amp;"_"&amp;Table2[[#This Row],[Dati 2]]&amp;"_"&amp;Table2[[#This Row],[Tanggal]]</f>
        <v>SUMATERA SELATAN_OGAN ILIR_44470</v>
      </c>
      <c r="C1319" t="s">
        <v>8</v>
      </c>
      <c r="D1319" t="s">
        <v>152</v>
      </c>
      <c r="E1319">
        <v>10</v>
      </c>
      <c r="F1319">
        <v>2021</v>
      </c>
      <c r="G1319" s="1">
        <f>DATE(Table2[[#This Row],[Tahun]],Table2[[#This Row],[Bulan]],1)</f>
        <v>44470</v>
      </c>
      <c r="H1319">
        <v>192</v>
      </c>
    </row>
    <row r="1320" spans="1:8" x14ac:dyDescent="0.25">
      <c r="A1320">
        <v>1319</v>
      </c>
      <c r="B1320" t="str">
        <f>Table2[[#This Row],[Propinsi]]&amp;"_"&amp;Table2[[#This Row],[Dati 2]]&amp;"_"&amp;Table2[[#This Row],[Tanggal]]</f>
        <v>SUMATERA SELATAN_OGAN ILIR_44501</v>
      </c>
      <c r="C1320" t="s">
        <v>8</v>
      </c>
      <c r="D1320" t="s">
        <v>152</v>
      </c>
      <c r="E1320">
        <v>11</v>
      </c>
      <c r="F1320">
        <v>2021</v>
      </c>
      <c r="G1320" s="1">
        <f>DATE(Table2[[#This Row],[Tahun]],Table2[[#This Row],[Bulan]],1)</f>
        <v>44501</v>
      </c>
      <c r="H1320">
        <v>195</v>
      </c>
    </row>
    <row r="1321" spans="1:8" x14ac:dyDescent="0.25">
      <c r="A1321">
        <v>1320</v>
      </c>
      <c r="B1321" t="str">
        <f>Table2[[#This Row],[Propinsi]]&amp;"_"&amp;Table2[[#This Row],[Dati 2]]&amp;"_"&amp;Table2[[#This Row],[Tanggal]]</f>
        <v>SUMATERA SELATAN_OGAN ILIR_44531</v>
      </c>
      <c r="C1321" t="s">
        <v>8</v>
      </c>
      <c r="D1321" t="s">
        <v>152</v>
      </c>
      <c r="E1321">
        <v>12</v>
      </c>
      <c r="F1321">
        <v>2021</v>
      </c>
      <c r="G1321" s="1">
        <f>DATE(Table2[[#This Row],[Tahun]],Table2[[#This Row],[Bulan]],1)</f>
        <v>44531</v>
      </c>
      <c r="H1321">
        <v>197</v>
      </c>
    </row>
    <row r="1322" spans="1:8" x14ac:dyDescent="0.25">
      <c r="A1322">
        <v>1321</v>
      </c>
      <c r="B1322" t="str">
        <f>Table2[[#This Row],[Propinsi]]&amp;"_"&amp;Table2[[#This Row],[Dati 2]]&amp;"_"&amp;Table2[[#This Row],[Tanggal]]</f>
        <v>SUMATERA SELATAN_MUSI BANYUASIN_44197</v>
      </c>
      <c r="C1322" t="s">
        <v>8</v>
      </c>
      <c r="D1322" t="s">
        <v>153</v>
      </c>
      <c r="E1322">
        <v>1</v>
      </c>
      <c r="F1322">
        <v>2021</v>
      </c>
      <c r="G1322" s="1">
        <f>DATE(Table2[[#This Row],[Tahun]],Table2[[#This Row],[Bulan]],1)</f>
        <v>44197</v>
      </c>
      <c r="H1322">
        <v>424</v>
      </c>
    </row>
    <row r="1323" spans="1:8" x14ac:dyDescent="0.25">
      <c r="A1323">
        <v>1322</v>
      </c>
      <c r="B1323" t="str">
        <f>Table2[[#This Row],[Propinsi]]&amp;"_"&amp;Table2[[#This Row],[Dati 2]]&amp;"_"&amp;Table2[[#This Row],[Tanggal]]</f>
        <v>SUMATERA SELATAN_MUSI BANYUASIN_44228</v>
      </c>
      <c r="C1323" t="s">
        <v>8</v>
      </c>
      <c r="D1323" t="s">
        <v>153</v>
      </c>
      <c r="E1323">
        <v>2</v>
      </c>
      <c r="F1323">
        <v>2021</v>
      </c>
      <c r="G1323" s="1">
        <f>DATE(Table2[[#This Row],[Tahun]],Table2[[#This Row],[Bulan]],1)</f>
        <v>44228</v>
      </c>
      <c r="H1323">
        <v>423</v>
      </c>
    </row>
    <row r="1324" spans="1:8" x14ac:dyDescent="0.25">
      <c r="A1324">
        <v>1323</v>
      </c>
      <c r="B1324" t="str">
        <f>Table2[[#This Row],[Propinsi]]&amp;"_"&amp;Table2[[#This Row],[Dati 2]]&amp;"_"&amp;Table2[[#This Row],[Tanggal]]</f>
        <v>SUMATERA SELATAN_MUSI BANYUASIN_44256</v>
      </c>
      <c r="C1324" t="s">
        <v>8</v>
      </c>
      <c r="D1324" t="s">
        <v>153</v>
      </c>
      <c r="E1324">
        <v>3</v>
      </c>
      <c r="F1324">
        <v>2021</v>
      </c>
      <c r="G1324" s="1">
        <f>DATE(Table2[[#This Row],[Tahun]],Table2[[#This Row],[Bulan]],1)</f>
        <v>44256</v>
      </c>
      <c r="H1324">
        <v>425</v>
      </c>
    </row>
    <row r="1325" spans="1:8" x14ac:dyDescent="0.25">
      <c r="A1325">
        <v>1324</v>
      </c>
      <c r="B1325" t="str">
        <f>Table2[[#This Row],[Propinsi]]&amp;"_"&amp;Table2[[#This Row],[Dati 2]]&amp;"_"&amp;Table2[[#This Row],[Tanggal]]</f>
        <v>SUMATERA SELATAN_MUSI BANYUASIN_44287</v>
      </c>
      <c r="C1325" t="s">
        <v>8</v>
      </c>
      <c r="D1325" t="s">
        <v>153</v>
      </c>
      <c r="E1325">
        <v>4</v>
      </c>
      <c r="F1325">
        <v>2021</v>
      </c>
      <c r="G1325" s="1">
        <f>DATE(Table2[[#This Row],[Tahun]],Table2[[#This Row],[Bulan]],1)</f>
        <v>44287</v>
      </c>
      <c r="H1325">
        <v>429</v>
      </c>
    </row>
    <row r="1326" spans="1:8" x14ac:dyDescent="0.25">
      <c r="A1326">
        <v>1325</v>
      </c>
      <c r="B1326" t="str">
        <f>Table2[[#This Row],[Propinsi]]&amp;"_"&amp;Table2[[#This Row],[Dati 2]]&amp;"_"&amp;Table2[[#This Row],[Tanggal]]</f>
        <v>SUMATERA SELATAN_MUSI BANYUASIN_44317</v>
      </c>
      <c r="C1326" t="s">
        <v>8</v>
      </c>
      <c r="D1326" t="s">
        <v>153</v>
      </c>
      <c r="E1326">
        <v>5</v>
      </c>
      <c r="F1326">
        <v>2021</v>
      </c>
      <c r="G1326" s="1">
        <f>DATE(Table2[[#This Row],[Tahun]],Table2[[#This Row],[Bulan]],1)</f>
        <v>44317</v>
      </c>
      <c r="H1326">
        <v>435</v>
      </c>
    </row>
    <row r="1327" spans="1:8" x14ac:dyDescent="0.25">
      <c r="A1327">
        <v>1326</v>
      </c>
      <c r="B1327" t="str">
        <f>Table2[[#This Row],[Propinsi]]&amp;"_"&amp;Table2[[#This Row],[Dati 2]]&amp;"_"&amp;Table2[[#This Row],[Tanggal]]</f>
        <v>SUMATERA SELATAN_MUSI BANYUASIN_44348</v>
      </c>
      <c r="C1327" t="s">
        <v>8</v>
      </c>
      <c r="D1327" t="s">
        <v>153</v>
      </c>
      <c r="E1327">
        <v>6</v>
      </c>
      <c r="F1327">
        <v>2021</v>
      </c>
      <c r="G1327" s="1">
        <f>DATE(Table2[[#This Row],[Tahun]],Table2[[#This Row],[Bulan]],1)</f>
        <v>44348</v>
      </c>
      <c r="H1327">
        <v>438</v>
      </c>
    </row>
    <row r="1328" spans="1:8" x14ac:dyDescent="0.25">
      <c r="A1328">
        <v>1327</v>
      </c>
      <c r="B1328" t="str">
        <f>Table2[[#This Row],[Propinsi]]&amp;"_"&amp;Table2[[#This Row],[Dati 2]]&amp;"_"&amp;Table2[[#This Row],[Tanggal]]</f>
        <v>SUMATERA SELATAN_MUSI BANYUASIN_44378</v>
      </c>
      <c r="C1328" t="s">
        <v>8</v>
      </c>
      <c r="D1328" t="s">
        <v>153</v>
      </c>
      <c r="E1328">
        <v>7</v>
      </c>
      <c r="F1328">
        <v>2021</v>
      </c>
      <c r="G1328" s="1">
        <f>DATE(Table2[[#This Row],[Tahun]],Table2[[#This Row],[Bulan]],1)</f>
        <v>44378</v>
      </c>
      <c r="H1328">
        <v>437</v>
      </c>
    </row>
    <row r="1329" spans="1:8" x14ac:dyDescent="0.25">
      <c r="A1329">
        <v>1328</v>
      </c>
      <c r="B1329" t="str">
        <f>Table2[[#This Row],[Propinsi]]&amp;"_"&amp;Table2[[#This Row],[Dati 2]]&amp;"_"&amp;Table2[[#This Row],[Tanggal]]</f>
        <v>SUMATERA SELATAN_MUSI BANYUASIN_44409</v>
      </c>
      <c r="C1329" t="s">
        <v>8</v>
      </c>
      <c r="D1329" t="s">
        <v>153</v>
      </c>
      <c r="E1329">
        <v>8</v>
      </c>
      <c r="F1329">
        <v>2021</v>
      </c>
      <c r="G1329" s="1">
        <f>DATE(Table2[[#This Row],[Tahun]],Table2[[#This Row],[Bulan]],1)</f>
        <v>44409</v>
      </c>
      <c r="H1329">
        <v>439</v>
      </c>
    </row>
    <row r="1330" spans="1:8" x14ac:dyDescent="0.25">
      <c r="A1330">
        <v>1329</v>
      </c>
      <c r="B1330" t="str">
        <f>Table2[[#This Row],[Propinsi]]&amp;"_"&amp;Table2[[#This Row],[Dati 2]]&amp;"_"&amp;Table2[[#This Row],[Tanggal]]</f>
        <v>SUMATERA SELATAN_MUSI BANYUASIN_44440</v>
      </c>
      <c r="C1330" t="s">
        <v>8</v>
      </c>
      <c r="D1330" t="s">
        <v>153</v>
      </c>
      <c r="E1330">
        <v>9</v>
      </c>
      <c r="F1330">
        <v>2021</v>
      </c>
      <c r="G1330" s="1">
        <f>DATE(Table2[[#This Row],[Tahun]],Table2[[#This Row],[Bulan]],1)</f>
        <v>44440</v>
      </c>
      <c r="H1330">
        <v>445</v>
      </c>
    </row>
    <row r="1331" spans="1:8" x14ac:dyDescent="0.25">
      <c r="A1331">
        <v>1330</v>
      </c>
      <c r="B1331" t="str">
        <f>Table2[[#This Row],[Propinsi]]&amp;"_"&amp;Table2[[#This Row],[Dati 2]]&amp;"_"&amp;Table2[[#This Row],[Tanggal]]</f>
        <v>SUMATERA SELATAN_MUSI BANYUASIN_44470</v>
      </c>
      <c r="C1331" t="s">
        <v>8</v>
      </c>
      <c r="D1331" t="s">
        <v>153</v>
      </c>
      <c r="E1331">
        <v>10</v>
      </c>
      <c r="F1331">
        <v>2021</v>
      </c>
      <c r="G1331" s="1">
        <f>DATE(Table2[[#This Row],[Tahun]],Table2[[#This Row],[Bulan]],1)</f>
        <v>44470</v>
      </c>
      <c r="H1331">
        <v>443</v>
      </c>
    </row>
    <row r="1332" spans="1:8" x14ac:dyDescent="0.25">
      <c r="A1332">
        <v>1331</v>
      </c>
      <c r="B1332" t="str">
        <f>Table2[[#This Row],[Propinsi]]&amp;"_"&amp;Table2[[#This Row],[Dati 2]]&amp;"_"&amp;Table2[[#This Row],[Tanggal]]</f>
        <v>SUMATERA SELATAN_MUSI BANYUASIN_44501</v>
      </c>
      <c r="C1332" t="s">
        <v>8</v>
      </c>
      <c r="D1332" t="s">
        <v>153</v>
      </c>
      <c r="E1332">
        <v>11</v>
      </c>
      <c r="F1332">
        <v>2021</v>
      </c>
      <c r="G1332" s="1">
        <f>DATE(Table2[[#This Row],[Tahun]],Table2[[#This Row],[Bulan]],1)</f>
        <v>44501</v>
      </c>
      <c r="H1332">
        <v>444</v>
      </c>
    </row>
    <row r="1333" spans="1:8" x14ac:dyDescent="0.25">
      <c r="A1333">
        <v>1332</v>
      </c>
      <c r="B1333" t="str">
        <f>Table2[[#This Row],[Propinsi]]&amp;"_"&amp;Table2[[#This Row],[Dati 2]]&amp;"_"&amp;Table2[[#This Row],[Tanggal]]</f>
        <v>SUMATERA SELATAN_MUSI BANYUASIN_44531</v>
      </c>
      <c r="C1333" t="s">
        <v>8</v>
      </c>
      <c r="D1333" t="s">
        <v>153</v>
      </c>
      <c r="E1333">
        <v>12</v>
      </c>
      <c r="F1333">
        <v>2021</v>
      </c>
      <c r="G1333" s="1">
        <f>DATE(Table2[[#This Row],[Tahun]],Table2[[#This Row],[Bulan]],1)</f>
        <v>44531</v>
      </c>
      <c r="H1333">
        <v>447</v>
      </c>
    </row>
    <row r="1334" spans="1:8" x14ac:dyDescent="0.25">
      <c r="A1334">
        <v>1333</v>
      </c>
      <c r="B1334" t="str">
        <f>Table2[[#This Row],[Propinsi]]&amp;"_"&amp;Table2[[#This Row],[Dati 2]]&amp;"_"&amp;Table2[[#This Row],[Tanggal]]</f>
        <v>SUMATERA SELATAN_MUSI RAWAS_44197</v>
      </c>
      <c r="C1334" t="s">
        <v>8</v>
      </c>
      <c r="D1334" t="s">
        <v>154</v>
      </c>
      <c r="E1334">
        <v>1</v>
      </c>
      <c r="F1334">
        <v>2021</v>
      </c>
      <c r="G1334" s="1">
        <f>DATE(Table2[[#This Row],[Tahun]],Table2[[#This Row],[Bulan]],1)</f>
        <v>44197</v>
      </c>
      <c r="H1334">
        <v>240</v>
      </c>
    </row>
    <row r="1335" spans="1:8" x14ac:dyDescent="0.25">
      <c r="A1335">
        <v>1334</v>
      </c>
      <c r="B1335" t="str">
        <f>Table2[[#This Row],[Propinsi]]&amp;"_"&amp;Table2[[#This Row],[Dati 2]]&amp;"_"&amp;Table2[[#This Row],[Tanggal]]</f>
        <v>SUMATERA SELATAN_MUSI RAWAS_44228</v>
      </c>
      <c r="C1335" t="s">
        <v>8</v>
      </c>
      <c r="D1335" t="s">
        <v>154</v>
      </c>
      <c r="E1335">
        <v>2</v>
      </c>
      <c r="F1335">
        <v>2021</v>
      </c>
      <c r="G1335" s="1">
        <f>DATE(Table2[[#This Row],[Tahun]],Table2[[#This Row],[Bulan]],1)</f>
        <v>44228</v>
      </c>
      <c r="H1335">
        <v>243</v>
      </c>
    </row>
    <row r="1336" spans="1:8" x14ac:dyDescent="0.25">
      <c r="A1336">
        <v>1335</v>
      </c>
      <c r="B1336" t="str">
        <f>Table2[[#This Row],[Propinsi]]&amp;"_"&amp;Table2[[#This Row],[Dati 2]]&amp;"_"&amp;Table2[[#This Row],[Tanggal]]</f>
        <v>SUMATERA SELATAN_MUSI RAWAS_44256</v>
      </c>
      <c r="C1336" t="s">
        <v>8</v>
      </c>
      <c r="D1336" t="s">
        <v>154</v>
      </c>
      <c r="E1336">
        <v>3</v>
      </c>
      <c r="F1336">
        <v>2021</v>
      </c>
      <c r="G1336" s="1">
        <f>DATE(Table2[[#This Row],[Tahun]],Table2[[#This Row],[Bulan]],1)</f>
        <v>44256</v>
      </c>
      <c r="H1336">
        <v>248</v>
      </c>
    </row>
    <row r="1337" spans="1:8" x14ac:dyDescent="0.25">
      <c r="A1337">
        <v>1336</v>
      </c>
      <c r="B1337" t="str">
        <f>Table2[[#This Row],[Propinsi]]&amp;"_"&amp;Table2[[#This Row],[Dati 2]]&amp;"_"&amp;Table2[[#This Row],[Tanggal]]</f>
        <v>SUMATERA SELATAN_MUSI RAWAS_44287</v>
      </c>
      <c r="C1337" t="s">
        <v>8</v>
      </c>
      <c r="D1337" t="s">
        <v>154</v>
      </c>
      <c r="E1337">
        <v>4</v>
      </c>
      <c r="F1337">
        <v>2021</v>
      </c>
      <c r="G1337" s="1">
        <f>DATE(Table2[[#This Row],[Tahun]],Table2[[#This Row],[Bulan]],1)</f>
        <v>44287</v>
      </c>
      <c r="H1337">
        <v>252</v>
      </c>
    </row>
    <row r="1338" spans="1:8" x14ac:dyDescent="0.25">
      <c r="A1338">
        <v>1337</v>
      </c>
      <c r="B1338" t="str">
        <f>Table2[[#This Row],[Propinsi]]&amp;"_"&amp;Table2[[#This Row],[Dati 2]]&amp;"_"&amp;Table2[[#This Row],[Tanggal]]</f>
        <v>SUMATERA SELATAN_MUSI RAWAS_44317</v>
      </c>
      <c r="C1338" t="s">
        <v>8</v>
      </c>
      <c r="D1338" t="s">
        <v>154</v>
      </c>
      <c r="E1338">
        <v>5</v>
      </c>
      <c r="F1338">
        <v>2021</v>
      </c>
      <c r="G1338" s="1">
        <f>DATE(Table2[[#This Row],[Tahun]],Table2[[#This Row],[Bulan]],1)</f>
        <v>44317</v>
      </c>
      <c r="H1338">
        <v>255</v>
      </c>
    </row>
    <row r="1339" spans="1:8" x14ac:dyDescent="0.25">
      <c r="A1339">
        <v>1338</v>
      </c>
      <c r="B1339" t="str">
        <f>Table2[[#This Row],[Propinsi]]&amp;"_"&amp;Table2[[#This Row],[Dati 2]]&amp;"_"&amp;Table2[[#This Row],[Tanggal]]</f>
        <v>SUMATERA SELATAN_MUSI RAWAS_44348</v>
      </c>
      <c r="C1339" t="s">
        <v>8</v>
      </c>
      <c r="D1339" t="s">
        <v>154</v>
      </c>
      <c r="E1339">
        <v>6</v>
      </c>
      <c r="F1339">
        <v>2021</v>
      </c>
      <c r="G1339" s="1">
        <f>DATE(Table2[[#This Row],[Tahun]],Table2[[#This Row],[Bulan]],1)</f>
        <v>44348</v>
      </c>
      <c r="H1339">
        <v>261</v>
      </c>
    </row>
    <row r="1340" spans="1:8" x14ac:dyDescent="0.25">
      <c r="A1340">
        <v>1339</v>
      </c>
      <c r="B1340" t="str">
        <f>Table2[[#This Row],[Propinsi]]&amp;"_"&amp;Table2[[#This Row],[Dati 2]]&amp;"_"&amp;Table2[[#This Row],[Tanggal]]</f>
        <v>SUMATERA SELATAN_MUSI RAWAS_44378</v>
      </c>
      <c r="C1340" t="s">
        <v>8</v>
      </c>
      <c r="D1340" t="s">
        <v>154</v>
      </c>
      <c r="E1340">
        <v>7</v>
      </c>
      <c r="F1340">
        <v>2021</v>
      </c>
      <c r="G1340" s="1">
        <f>DATE(Table2[[#This Row],[Tahun]],Table2[[#This Row],[Bulan]],1)</f>
        <v>44378</v>
      </c>
      <c r="H1340">
        <v>261</v>
      </c>
    </row>
    <row r="1341" spans="1:8" x14ac:dyDescent="0.25">
      <c r="A1341">
        <v>1340</v>
      </c>
      <c r="B1341" t="str">
        <f>Table2[[#This Row],[Propinsi]]&amp;"_"&amp;Table2[[#This Row],[Dati 2]]&amp;"_"&amp;Table2[[#This Row],[Tanggal]]</f>
        <v>SUMATERA SELATAN_MUSI RAWAS_44409</v>
      </c>
      <c r="C1341" t="s">
        <v>8</v>
      </c>
      <c r="D1341" t="s">
        <v>154</v>
      </c>
      <c r="E1341">
        <v>8</v>
      </c>
      <c r="F1341">
        <v>2021</v>
      </c>
      <c r="G1341" s="1">
        <f>DATE(Table2[[#This Row],[Tahun]],Table2[[#This Row],[Bulan]],1)</f>
        <v>44409</v>
      </c>
      <c r="H1341">
        <v>262</v>
      </c>
    </row>
    <row r="1342" spans="1:8" x14ac:dyDescent="0.25">
      <c r="A1342">
        <v>1341</v>
      </c>
      <c r="B1342" t="str">
        <f>Table2[[#This Row],[Propinsi]]&amp;"_"&amp;Table2[[#This Row],[Dati 2]]&amp;"_"&amp;Table2[[#This Row],[Tanggal]]</f>
        <v>SUMATERA SELATAN_MUSI RAWAS_44440</v>
      </c>
      <c r="C1342" t="s">
        <v>8</v>
      </c>
      <c r="D1342" t="s">
        <v>154</v>
      </c>
      <c r="E1342">
        <v>9</v>
      </c>
      <c r="F1342">
        <v>2021</v>
      </c>
      <c r="G1342" s="1">
        <f>DATE(Table2[[#This Row],[Tahun]],Table2[[#This Row],[Bulan]],1)</f>
        <v>44440</v>
      </c>
      <c r="H1342">
        <v>268</v>
      </c>
    </row>
    <row r="1343" spans="1:8" x14ac:dyDescent="0.25">
      <c r="A1343">
        <v>1342</v>
      </c>
      <c r="B1343" t="str">
        <f>Table2[[#This Row],[Propinsi]]&amp;"_"&amp;Table2[[#This Row],[Dati 2]]&amp;"_"&amp;Table2[[#This Row],[Tanggal]]</f>
        <v>SUMATERA SELATAN_MUSI RAWAS_44470</v>
      </c>
      <c r="C1343" t="s">
        <v>8</v>
      </c>
      <c r="D1343" t="s">
        <v>154</v>
      </c>
      <c r="E1343">
        <v>10</v>
      </c>
      <c r="F1343">
        <v>2021</v>
      </c>
      <c r="G1343" s="1">
        <f>DATE(Table2[[#This Row],[Tahun]],Table2[[#This Row],[Bulan]],1)</f>
        <v>44470</v>
      </c>
      <c r="H1343">
        <v>271</v>
      </c>
    </row>
    <row r="1344" spans="1:8" x14ac:dyDescent="0.25">
      <c r="A1344">
        <v>1343</v>
      </c>
      <c r="B1344" t="str">
        <f>Table2[[#This Row],[Propinsi]]&amp;"_"&amp;Table2[[#This Row],[Dati 2]]&amp;"_"&amp;Table2[[#This Row],[Tanggal]]</f>
        <v>SUMATERA SELATAN_MUSI RAWAS_44501</v>
      </c>
      <c r="C1344" t="s">
        <v>8</v>
      </c>
      <c r="D1344" t="s">
        <v>154</v>
      </c>
      <c r="E1344">
        <v>11</v>
      </c>
      <c r="F1344">
        <v>2021</v>
      </c>
      <c r="G1344" s="1">
        <f>DATE(Table2[[#This Row],[Tahun]],Table2[[#This Row],[Bulan]],1)</f>
        <v>44501</v>
      </c>
      <c r="H1344">
        <v>272</v>
      </c>
    </row>
    <row r="1345" spans="1:8" x14ac:dyDescent="0.25">
      <c r="A1345">
        <v>1344</v>
      </c>
      <c r="B1345" t="str">
        <f>Table2[[#This Row],[Propinsi]]&amp;"_"&amp;Table2[[#This Row],[Dati 2]]&amp;"_"&amp;Table2[[#This Row],[Tanggal]]</f>
        <v>SUMATERA SELATAN_MUSI RAWAS_44531</v>
      </c>
      <c r="C1345" t="s">
        <v>8</v>
      </c>
      <c r="D1345" t="s">
        <v>154</v>
      </c>
      <c r="E1345">
        <v>12</v>
      </c>
      <c r="F1345">
        <v>2021</v>
      </c>
      <c r="G1345" s="1">
        <f>DATE(Table2[[#This Row],[Tahun]],Table2[[#This Row],[Bulan]],1)</f>
        <v>44531</v>
      </c>
      <c r="H1345">
        <v>278</v>
      </c>
    </row>
    <row r="1346" spans="1:8" x14ac:dyDescent="0.25">
      <c r="A1346">
        <v>1345</v>
      </c>
      <c r="B1346" t="str">
        <f>Table2[[#This Row],[Propinsi]]&amp;"_"&amp;Table2[[#This Row],[Dati 2]]&amp;"_"&amp;Table2[[#This Row],[Tanggal]]</f>
        <v>SUMATERA SELATAN_BANYUASIN_44197</v>
      </c>
      <c r="C1346" t="s">
        <v>8</v>
      </c>
      <c r="D1346" t="s">
        <v>155</v>
      </c>
      <c r="E1346">
        <v>1</v>
      </c>
      <c r="F1346">
        <v>2021</v>
      </c>
      <c r="G1346" s="1">
        <f>DATE(Table2[[#This Row],[Tahun]],Table2[[#This Row],[Bulan]],1)</f>
        <v>44197</v>
      </c>
      <c r="H1346">
        <v>325</v>
      </c>
    </row>
    <row r="1347" spans="1:8" x14ac:dyDescent="0.25">
      <c r="A1347">
        <v>1346</v>
      </c>
      <c r="B1347" t="str">
        <f>Table2[[#This Row],[Propinsi]]&amp;"_"&amp;Table2[[#This Row],[Dati 2]]&amp;"_"&amp;Table2[[#This Row],[Tanggal]]</f>
        <v>SUMATERA SELATAN_BANYUASIN_44228</v>
      </c>
      <c r="C1347" t="s">
        <v>8</v>
      </c>
      <c r="D1347" t="s">
        <v>155</v>
      </c>
      <c r="E1347">
        <v>2</v>
      </c>
      <c r="F1347">
        <v>2021</v>
      </c>
      <c r="G1347" s="1">
        <f>DATE(Table2[[#This Row],[Tahun]],Table2[[#This Row],[Bulan]],1)</f>
        <v>44228</v>
      </c>
      <c r="H1347">
        <v>325</v>
      </c>
    </row>
    <row r="1348" spans="1:8" x14ac:dyDescent="0.25">
      <c r="A1348">
        <v>1347</v>
      </c>
      <c r="B1348" t="str">
        <f>Table2[[#This Row],[Propinsi]]&amp;"_"&amp;Table2[[#This Row],[Dati 2]]&amp;"_"&amp;Table2[[#This Row],[Tanggal]]</f>
        <v>SUMATERA SELATAN_BANYUASIN_44256</v>
      </c>
      <c r="C1348" t="s">
        <v>8</v>
      </c>
      <c r="D1348" t="s">
        <v>155</v>
      </c>
      <c r="E1348">
        <v>3</v>
      </c>
      <c r="F1348">
        <v>2021</v>
      </c>
      <c r="G1348" s="1">
        <f>DATE(Table2[[#This Row],[Tahun]],Table2[[#This Row],[Bulan]],1)</f>
        <v>44256</v>
      </c>
      <c r="H1348">
        <v>331</v>
      </c>
    </row>
    <row r="1349" spans="1:8" x14ac:dyDescent="0.25">
      <c r="A1349">
        <v>1348</v>
      </c>
      <c r="B1349" t="str">
        <f>Table2[[#This Row],[Propinsi]]&amp;"_"&amp;Table2[[#This Row],[Dati 2]]&amp;"_"&amp;Table2[[#This Row],[Tanggal]]</f>
        <v>SUMATERA SELATAN_BANYUASIN_44287</v>
      </c>
      <c r="C1349" t="s">
        <v>8</v>
      </c>
      <c r="D1349" t="s">
        <v>155</v>
      </c>
      <c r="E1349">
        <v>4</v>
      </c>
      <c r="F1349">
        <v>2021</v>
      </c>
      <c r="G1349" s="1">
        <f>DATE(Table2[[#This Row],[Tahun]],Table2[[#This Row],[Bulan]],1)</f>
        <v>44287</v>
      </c>
      <c r="H1349">
        <v>331</v>
      </c>
    </row>
    <row r="1350" spans="1:8" x14ac:dyDescent="0.25">
      <c r="A1350">
        <v>1349</v>
      </c>
      <c r="B1350" t="str">
        <f>Table2[[#This Row],[Propinsi]]&amp;"_"&amp;Table2[[#This Row],[Dati 2]]&amp;"_"&amp;Table2[[#This Row],[Tanggal]]</f>
        <v>SUMATERA SELATAN_BANYUASIN_44317</v>
      </c>
      <c r="C1350" t="s">
        <v>8</v>
      </c>
      <c r="D1350" t="s">
        <v>155</v>
      </c>
      <c r="E1350">
        <v>5</v>
      </c>
      <c r="F1350">
        <v>2021</v>
      </c>
      <c r="G1350" s="1">
        <f>DATE(Table2[[#This Row],[Tahun]],Table2[[#This Row],[Bulan]],1)</f>
        <v>44317</v>
      </c>
      <c r="H1350">
        <v>337</v>
      </c>
    </row>
    <row r="1351" spans="1:8" x14ac:dyDescent="0.25">
      <c r="A1351">
        <v>1350</v>
      </c>
      <c r="B1351" t="str">
        <f>Table2[[#This Row],[Propinsi]]&amp;"_"&amp;Table2[[#This Row],[Dati 2]]&amp;"_"&amp;Table2[[#This Row],[Tanggal]]</f>
        <v>SUMATERA SELATAN_BANYUASIN_44348</v>
      </c>
      <c r="C1351" t="s">
        <v>8</v>
      </c>
      <c r="D1351" t="s">
        <v>155</v>
      </c>
      <c r="E1351">
        <v>6</v>
      </c>
      <c r="F1351">
        <v>2021</v>
      </c>
      <c r="G1351" s="1">
        <f>DATE(Table2[[#This Row],[Tahun]],Table2[[#This Row],[Bulan]],1)</f>
        <v>44348</v>
      </c>
      <c r="H1351">
        <v>336</v>
      </c>
    </row>
    <row r="1352" spans="1:8" x14ac:dyDescent="0.25">
      <c r="A1352">
        <v>1351</v>
      </c>
      <c r="B1352" t="str">
        <f>Table2[[#This Row],[Propinsi]]&amp;"_"&amp;Table2[[#This Row],[Dati 2]]&amp;"_"&amp;Table2[[#This Row],[Tanggal]]</f>
        <v>SUMATERA SELATAN_BANYUASIN_44378</v>
      </c>
      <c r="C1352" t="s">
        <v>8</v>
      </c>
      <c r="D1352" t="s">
        <v>155</v>
      </c>
      <c r="E1352">
        <v>7</v>
      </c>
      <c r="F1352">
        <v>2021</v>
      </c>
      <c r="G1352" s="1">
        <f>DATE(Table2[[#This Row],[Tahun]],Table2[[#This Row],[Bulan]],1)</f>
        <v>44378</v>
      </c>
      <c r="H1352">
        <v>342</v>
      </c>
    </row>
    <row r="1353" spans="1:8" x14ac:dyDescent="0.25">
      <c r="A1353">
        <v>1352</v>
      </c>
      <c r="B1353" t="str">
        <f>Table2[[#This Row],[Propinsi]]&amp;"_"&amp;Table2[[#This Row],[Dati 2]]&amp;"_"&amp;Table2[[#This Row],[Tanggal]]</f>
        <v>SUMATERA SELATAN_BANYUASIN_44409</v>
      </c>
      <c r="C1353" t="s">
        <v>8</v>
      </c>
      <c r="D1353" t="s">
        <v>155</v>
      </c>
      <c r="E1353">
        <v>8</v>
      </c>
      <c r="F1353">
        <v>2021</v>
      </c>
      <c r="G1353" s="1">
        <f>DATE(Table2[[#This Row],[Tahun]],Table2[[#This Row],[Bulan]],1)</f>
        <v>44409</v>
      </c>
      <c r="H1353">
        <v>340</v>
      </c>
    </row>
    <row r="1354" spans="1:8" x14ac:dyDescent="0.25">
      <c r="A1354">
        <v>1353</v>
      </c>
      <c r="B1354" t="str">
        <f>Table2[[#This Row],[Propinsi]]&amp;"_"&amp;Table2[[#This Row],[Dati 2]]&amp;"_"&amp;Table2[[#This Row],[Tanggal]]</f>
        <v>SUMATERA SELATAN_BANYUASIN_44440</v>
      </c>
      <c r="C1354" t="s">
        <v>8</v>
      </c>
      <c r="D1354" t="s">
        <v>155</v>
      </c>
      <c r="E1354">
        <v>9</v>
      </c>
      <c r="F1354">
        <v>2021</v>
      </c>
      <c r="G1354" s="1">
        <f>DATE(Table2[[#This Row],[Tahun]],Table2[[#This Row],[Bulan]],1)</f>
        <v>44440</v>
      </c>
      <c r="H1354">
        <v>342</v>
      </c>
    </row>
    <row r="1355" spans="1:8" x14ac:dyDescent="0.25">
      <c r="A1355">
        <v>1354</v>
      </c>
      <c r="B1355" t="str">
        <f>Table2[[#This Row],[Propinsi]]&amp;"_"&amp;Table2[[#This Row],[Dati 2]]&amp;"_"&amp;Table2[[#This Row],[Tanggal]]</f>
        <v>SUMATERA SELATAN_BANYUASIN_44470</v>
      </c>
      <c r="C1355" t="s">
        <v>8</v>
      </c>
      <c r="D1355" t="s">
        <v>155</v>
      </c>
      <c r="E1355">
        <v>10</v>
      </c>
      <c r="F1355">
        <v>2021</v>
      </c>
      <c r="G1355" s="1">
        <f>DATE(Table2[[#This Row],[Tahun]],Table2[[#This Row],[Bulan]],1)</f>
        <v>44470</v>
      </c>
      <c r="H1355">
        <v>348</v>
      </c>
    </row>
    <row r="1356" spans="1:8" x14ac:dyDescent="0.25">
      <c r="A1356">
        <v>1355</v>
      </c>
      <c r="B1356" t="str">
        <f>Table2[[#This Row],[Propinsi]]&amp;"_"&amp;Table2[[#This Row],[Dati 2]]&amp;"_"&amp;Table2[[#This Row],[Tanggal]]</f>
        <v>SUMATERA SELATAN_BANYUASIN_44501</v>
      </c>
      <c r="C1356" t="s">
        <v>8</v>
      </c>
      <c r="D1356" t="s">
        <v>155</v>
      </c>
      <c r="E1356">
        <v>11</v>
      </c>
      <c r="F1356">
        <v>2021</v>
      </c>
      <c r="G1356" s="1">
        <f>DATE(Table2[[#This Row],[Tahun]],Table2[[#This Row],[Bulan]],1)</f>
        <v>44501</v>
      </c>
      <c r="H1356">
        <v>351</v>
      </c>
    </row>
    <row r="1357" spans="1:8" x14ac:dyDescent="0.25">
      <c r="A1357">
        <v>1356</v>
      </c>
      <c r="B1357" t="str">
        <f>Table2[[#This Row],[Propinsi]]&amp;"_"&amp;Table2[[#This Row],[Dati 2]]&amp;"_"&amp;Table2[[#This Row],[Tanggal]]</f>
        <v>SUMATERA SELATAN_BANYUASIN_44531</v>
      </c>
      <c r="C1357" t="s">
        <v>8</v>
      </c>
      <c r="D1357" t="s">
        <v>155</v>
      </c>
      <c r="E1357">
        <v>12</v>
      </c>
      <c r="F1357">
        <v>2021</v>
      </c>
      <c r="G1357" s="1">
        <f>DATE(Table2[[#This Row],[Tahun]],Table2[[#This Row],[Bulan]],1)</f>
        <v>44531</v>
      </c>
      <c r="H1357">
        <v>354</v>
      </c>
    </row>
    <row r="1358" spans="1:8" x14ac:dyDescent="0.25">
      <c r="A1358">
        <v>1357</v>
      </c>
      <c r="B1358" t="str">
        <f>Table2[[#This Row],[Propinsi]]&amp;"_"&amp;Table2[[#This Row],[Dati 2]]&amp;"_"&amp;Table2[[#This Row],[Tanggal]]</f>
        <v>SUMATERA SELATAN_PRABUMULIH_44197</v>
      </c>
      <c r="C1358" t="s">
        <v>8</v>
      </c>
      <c r="D1358" t="s">
        <v>156</v>
      </c>
      <c r="E1358">
        <v>1</v>
      </c>
      <c r="F1358">
        <v>2021</v>
      </c>
      <c r="G1358" s="1">
        <f>DATE(Table2[[#This Row],[Tahun]],Table2[[#This Row],[Bulan]],1)</f>
        <v>44197</v>
      </c>
      <c r="H1358">
        <v>130</v>
      </c>
    </row>
    <row r="1359" spans="1:8" x14ac:dyDescent="0.25">
      <c r="A1359">
        <v>1358</v>
      </c>
      <c r="B1359" t="str">
        <f>Table2[[#This Row],[Propinsi]]&amp;"_"&amp;Table2[[#This Row],[Dati 2]]&amp;"_"&amp;Table2[[#This Row],[Tanggal]]</f>
        <v>SUMATERA SELATAN_PRABUMULIH_44228</v>
      </c>
      <c r="C1359" t="s">
        <v>8</v>
      </c>
      <c r="D1359" t="s">
        <v>156</v>
      </c>
      <c r="E1359">
        <v>2</v>
      </c>
      <c r="F1359">
        <v>2021</v>
      </c>
      <c r="G1359" s="1">
        <f>DATE(Table2[[#This Row],[Tahun]],Table2[[#This Row],[Bulan]],1)</f>
        <v>44228</v>
      </c>
      <c r="H1359">
        <v>136</v>
      </c>
    </row>
    <row r="1360" spans="1:8" x14ac:dyDescent="0.25">
      <c r="A1360">
        <v>1359</v>
      </c>
      <c r="B1360" t="str">
        <f>Table2[[#This Row],[Propinsi]]&amp;"_"&amp;Table2[[#This Row],[Dati 2]]&amp;"_"&amp;Table2[[#This Row],[Tanggal]]</f>
        <v>SUMATERA SELATAN_PRABUMULIH_44256</v>
      </c>
      <c r="C1360" t="s">
        <v>8</v>
      </c>
      <c r="D1360" t="s">
        <v>156</v>
      </c>
      <c r="E1360">
        <v>3</v>
      </c>
      <c r="F1360">
        <v>2021</v>
      </c>
      <c r="G1360" s="1">
        <f>DATE(Table2[[#This Row],[Tahun]],Table2[[#This Row],[Bulan]],1)</f>
        <v>44256</v>
      </c>
      <c r="H1360">
        <v>138</v>
      </c>
    </row>
    <row r="1361" spans="1:8" x14ac:dyDescent="0.25">
      <c r="A1361">
        <v>1360</v>
      </c>
      <c r="B1361" t="str">
        <f>Table2[[#This Row],[Propinsi]]&amp;"_"&amp;Table2[[#This Row],[Dati 2]]&amp;"_"&amp;Table2[[#This Row],[Tanggal]]</f>
        <v>SUMATERA SELATAN_PRABUMULIH_44287</v>
      </c>
      <c r="C1361" t="s">
        <v>8</v>
      </c>
      <c r="D1361" t="s">
        <v>156</v>
      </c>
      <c r="E1361">
        <v>4</v>
      </c>
      <c r="F1361">
        <v>2021</v>
      </c>
      <c r="G1361" s="1">
        <f>DATE(Table2[[#This Row],[Tahun]],Table2[[#This Row],[Bulan]],1)</f>
        <v>44287</v>
      </c>
      <c r="H1361">
        <v>142</v>
      </c>
    </row>
    <row r="1362" spans="1:8" x14ac:dyDescent="0.25">
      <c r="A1362">
        <v>1361</v>
      </c>
      <c r="B1362" t="str">
        <f>Table2[[#This Row],[Propinsi]]&amp;"_"&amp;Table2[[#This Row],[Dati 2]]&amp;"_"&amp;Table2[[#This Row],[Tanggal]]</f>
        <v>SUMATERA SELATAN_PRABUMULIH_44317</v>
      </c>
      <c r="C1362" t="s">
        <v>8</v>
      </c>
      <c r="D1362" t="s">
        <v>156</v>
      </c>
      <c r="E1362">
        <v>5</v>
      </c>
      <c r="F1362">
        <v>2021</v>
      </c>
      <c r="G1362" s="1">
        <f>DATE(Table2[[#This Row],[Tahun]],Table2[[#This Row],[Bulan]],1)</f>
        <v>44317</v>
      </c>
      <c r="H1362">
        <v>141</v>
      </c>
    </row>
    <row r="1363" spans="1:8" x14ac:dyDescent="0.25">
      <c r="A1363">
        <v>1362</v>
      </c>
      <c r="B1363" t="str">
        <f>Table2[[#This Row],[Propinsi]]&amp;"_"&amp;Table2[[#This Row],[Dati 2]]&amp;"_"&amp;Table2[[#This Row],[Tanggal]]</f>
        <v>SUMATERA SELATAN_PRABUMULIH_44348</v>
      </c>
      <c r="C1363" t="s">
        <v>8</v>
      </c>
      <c r="D1363" t="s">
        <v>156</v>
      </c>
      <c r="E1363">
        <v>6</v>
      </c>
      <c r="F1363">
        <v>2021</v>
      </c>
      <c r="G1363" s="1">
        <f>DATE(Table2[[#This Row],[Tahun]],Table2[[#This Row],[Bulan]],1)</f>
        <v>44348</v>
      </c>
      <c r="H1363">
        <v>143</v>
      </c>
    </row>
    <row r="1364" spans="1:8" x14ac:dyDescent="0.25">
      <c r="A1364">
        <v>1363</v>
      </c>
      <c r="B1364" t="str">
        <f>Table2[[#This Row],[Propinsi]]&amp;"_"&amp;Table2[[#This Row],[Dati 2]]&amp;"_"&amp;Table2[[#This Row],[Tanggal]]</f>
        <v>SUMATERA SELATAN_PRABUMULIH_44378</v>
      </c>
      <c r="C1364" t="s">
        <v>8</v>
      </c>
      <c r="D1364" t="s">
        <v>156</v>
      </c>
      <c r="E1364">
        <v>7</v>
      </c>
      <c r="F1364">
        <v>2021</v>
      </c>
      <c r="G1364" s="1">
        <f>DATE(Table2[[#This Row],[Tahun]],Table2[[#This Row],[Bulan]],1)</f>
        <v>44378</v>
      </c>
      <c r="H1364">
        <v>145</v>
      </c>
    </row>
    <row r="1365" spans="1:8" x14ac:dyDescent="0.25">
      <c r="A1365">
        <v>1364</v>
      </c>
      <c r="B1365" t="str">
        <f>Table2[[#This Row],[Propinsi]]&amp;"_"&amp;Table2[[#This Row],[Dati 2]]&amp;"_"&amp;Table2[[#This Row],[Tanggal]]</f>
        <v>SUMATERA SELATAN_PRABUMULIH_44409</v>
      </c>
      <c r="C1365" t="s">
        <v>8</v>
      </c>
      <c r="D1365" t="s">
        <v>156</v>
      </c>
      <c r="E1365">
        <v>8</v>
      </c>
      <c r="F1365">
        <v>2021</v>
      </c>
      <c r="G1365" s="1">
        <f>DATE(Table2[[#This Row],[Tahun]],Table2[[#This Row],[Bulan]],1)</f>
        <v>44409</v>
      </c>
      <c r="H1365">
        <v>145</v>
      </c>
    </row>
    <row r="1366" spans="1:8" x14ac:dyDescent="0.25">
      <c r="A1366">
        <v>1365</v>
      </c>
      <c r="B1366" t="str">
        <f>Table2[[#This Row],[Propinsi]]&amp;"_"&amp;Table2[[#This Row],[Dati 2]]&amp;"_"&amp;Table2[[#This Row],[Tanggal]]</f>
        <v>SUMATERA SELATAN_PRABUMULIH_44440</v>
      </c>
      <c r="C1366" t="s">
        <v>8</v>
      </c>
      <c r="D1366" t="s">
        <v>156</v>
      </c>
      <c r="E1366">
        <v>9</v>
      </c>
      <c r="F1366">
        <v>2021</v>
      </c>
      <c r="G1366" s="1">
        <f>DATE(Table2[[#This Row],[Tahun]],Table2[[#This Row],[Bulan]],1)</f>
        <v>44440</v>
      </c>
      <c r="H1366">
        <v>143</v>
      </c>
    </row>
    <row r="1367" spans="1:8" x14ac:dyDescent="0.25">
      <c r="A1367">
        <v>1366</v>
      </c>
      <c r="B1367" t="str">
        <f>Table2[[#This Row],[Propinsi]]&amp;"_"&amp;Table2[[#This Row],[Dati 2]]&amp;"_"&amp;Table2[[#This Row],[Tanggal]]</f>
        <v>SUMATERA SELATAN_PRABUMULIH_44470</v>
      </c>
      <c r="C1367" t="s">
        <v>8</v>
      </c>
      <c r="D1367" t="s">
        <v>156</v>
      </c>
      <c r="E1367">
        <v>10</v>
      </c>
      <c r="F1367">
        <v>2021</v>
      </c>
      <c r="G1367" s="1">
        <f>DATE(Table2[[#This Row],[Tahun]],Table2[[#This Row],[Bulan]],1)</f>
        <v>44470</v>
      </c>
      <c r="H1367">
        <v>144</v>
      </c>
    </row>
    <row r="1368" spans="1:8" x14ac:dyDescent="0.25">
      <c r="A1368">
        <v>1367</v>
      </c>
      <c r="B1368" t="str">
        <f>Table2[[#This Row],[Propinsi]]&amp;"_"&amp;Table2[[#This Row],[Dati 2]]&amp;"_"&amp;Table2[[#This Row],[Tanggal]]</f>
        <v>SUMATERA SELATAN_PRABUMULIH_44501</v>
      </c>
      <c r="C1368" t="s">
        <v>8</v>
      </c>
      <c r="D1368" t="s">
        <v>156</v>
      </c>
      <c r="E1368">
        <v>11</v>
      </c>
      <c r="F1368">
        <v>2021</v>
      </c>
      <c r="G1368" s="1">
        <f>DATE(Table2[[#This Row],[Tahun]],Table2[[#This Row],[Bulan]],1)</f>
        <v>44501</v>
      </c>
      <c r="H1368">
        <v>144</v>
      </c>
    </row>
    <row r="1369" spans="1:8" x14ac:dyDescent="0.25">
      <c r="A1369">
        <v>1368</v>
      </c>
      <c r="B1369" t="str">
        <f>Table2[[#This Row],[Propinsi]]&amp;"_"&amp;Table2[[#This Row],[Dati 2]]&amp;"_"&amp;Table2[[#This Row],[Tanggal]]</f>
        <v>SUMATERA SELATAN_PRABUMULIH_44531</v>
      </c>
      <c r="C1369" t="s">
        <v>8</v>
      </c>
      <c r="D1369" t="s">
        <v>156</v>
      </c>
      <c r="E1369">
        <v>12</v>
      </c>
      <c r="F1369">
        <v>2021</v>
      </c>
      <c r="G1369" s="1">
        <f>DATE(Table2[[#This Row],[Tahun]],Table2[[#This Row],[Bulan]],1)</f>
        <v>44531</v>
      </c>
      <c r="H1369">
        <v>150</v>
      </c>
    </row>
    <row r="1370" spans="1:8" x14ac:dyDescent="0.25">
      <c r="A1370">
        <v>1369</v>
      </c>
      <c r="B1370" t="str">
        <f>Table2[[#This Row],[Propinsi]]&amp;"_"&amp;Table2[[#This Row],[Dati 2]]&amp;"_"&amp;Table2[[#This Row],[Tanggal]]</f>
        <v>SUMATERA SELATAN_MUARA ENIM_44197</v>
      </c>
      <c r="C1370" t="s">
        <v>8</v>
      </c>
      <c r="D1370" t="s">
        <v>157</v>
      </c>
      <c r="E1370">
        <v>1</v>
      </c>
      <c r="F1370">
        <v>2021</v>
      </c>
      <c r="G1370" s="1">
        <f>DATE(Table2[[#This Row],[Tahun]],Table2[[#This Row],[Bulan]],1)</f>
        <v>44197</v>
      </c>
      <c r="H1370">
        <v>213</v>
      </c>
    </row>
    <row r="1371" spans="1:8" x14ac:dyDescent="0.25">
      <c r="A1371">
        <v>1370</v>
      </c>
      <c r="B1371" t="str">
        <f>Table2[[#This Row],[Propinsi]]&amp;"_"&amp;Table2[[#This Row],[Dati 2]]&amp;"_"&amp;Table2[[#This Row],[Tanggal]]</f>
        <v>SUMATERA SELATAN_MUARA ENIM_44228</v>
      </c>
      <c r="C1371" t="s">
        <v>8</v>
      </c>
      <c r="D1371" t="s">
        <v>157</v>
      </c>
      <c r="E1371">
        <v>2</v>
      </c>
      <c r="F1371">
        <v>2021</v>
      </c>
      <c r="G1371" s="1">
        <f>DATE(Table2[[#This Row],[Tahun]],Table2[[#This Row],[Bulan]],1)</f>
        <v>44228</v>
      </c>
      <c r="H1371">
        <v>214</v>
      </c>
    </row>
    <row r="1372" spans="1:8" x14ac:dyDescent="0.25">
      <c r="A1372">
        <v>1371</v>
      </c>
      <c r="B1372" t="str">
        <f>Table2[[#This Row],[Propinsi]]&amp;"_"&amp;Table2[[#This Row],[Dati 2]]&amp;"_"&amp;Table2[[#This Row],[Tanggal]]</f>
        <v>SUMATERA SELATAN_MUARA ENIM_44256</v>
      </c>
      <c r="C1372" t="s">
        <v>8</v>
      </c>
      <c r="D1372" t="s">
        <v>157</v>
      </c>
      <c r="E1372">
        <v>3</v>
      </c>
      <c r="F1372">
        <v>2021</v>
      </c>
      <c r="G1372" s="1">
        <f>DATE(Table2[[#This Row],[Tahun]],Table2[[#This Row],[Bulan]],1)</f>
        <v>44256</v>
      </c>
      <c r="H1372">
        <v>219</v>
      </c>
    </row>
    <row r="1373" spans="1:8" x14ac:dyDescent="0.25">
      <c r="A1373">
        <v>1372</v>
      </c>
      <c r="B1373" t="str">
        <f>Table2[[#This Row],[Propinsi]]&amp;"_"&amp;Table2[[#This Row],[Dati 2]]&amp;"_"&amp;Table2[[#This Row],[Tanggal]]</f>
        <v>SUMATERA SELATAN_MUARA ENIM_44287</v>
      </c>
      <c r="C1373" t="s">
        <v>8</v>
      </c>
      <c r="D1373" t="s">
        <v>157</v>
      </c>
      <c r="E1373">
        <v>4</v>
      </c>
      <c r="F1373">
        <v>2021</v>
      </c>
      <c r="G1373" s="1">
        <f>DATE(Table2[[#This Row],[Tahun]],Table2[[#This Row],[Bulan]],1)</f>
        <v>44287</v>
      </c>
      <c r="H1373">
        <v>217</v>
      </c>
    </row>
    <row r="1374" spans="1:8" x14ac:dyDescent="0.25">
      <c r="A1374">
        <v>1373</v>
      </c>
      <c r="B1374" t="str">
        <f>Table2[[#This Row],[Propinsi]]&amp;"_"&amp;Table2[[#This Row],[Dati 2]]&amp;"_"&amp;Table2[[#This Row],[Tanggal]]</f>
        <v>SUMATERA SELATAN_MUARA ENIM_44317</v>
      </c>
      <c r="C1374" t="s">
        <v>8</v>
      </c>
      <c r="D1374" t="s">
        <v>157</v>
      </c>
      <c r="E1374">
        <v>5</v>
      </c>
      <c r="F1374">
        <v>2021</v>
      </c>
      <c r="G1374" s="1">
        <f>DATE(Table2[[#This Row],[Tahun]],Table2[[#This Row],[Bulan]],1)</f>
        <v>44317</v>
      </c>
      <c r="H1374">
        <v>221</v>
      </c>
    </row>
    <row r="1375" spans="1:8" x14ac:dyDescent="0.25">
      <c r="A1375">
        <v>1374</v>
      </c>
      <c r="B1375" t="str">
        <f>Table2[[#This Row],[Propinsi]]&amp;"_"&amp;Table2[[#This Row],[Dati 2]]&amp;"_"&amp;Table2[[#This Row],[Tanggal]]</f>
        <v>SUMATERA SELATAN_MUARA ENIM_44348</v>
      </c>
      <c r="C1375" t="s">
        <v>8</v>
      </c>
      <c r="D1375" t="s">
        <v>157</v>
      </c>
      <c r="E1375">
        <v>6</v>
      </c>
      <c r="F1375">
        <v>2021</v>
      </c>
      <c r="G1375" s="1">
        <f>DATE(Table2[[#This Row],[Tahun]],Table2[[#This Row],[Bulan]],1)</f>
        <v>44348</v>
      </c>
      <c r="H1375">
        <v>220</v>
      </c>
    </row>
    <row r="1376" spans="1:8" x14ac:dyDescent="0.25">
      <c r="A1376">
        <v>1375</v>
      </c>
      <c r="B1376" t="str">
        <f>Table2[[#This Row],[Propinsi]]&amp;"_"&amp;Table2[[#This Row],[Dati 2]]&amp;"_"&amp;Table2[[#This Row],[Tanggal]]</f>
        <v>SUMATERA SELATAN_MUARA ENIM_44378</v>
      </c>
      <c r="C1376" t="s">
        <v>8</v>
      </c>
      <c r="D1376" t="s">
        <v>157</v>
      </c>
      <c r="E1376">
        <v>7</v>
      </c>
      <c r="F1376">
        <v>2021</v>
      </c>
      <c r="G1376" s="1">
        <f>DATE(Table2[[#This Row],[Tahun]],Table2[[#This Row],[Bulan]],1)</f>
        <v>44378</v>
      </c>
      <c r="H1376">
        <v>222</v>
      </c>
    </row>
    <row r="1377" spans="1:8" x14ac:dyDescent="0.25">
      <c r="A1377">
        <v>1376</v>
      </c>
      <c r="B1377" t="str">
        <f>Table2[[#This Row],[Propinsi]]&amp;"_"&amp;Table2[[#This Row],[Dati 2]]&amp;"_"&amp;Table2[[#This Row],[Tanggal]]</f>
        <v>SUMATERA SELATAN_MUARA ENIM_44409</v>
      </c>
      <c r="C1377" t="s">
        <v>8</v>
      </c>
      <c r="D1377" t="s">
        <v>157</v>
      </c>
      <c r="E1377">
        <v>8</v>
      </c>
      <c r="F1377">
        <v>2021</v>
      </c>
      <c r="G1377" s="1">
        <f>DATE(Table2[[#This Row],[Tahun]],Table2[[#This Row],[Bulan]],1)</f>
        <v>44409</v>
      </c>
      <c r="H1377">
        <v>222</v>
      </c>
    </row>
    <row r="1378" spans="1:8" x14ac:dyDescent="0.25">
      <c r="A1378">
        <v>1377</v>
      </c>
      <c r="B1378" t="str">
        <f>Table2[[#This Row],[Propinsi]]&amp;"_"&amp;Table2[[#This Row],[Dati 2]]&amp;"_"&amp;Table2[[#This Row],[Tanggal]]</f>
        <v>SUMATERA SELATAN_MUARA ENIM_44440</v>
      </c>
      <c r="C1378" t="s">
        <v>8</v>
      </c>
      <c r="D1378" t="s">
        <v>157</v>
      </c>
      <c r="E1378">
        <v>9</v>
      </c>
      <c r="F1378">
        <v>2021</v>
      </c>
      <c r="G1378" s="1">
        <f>DATE(Table2[[#This Row],[Tahun]],Table2[[#This Row],[Bulan]],1)</f>
        <v>44440</v>
      </c>
      <c r="H1378">
        <v>222</v>
      </c>
    </row>
    <row r="1379" spans="1:8" x14ac:dyDescent="0.25">
      <c r="A1379">
        <v>1378</v>
      </c>
      <c r="B1379" t="str">
        <f>Table2[[#This Row],[Propinsi]]&amp;"_"&amp;Table2[[#This Row],[Dati 2]]&amp;"_"&amp;Table2[[#This Row],[Tanggal]]</f>
        <v>SUMATERA SELATAN_MUARA ENIM_44470</v>
      </c>
      <c r="C1379" t="s">
        <v>8</v>
      </c>
      <c r="D1379" t="s">
        <v>157</v>
      </c>
      <c r="E1379">
        <v>10</v>
      </c>
      <c r="F1379">
        <v>2021</v>
      </c>
      <c r="G1379" s="1">
        <f>DATE(Table2[[#This Row],[Tahun]],Table2[[#This Row],[Bulan]],1)</f>
        <v>44470</v>
      </c>
      <c r="H1379">
        <v>221</v>
      </c>
    </row>
    <row r="1380" spans="1:8" x14ac:dyDescent="0.25">
      <c r="A1380">
        <v>1379</v>
      </c>
      <c r="B1380" t="str">
        <f>Table2[[#This Row],[Propinsi]]&amp;"_"&amp;Table2[[#This Row],[Dati 2]]&amp;"_"&amp;Table2[[#This Row],[Tanggal]]</f>
        <v>SUMATERA SELATAN_MUARA ENIM_44501</v>
      </c>
      <c r="C1380" t="s">
        <v>8</v>
      </c>
      <c r="D1380" t="s">
        <v>157</v>
      </c>
      <c r="E1380">
        <v>11</v>
      </c>
      <c r="F1380">
        <v>2021</v>
      </c>
      <c r="G1380" s="1">
        <f>DATE(Table2[[#This Row],[Tahun]],Table2[[#This Row],[Bulan]],1)</f>
        <v>44501</v>
      </c>
      <c r="H1380">
        <v>223</v>
      </c>
    </row>
    <row r="1381" spans="1:8" x14ac:dyDescent="0.25">
      <c r="A1381">
        <v>1380</v>
      </c>
      <c r="B1381" t="str">
        <f>Table2[[#This Row],[Propinsi]]&amp;"_"&amp;Table2[[#This Row],[Dati 2]]&amp;"_"&amp;Table2[[#This Row],[Tanggal]]</f>
        <v>SUMATERA SELATAN_MUARA ENIM_44531</v>
      </c>
      <c r="C1381" t="s">
        <v>8</v>
      </c>
      <c r="D1381" t="s">
        <v>157</v>
      </c>
      <c r="E1381">
        <v>12</v>
      </c>
      <c r="F1381">
        <v>2021</v>
      </c>
      <c r="G1381" s="1">
        <f>DATE(Table2[[#This Row],[Tahun]],Table2[[#This Row],[Bulan]],1)</f>
        <v>44531</v>
      </c>
      <c r="H1381">
        <v>221</v>
      </c>
    </row>
    <row r="1382" spans="1:8" x14ac:dyDescent="0.25">
      <c r="A1382">
        <v>1381</v>
      </c>
      <c r="B1382" t="str">
        <f>Table2[[#This Row],[Propinsi]]&amp;"_"&amp;Table2[[#This Row],[Dati 2]]&amp;"_"&amp;Table2[[#This Row],[Tanggal]]</f>
        <v>SUMATERA SELATAN_LAHAT_44197</v>
      </c>
      <c r="C1382" t="s">
        <v>8</v>
      </c>
      <c r="D1382" t="s">
        <v>158</v>
      </c>
      <c r="E1382">
        <v>1</v>
      </c>
      <c r="F1382">
        <v>2021</v>
      </c>
      <c r="G1382" s="1">
        <f>DATE(Table2[[#This Row],[Tahun]],Table2[[#This Row],[Bulan]],1)</f>
        <v>44197</v>
      </c>
      <c r="H1382">
        <v>182</v>
      </c>
    </row>
    <row r="1383" spans="1:8" x14ac:dyDescent="0.25">
      <c r="A1383">
        <v>1382</v>
      </c>
      <c r="B1383" t="str">
        <f>Table2[[#This Row],[Propinsi]]&amp;"_"&amp;Table2[[#This Row],[Dati 2]]&amp;"_"&amp;Table2[[#This Row],[Tanggal]]</f>
        <v>SUMATERA SELATAN_LAHAT_44228</v>
      </c>
      <c r="C1383" t="s">
        <v>8</v>
      </c>
      <c r="D1383" t="s">
        <v>158</v>
      </c>
      <c r="E1383">
        <v>2</v>
      </c>
      <c r="F1383">
        <v>2021</v>
      </c>
      <c r="G1383" s="1">
        <f>DATE(Table2[[#This Row],[Tahun]],Table2[[#This Row],[Bulan]],1)</f>
        <v>44228</v>
      </c>
      <c r="H1383">
        <v>186</v>
      </c>
    </row>
    <row r="1384" spans="1:8" x14ac:dyDescent="0.25">
      <c r="A1384">
        <v>1383</v>
      </c>
      <c r="B1384" t="str">
        <f>Table2[[#This Row],[Propinsi]]&amp;"_"&amp;Table2[[#This Row],[Dati 2]]&amp;"_"&amp;Table2[[#This Row],[Tanggal]]</f>
        <v>SUMATERA SELATAN_LAHAT_44256</v>
      </c>
      <c r="C1384" t="s">
        <v>8</v>
      </c>
      <c r="D1384" t="s">
        <v>158</v>
      </c>
      <c r="E1384">
        <v>3</v>
      </c>
      <c r="F1384">
        <v>2021</v>
      </c>
      <c r="G1384" s="1">
        <f>DATE(Table2[[#This Row],[Tahun]],Table2[[#This Row],[Bulan]],1)</f>
        <v>44256</v>
      </c>
      <c r="H1384">
        <v>190</v>
      </c>
    </row>
    <row r="1385" spans="1:8" x14ac:dyDescent="0.25">
      <c r="A1385">
        <v>1384</v>
      </c>
      <c r="B1385" t="str">
        <f>Table2[[#This Row],[Propinsi]]&amp;"_"&amp;Table2[[#This Row],[Dati 2]]&amp;"_"&amp;Table2[[#This Row],[Tanggal]]</f>
        <v>SUMATERA SELATAN_LAHAT_44287</v>
      </c>
      <c r="C1385" t="s">
        <v>8</v>
      </c>
      <c r="D1385" t="s">
        <v>158</v>
      </c>
      <c r="E1385">
        <v>4</v>
      </c>
      <c r="F1385">
        <v>2021</v>
      </c>
      <c r="G1385" s="1">
        <f>DATE(Table2[[#This Row],[Tahun]],Table2[[#This Row],[Bulan]],1)</f>
        <v>44287</v>
      </c>
      <c r="H1385">
        <v>197</v>
      </c>
    </row>
    <row r="1386" spans="1:8" x14ac:dyDescent="0.25">
      <c r="A1386">
        <v>1385</v>
      </c>
      <c r="B1386" t="str">
        <f>Table2[[#This Row],[Propinsi]]&amp;"_"&amp;Table2[[#This Row],[Dati 2]]&amp;"_"&amp;Table2[[#This Row],[Tanggal]]</f>
        <v>SUMATERA SELATAN_LAHAT_44317</v>
      </c>
      <c r="C1386" t="s">
        <v>8</v>
      </c>
      <c r="D1386" t="s">
        <v>158</v>
      </c>
      <c r="E1386">
        <v>5</v>
      </c>
      <c r="F1386">
        <v>2021</v>
      </c>
      <c r="G1386" s="1">
        <f>DATE(Table2[[#This Row],[Tahun]],Table2[[#This Row],[Bulan]],1)</f>
        <v>44317</v>
      </c>
      <c r="H1386">
        <v>200</v>
      </c>
    </row>
    <row r="1387" spans="1:8" x14ac:dyDescent="0.25">
      <c r="A1387">
        <v>1386</v>
      </c>
      <c r="B1387" t="str">
        <f>Table2[[#This Row],[Propinsi]]&amp;"_"&amp;Table2[[#This Row],[Dati 2]]&amp;"_"&amp;Table2[[#This Row],[Tanggal]]</f>
        <v>SUMATERA SELATAN_LAHAT_44348</v>
      </c>
      <c r="C1387" t="s">
        <v>8</v>
      </c>
      <c r="D1387" t="s">
        <v>158</v>
      </c>
      <c r="E1387">
        <v>6</v>
      </c>
      <c r="F1387">
        <v>2021</v>
      </c>
      <c r="G1387" s="1">
        <f>DATE(Table2[[#This Row],[Tahun]],Table2[[#This Row],[Bulan]],1)</f>
        <v>44348</v>
      </c>
      <c r="H1387">
        <v>201</v>
      </c>
    </row>
    <row r="1388" spans="1:8" x14ac:dyDescent="0.25">
      <c r="A1388">
        <v>1387</v>
      </c>
      <c r="B1388" t="str">
        <f>Table2[[#This Row],[Propinsi]]&amp;"_"&amp;Table2[[#This Row],[Dati 2]]&amp;"_"&amp;Table2[[#This Row],[Tanggal]]</f>
        <v>SUMATERA SELATAN_LAHAT_44378</v>
      </c>
      <c r="C1388" t="s">
        <v>8</v>
      </c>
      <c r="D1388" t="s">
        <v>158</v>
      </c>
      <c r="E1388">
        <v>7</v>
      </c>
      <c r="F1388">
        <v>2021</v>
      </c>
      <c r="G1388" s="1">
        <f>DATE(Table2[[#This Row],[Tahun]],Table2[[#This Row],[Bulan]],1)</f>
        <v>44378</v>
      </c>
      <c r="H1388">
        <v>207</v>
      </c>
    </row>
    <row r="1389" spans="1:8" x14ac:dyDescent="0.25">
      <c r="A1389">
        <v>1388</v>
      </c>
      <c r="B1389" t="str">
        <f>Table2[[#This Row],[Propinsi]]&amp;"_"&amp;Table2[[#This Row],[Dati 2]]&amp;"_"&amp;Table2[[#This Row],[Tanggal]]</f>
        <v>SUMATERA SELATAN_LAHAT_44409</v>
      </c>
      <c r="C1389" t="s">
        <v>8</v>
      </c>
      <c r="D1389" t="s">
        <v>158</v>
      </c>
      <c r="E1389">
        <v>8</v>
      </c>
      <c r="F1389">
        <v>2021</v>
      </c>
      <c r="G1389" s="1">
        <f>DATE(Table2[[#This Row],[Tahun]],Table2[[#This Row],[Bulan]],1)</f>
        <v>44409</v>
      </c>
      <c r="H1389">
        <v>211</v>
      </c>
    </row>
    <row r="1390" spans="1:8" x14ac:dyDescent="0.25">
      <c r="A1390">
        <v>1389</v>
      </c>
      <c r="B1390" t="str">
        <f>Table2[[#This Row],[Propinsi]]&amp;"_"&amp;Table2[[#This Row],[Dati 2]]&amp;"_"&amp;Table2[[#This Row],[Tanggal]]</f>
        <v>SUMATERA SELATAN_LAHAT_44440</v>
      </c>
      <c r="C1390" t="s">
        <v>8</v>
      </c>
      <c r="D1390" t="s">
        <v>158</v>
      </c>
      <c r="E1390">
        <v>9</v>
      </c>
      <c r="F1390">
        <v>2021</v>
      </c>
      <c r="G1390" s="1">
        <f>DATE(Table2[[#This Row],[Tahun]],Table2[[#This Row],[Bulan]],1)</f>
        <v>44440</v>
      </c>
      <c r="H1390">
        <v>210</v>
      </c>
    </row>
    <row r="1391" spans="1:8" x14ac:dyDescent="0.25">
      <c r="A1391">
        <v>1390</v>
      </c>
      <c r="B1391" t="str">
        <f>Table2[[#This Row],[Propinsi]]&amp;"_"&amp;Table2[[#This Row],[Dati 2]]&amp;"_"&amp;Table2[[#This Row],[Tanggal]]</f>
        <v>SUMATERA SELATAN_LAHAT_44470</v>
      </c>
      <c r="C1391" t="s">
        <v>8</v>
      </c>
      <c r="D1391" t="s">
        <v>158</v>
      </c>
      <c r="E1391">
        <v>10</v>
      </c>
      <c r="F1391">
        <v>2021</v>
      </c>
      <c r="G1391" s="1">
        <f>DATE(Table2[[#This Row],[Tahun]],Table2[[#This Row],[Bulan]],1)</f>
        <v>44470</v>
      </c>
      <c r="H1391">
        <v>216</v>
      </c>
    </row>
    <row r="1392" spans="1:8" x14ac:dyDescent="0.25">
      <c r="A1392">
        <v>1391</v>
      </c>
      <c r="B1392" t="str">
        <f>Table2[[#This Row],[Propinsi]]&amp;"_"&amp;Table2[[#This Row],[Dati 2]]&amp;"_"&amp;Table2[[#This Row],[Tanggal]]</f>
        <v>SUMATERA SELATAN_LAHAT_44501</v>
      </c>
      <c r="C1392" t="s">
        <v>8</v>
      </c>
      <c r="D1392" t="s">
        <v>158</v>
      </c>
      <c r="E1392">
        <v>11</v>
      </c>
      <c r="F1392">
        <v>2021</v>
      </c>
      <c r="G1392" s="1">
        <f>DATE(Table2[[#This Row],[Tahun]],Table2[[#This Row],[Bulan]],1)</f>
        <v>44501</v>
      </c>
      <c r="H1392">
        <v>218</v>
      </c>
    </row>
    <row r="1393" spans="1:8" x14ac:dyDescent="0.25">
      <c r="A1393">
        <v>1392</v>
      </c>
      <c r="B1393" t="str">
        <f>Table2[[#This Row],[Propinsi]]&amp;"_"&amp;Table2[[#This Row],[Dati 2]]&amp;"_"&amp;Table2[[#This Row],[Tanggal]]</f>
        <v>SUMATERA SELATAN_LAHAT_44531</v>
      </c>
      <c r="C1393" t="s">
        <v>8</v>
      </c>
      <c r="D1393" t="s">
        <v>158</v>
      </c>
      <c r="E1393">
        <v>12</v>
      </c>
      <c r="F1393">
        <v>2021</v>
      </c>
      <c r="G1393" s="1">
        <f>DATE(Table2[[#This Row],[Tahun]],Table2[[#This Row],[Bulan]],1)</f>
        <v>44531</v>
      </c>
      <c r="H1393">
        <v>225</v>
      </c>
    </row>
    <row r="1394" spans="1:8" x14ac:dyDescent="0.25">
      <c r="A1394">
        <v>1393</v>
      </c>
      <c r="B1394" t="str">
        <f>Table2[[#This Row],[Propinsi]]&amp;"_"&amp;Table2[[#This Row],[Dati 2]]&amp;"_"&amp;Table2[[#This Row],[Tanggal]]</f>
        <v>SUMATERA SELATAN_EMPAT LAWANG_44197</v>
      </c>
      <c r="C1394" t="s">
        <v>8</v>
      </c>
      <c r="D1394" t="s">
        <v>159</v>
      </c>
      <c r="E1394">
        <v>1</v>
      </c>
      <c r="F1394">
        <v>2021</v>
      </c>
      <c r="G1394" s="1">
        <f>DATE(Table2[[#This Row],[Tahun]],Table2[[#This Row],[Bulan]],1)</f>
        <v>44197</v>
      </c>
      <c r="H1394">
        <v>159</v>
      </c>
    </row>
    <row r="1395" spans="1:8" x14ac:dyDescent="0.25">
      <c r="A1395">
        <v>1394</v>
      </c>
      <c r="B1395" t="str">
        <f>Table2[[#This Row],[Propinsi]]&amp;"_"&amp;Table2[[#This Row],[Dati 2]]&amp;"_"&amp;Table2[[#This Row],[Tanggal]]</f>
        <v>SUMATERA SELATAN_EMPAT LAWANG_44228</v>
      </c>
      <c r="C1395" t="s">
        <v>8</v>
      </c>
      <c r="D1395" t="s">
        <v>159</v>
      </c>
      <c r="E1395">
        <v>2</v>
      </c>
      <c r="F1395">
        <v>2021</v>
      </c>
      <c r="G1395" s="1">
        <f>DATE(Table2[[#This Row],[Tahun]],Table2[[#This Row],[Bulan]],1)</f>
        <v>44228</v>
      </c>
      <c r="H1395">
        <v>163</v>
      </c>
    </row>
    <row r="1396" spans="1:8" x14ac:dyDescent="0.25">
      <c r="A1396">
        <v>1395</v>
      </c>
      <c r="B1396" t="str">
        <f>Table2[[#This Row],[Propinsi]]&amp;"_"&amp;Table2[[#This Row],[Dati 2]]&amp;"_"&amp;Table2[[#This Row],[Tanggal]]</f>
        <v>SUMATERA SELATAN_EMPAT LAWANG_44256</v>
      </c>
      <c r="C1396" t="s">
        <v>8</v>
      </c>
      <c r="D1396" t="s">
        <v>159</v>
      </c>
      <c r="E1396">
        <v>3</v>
      </c>
      <c r="F1396">
        <v>2021</v>
      </c>
      <c r="G1396" s="1">
        <f>DATE(Table2[[#This Row],[Tahun]],Table2[[#This Row],[Bulan]],1)</f>
        <v>44256</v>
      </c>
      <c r="H1396">
        <v>168</v>
      </c>
    </row>
    <row r="1397" spans="1:8" x14ac:dyDescent="0.25">
      <c r="A1397">
        <v>1396</v>
      </c>
      <c r="B1397" t="str">
        <f>Table2[[#This Row],[Propinsi]]&amp;"_"&amp;Table2[[#This Row],[Dati 2]]&amp;"_"&amp;Table2[[#This Row],[Tanggal]]</f>
        <v>SUMATERA SELATAN_EMPAT LAWANG_44287</v>
      </c>
      <c r="C1397" t="s">
        <v>8</v>
      </c>
      <c r="D1397" t="s">
        <v>159</v>
      </c>
      <c r="E1397">
        <v>4</v>
      </c>
      <c r="F1397">
        <v>2021</v>
      </c>
      <c r="G1397" s="1">
        <f>DATE(Table2[[#This Row],[Tahun]],Table2[[#This Row],[Bulan]],1)</f>
        <v>44287</v>
      </c>
      <c r="H1397">
        <v>166</v>
      </c>
    </row>
    <row r="1398" spans="1:8" x14ac:dyDescent="0.25">
      <c r="A1398">
        <v>1397</v>
      </c>
      <c r="B1398" t="str">
        <f>Table2[[#This Row],[Propinsi]]&amp;"_"&amp;Table2[[#This Row],[Dati 2]]&amp;"_"&amp;Table2[[#This Row],[Tanggal]]</f>
        <v>SUMATERA SELATAN_EMPAT LAWANG_44317</v>
      </c>
      <c r="C1398" t="s">
        <v>8</v>
      </c>
      <c r="D1398" t="s">
        <v>159</v>
      </c>
      <c r="E1398">
        <v>5</v>
      </c>
      <c r="F1398">
        <v>2021</v>
      </c>
      <c r="G1398" s="1">
        <f>DATE(Table2[[#This Row],[Tahun]],Table2[[#This Row],[Bulan]],1)</f>
        <v>44317</v>
      </c>
      <c r="H1398">
        <v>168</v>
      </c>
    </row>
    <row r="1399" spans="1:8" x14ac:dyDescent="0.25">
      <c r="A1399">
        <v>1398</v>
      </c>
      <c r="B1399" t="str">
        <f>Table2[[#This Row],[Propinsi]]&amp;"_"&amp;Table2[[#This Row],[Dati 2]]&amp;"_"&amp;Table2[[#This Row],[Tanggal]]</f>
        <v>SUMATERA SELATAN_EMPAT LAWANG_44348</v>
      </c>
      <c r="C1399" t="s">
        <v>8</v>
      </c>
      <c r="D1399" t="s">
        <v>159</v>
      </c>
      <c r="E1399">
        <v>6</v>
      </c>
      <c r="F1399">
        <v>2021</v>
      </c>
      <c r="G1399" s="1">
        <f>DATE(Table2[[#This Row],[Tahun]],Table2[[#This Row],[Bulan]],1)</f>
        <v>44348</v>
      </c>
      <c r="H1399">
        <v>174</v>
      </c>
    </row>
    <row r="1400" spans="1:8" x14ac:dyDescent="0.25">
      <c r="A1400">
        <v>1399</v>
      </c>
      <c r="B1400" t="str">
        <f>Table2[[#This Row],[Propinsi]]&amp;"_"&amp;Table2[[#This Row],[Dati 2]]&amp;"_"&amp;Table2[[#This Row],[Tanggal]]</f>
        <v>SUMATERA SELATAN_EMPAT LAWANG_44378</v>
      </c>
      <c r="C1400" t="s">
        <v>8</v>
      </c>
      <c r="D1400" t="s">
        <v>159</v>
      </c>
      <c r="E1400">
        <v>7</v>
      </c>
      <c r="F1400">
        <v>2021</v>
      </c>
      <c r="G1400" s="1">
        <f>DATE(Table2[[#This Row],[Tahun]],Table2[[#This Row],[Bulan]],1)</f>
        <v>44378</v>
      </c>
      <c r="H1400">
        <v>172</v>
      </c>
    </row>
    <row r="1401" spans="1:8" x14ac:dyDescent="0.25">
      <c r="A1401">
        <v>1400</v>
      </c>
      <c r="B1401" t="str">
        <f>Table2[[#This Row],[Propinsi]]&amp;"_"&amp;Table2[[#This Row],[Dati 2]]&amp;"_"&amp;Table2[[#This Row],[Tanggal]]</f>
        <v>SUMATERA SELATAN_EMPAT LAWANG_44409</v>
      </c>
      <c r="C1401" t="s">
        <v>8</v>
      </c>
      <c r="D1401" t="s">
        <v>159</v>
      </c>
      <c r="E1401">
        <v>8</v>
      </c>
      <c r="F1401">
        <v>2021</v>
      </c>
      <c r="G1401" s="1">
        <f>DATE(Table2[[#This Row],[Tahun]],Table2[[#This Row],[Bulan]],1)</f>
        <v>44409</v>
      </c>
      <c r="H1401">
        <v>173</v>
      </c>
    </row>
    <row r="1402" spans="1:8" x14ac:dyDescent="0.25">
      <c r="A1402">
        <v>1401</v>
      </c>
      <c r="B1402" t="str">
        <f>Table2[[#This Row],[Propinsi]]&amp;"_"&amp;Table2[[#This Row],[Dati 2]]&amp;"_"&amp;Table2[[#This Row],[Tanggal]]</f>
        <v>SUMATERA SELATAN_EMPAT LAWANG_44440</v>
      </c>
      <c r="C1402" t="s">
        <v>8</v>
      </c>
      <c r="D1402" t="s">
        <v>159</v>
      </c>
      <c r="E1402">
        <v>9</v>
      </c>
      <c r="F1402">
        <v>2021</v>
      </c>
      <c r="G1402" s="1">
        <f>DATE(Table2[[#This Row],[Tahun]],Table2[[#This Row],[Bulan]],1)</f>
        <v>44440</v>
      </c>
      <c r="H1402">
        <v>178</v>
      </c>
    </row>
    <row r="1403" spans="1:8" x14ac:dyDescent="0.25">
      <c r="A1403">
        <v>1402</v>
      </c>
      <c r="B1403" t="str">
        <f>Table2[[#This Row],[Propinsi]]&amp;"_"&amp;Table2[[#This Row],[Dati 2]]&amp;"_"&amp;Table2[[#This Row],[Tanggal]]</f>
        <v>SUMATERA SELATAN_EMPAT LAWANG_44470</v>
      </c>
      <c r="C1403" t="s">
        <v>8</v>
      </c>
      <c r="D1403" t="s">
        <v>159</v>
      </c>
      <c r="E1403">
        <v>10</v>
      </c>
      <c r="F1403">
        <v>2021</v>
      </c>
      <c r="G1403" s="1">
        <f>DATE(Table2[[#This Row],[Tahun]],Table2[[#This Row],[Bulan]],1)</f>
        <v>44470</v>
      </c>
      <c r="H1403">
        <v>177</v>
      </c>
    </row>
    <row r="1404" spans="1:8" x14ac:dyDescent="0.25">
      <c r="A1404">
        <v>1403</v>
      </c>
      <c r="B1404" t="str">
        <f>Table2[[#This Row],[Propinsi]]&amp;"_"&amp;Table2[[#This Row],[Dati 2]]&amp;"_"&amp;Table2[[#This Row],[Tanggal]]</f>
        <v>SUMATERA SELATAN_EMPAT LAWANG_44501</v>
      </c>
      <c r="C1404" t="s">
        <v>8</v>
      </c>
      <c r="D1404" t="s">
        <v>159</v>
      </c>
      <c r="E1404">
        <v>11</v>
      </c>
      <c r="F1404">
        <v>2021</v>
      </c>
      <c r="G1404" s="1">
        <f>DATE(Table2[[#This Row],[Tahun]],Table2[[#This Row],[Bulan]],1)</f>
        <v>44501</v>
      </c>
      <c r="H1404">
        <v>177</v>
      </c>
    </row>
    <row r="1405" spans="1:8" x14ac:dyDescent="0.25">
      <c r="A1405">
        <v>1404</v>
      </c>
      <c r="B1405" t="str">
        <f>Table2[[#This Row],[Propinsi]]&amp;"_"&amp;Table2[[#This Row],[Dati 2]]&amp;"_"&amp;Table2[[#This Row],[Tanggal]]</f>
        <v>SUMATERA SELATAN_EMPAT LAWANG_44531</v>
      </c>
      <c r="C1405" t="s">
        <v>8</v>
      </c>
      <c r="D1405" t="s">
        <v>159</v>
      </c>
      <c r="E1405">
        <v>12</v>
      </c>
      <c r="F1405">
        <v>2021</v>
      </c>
      <c r="G1405" s="1">
        <f>DATE(Table2[[#This Row],[Tahun]],Table2[[#This Row],[Bulan]],1)</f>
        <v>44531</v>
      </c>
      <c r="H1405">
        <v>176</v>
      </c>
    </row>
    <row r="1406" spans="1:8" x14ac:dyDescent="0.25">
      <c r="A1406">
        <v>1405</v>
      </c>
      <c r="B1406" t="str">
        <f>Table2[[#This Row],[Propinsi]]&amp;"_"&amp;Table2[[#This Row],[Dati 2]]&amp;"_"&amp;Table2[[#This Row],[Tanggal]]</f>
        <v>SUMATERA SELATAN_PAGAR ALAM_44197</v>
      </c>
      <c r="C1406" t="s">
        <v>8</v>
      </c>
      <c r="D1406" t="s">
        <v>160</v>
      </c>
      <c r="E1406">
        <v>1</v>
      </c>
      <c r="F1406">
        <v>2021</v>
      </c>
      <c r="G1406" s="1">
        <f>DATE(Table2[[#This Row],[Tahun]],Table2[[#This Row],[Bulan]],1)</f>
        <v>44197</v>
      </c>
      <c r="H1406">
        <v>93</v>
      </c>
    </row>
    <row r="1407" spans="1:8" x14ac:dyDescent="0.25">
      <c r="A1407">
        <v>1406</v>
      </c>
      <c r="B1407" t="str">
        <f>Table2[[#This Row],[Propinsi]]&amp;"_"&amp;Table2[[#This Row],[Dati 2]]&amp;"_"&amp;Table2[[#This Row],[Tanggal]]</f>
        <v>SUMATERA SELATAN_PAGAR ALAM_44228</v>
      </c>
      <c r="C1407" t="s">
        <v>8</v>
      </c>
      <c r="D1407" t="s">
        <v>160</v>
      </c>
      <c r="E1407">
        <v>2</v>
      </c>
      <c r="F1407">
        <v>2021</v>
      </c>
      <c r="G1407" s="1">
        <f>DATE(Table2[[#This Row],[Tahun]],Table2[[#This Row],[Bulan]],1)</f>
        <v>44228</v>
      </c>
      <c r="H1407">
        <v>99</v>
      </c>
    </row>
    <row r="1408" spans="1:8" x14ac:dyDescent="0.25">
      <c r="A1408">
        <v>1407</v>
      </c>
      <c r="B1408" t="str">
        <f>Table2[[#This Row],[Propinsi]]&amp;"_"&amp;Table2[[#This Row],[Dati 2]]&amp;"_"&amp;Table2[[#This Row],[Tanggal]]</f>
        <v>SUMATERA SELATAN_PAGAR ALAM_44256</v>
      </c>
      <c r="C1408" t="s">
        <v>8</v>
      </c>
      <c r="D1408" t="s">
        <v>160</v>
      </c>
      <c r="E1408">
        <v>3</v>
      </c>
      <c r="F1408">
        <v>2021</v>
      </c>
      <c r="G1408" s="1">
        <f>DATE(Table2[[#This Row],[Tahun]],Table2[[#This Row],[Bulan]],1)</f>
        <v>44256</v>
      </c>
      <c r="H1408">
        <v>99</v>
      </c>
    </row>
    <row r="1409" spans="1:8" x14ac:dyDescent="0.25">
      <c r="A1409">
        <v>1408</v>
      </c>
      <c r="B1409" t="str">
        <f>Table2[[#This Row],[Propinsi]]&amp;"_"&amp;Table2[[#This Row],[Dati 2]]&amp;"_"&amp;Table2[[#This Row],[Tanggal]]</f>
        <v>SUMATERA SELATAN_PAGAR ALAM_44287</v>
      </c>
      <c r="C1409" t="s">
        <v>8</v>
      </c>
      <c r="D1409" t="s">
        <v>160</v>
      </c>
      <c r="E1409">
        <v>4</v>
      </c>
      <c r="F1409">
        <v>2021</v>
      </c>
      <c r="G1409" s="1">
        <f>DATE(Table2[[#This Row],[Tahun]],Table2[[#This Row],[Bulan]],1)</f>
        <v>44287</v>
      </c>
      <c r="H1409">
        <v>97</v>
      </c>
    </row>
    <row r="1410" spans="1:8" x14ac:dyDescent="0.25">
      <c r="A1410">
        <v>1409</v>
      </c>
      <c r="B1410" t="str">
        <f>Table2[[#This Row],[Propinsi]]&amp;"_"&amp;Table2[[#This Row],[Dati 2]]&amp;"_"&amp;Table2[[#This Row],[Tanggal]]</f>
        <v>SUMATERA SELATAN_PAGAR ALAM_44317</v>
      </c>
      <c r="C1410" t="s">
        <v>8</v>
      </c>
      <c r="D1410" t="s">
        <v>160</v>
      </c>
      <c r="E1410">
        <v>5</v>
      </c>
      <c r="F1410">
        <v>2021</v>
      </c>
      <c r="G1410" s="1">
        <f>DATE(Table2[[#This Row],[Tahun]],Table2[[#This Row],[Bulan]],1)</f>
        <v>44317</v>
      </c>
      <c r="H1410">
        <v>100</v>
      </c>
    </row>
    <row r="1411" spans="1:8" x14ac:dyDescent="0.25">
      <c r="A1411">
        <v>1410</v>
      </c>
      <c r="B1411" t="str">
        <f>Table2[[#This Row],[Propinsi]]&amp;"_"&amp;Table2[[#This Row],[Dati 2]]&amp;"_"&amp;Table2[[#This Row],[Tanggal]]</f>
        <v>SUMATERA SELATAN_PAGAR ALAM_44348</v>
      </c>
      <c r="C1411" t="s">
        <v>8</v>
      </c>
      <c r="D1411" t="s">
        <v>160</v>
      </c>
      <c r="E1411">
        <v>6</v>
      </c>
      <c r="F1411">
        <v>2021</v>
      </c>
      <c r="G1411" s="1">
        <f>DATE(Table2[[#This Row],[Tahun]],Table2[[#This Row],[Bulan]],1)</f>
        <v>44348</v>
      </c>
      <c r="H1411">
        <v>101</v>
      </c>
    </row>
    <row r="1412" spans="1:8" x14ac:dyDescent="0.25">
      <c r="A1412">
        <v>1411</v>
      </c>
      <c r="B1412" t="str">
        <f>Table2[[#This Row],[Propinsi]]&amp;"_"&amp;Table2[[#This Row],[Dati 2]]&amp;"_"&amp;Table2[[#This Row],[Tanggal]]</f>
        <v>SUMATERA SELATAN_PAGAR ALAM_44378</v>
      </c>
      <c r="C1412" t="s">
        <v>8</v>
      </c>
      <c r="D1412" t="s">
        <v>160</v>
      </c>
      <c r="E1412">
        <v>7</v>
      </c>
      <c r="F1412">
        <v>2021</v>
      </c>
      <c r="G1412" s="1">
        <f>DATE(Table2[[#This Row],[Tahun]],Table2[[#This Row],[Bulan]],1)</f>
        <v>44378</v>
      </c>
      <c r="H1412">
        <v>105</v>
      </c>
    </row>
    <row r="1413" spans="1:8" x14ac:dyDescent="0.25">
      <c r="A1413">
        <v>1412</v>
      </c>
      <c r="B1413" t="str">
        <f>Table2[[#This Row],[Propinsi]]&amp;"_"&amp;Table2[[#This Row],[Dati 2]]&amp;"_"&amp;Table2[[#This Row],[Tanggal]]</f>
        <v>SUMATERA SELATAN_PAGAR ALAM_44409</v>
      </c>
      <c r="C1413" t="s">
        <v>8</v>
      </c>
      <c r="D1413" t="s">
        <v>160</v>
      </c>
      <c r="E1413">
        <v>8</v>
      </c>
      <c r="F1413">
        <v>2021</v>
      </c>
      <c r="G1413" s="1">
        <f>DATE(Table2[[#This Row],[Tahun]],Table2[[#This Row],[Bulan]],1)</f>
        <v>44409</v>
      </c>
      <c r="H1413">
        <v>108</v>
      </c>
    </row>
    <row r="1414" spans="1:8" x14ac:dyDescent="0.25">
      <c r="A1414">
        <v>1413</v>
      </c>
      <c r="B1414" t="str">
        <f>Table2[[#This Row],[Propinsi]]&amp;"_"&amp;Table2[[#This Row],[Dati 2]]&amp;"_"&amp;Table2[[#This Row],[Tanggal]]</f>
        <v>SUMATERA SELATAN_PAGAR ALAM_44440</v>
      </c>
      <c r="C1414" t="s">
        <v>8</v>
      </c>
      <c r="D1414" t="s">
        <v>160</v>
      </c>
      <c r="E1414">
        <v>9</v>
      </c>
      <c r="F1414">
        <v>2021</v>
      </c>
      <c r="G1414" s="1">
        <f>DATE(Table2[[#This Row],[Tahun]],Table2[[#This Row],[Bulan]],1)</f>
        <v>44440</v>
      </c>
      <c r="H1414">
        <v>110</v>
      </c>
    </row>
    <row r="1415" spans="1:8" x14ac:dyDescent="0.25">
      <c r="A1415">
        <v>1414</v>
      </c>
      <c r="B1415" t="str">
        <f>Table2[[#This Row],[Propinsi]]&amp;"_"&amp;Table2[[#This Row],[Dati 2]]&amp;"_"&amp;Table2[[#This Row],[Tanggal]]</f>
        <v>SUMATERA SELATAN_PAGAR ALAM_44470</v>
      </c>
      <c r="C1415" t="s">
        <v>8</v>
      </c>
      <c r="D1415" t="s">
        <v>160</v>
      </c>
      <c r="E1415">
        <v>10</v>
      </c>
      <c r="F1415">
        <v>2021</v>
      </c>
      <c r="G1415" s="1">
        <f>DATE(Table2[[#This Row],[Tahun]],Table2[[#This Row],[Bulan]],1)</f>
        <v>44470</v>
      </c>
      <c r="H1415">
        <v>112</v>
      </c>
    </row>
    <row r="1416" spans="1:8" x14ac:dyDescent="0.25">
      <c r="A1416">
        <v>1415</v>
      </c>
      <c r="B1416" t="str">
        <f>Table2[[#This Row],[Propinsi]]&amp;"_"&amp;Table2[[#This Row],[Dati 2]]&amp;"_"&amp;Table2[[#This Row],[Tanggal]]</f>
        <v>SUMATERA SELATAN_PAGAR ALAM_44501</v>
      </c>
      <c r="C1416" t="s">
        <v>8</v>
      </c>
      <c r="D1416" t="s">
        <v>160</v>
      </c>
      <c r="E1416">
        <v>11</v>
      </c>
      <c r="F1416">
        <v>2021</v>
      </c>
      <c r="G1416" s="1">
        <f>DATE(Table2[[#This Row],[Tahun]],Table2[[#This Row],[Bulan]],1)</f>
        <v>44501</v>
      </c>
      <c r="H1416">
        <v>111</v>
      </c>
    </row>
    <row r="1417" spans="1:8" x14ac:dyDescent="0.25">
      <c r="A1417">
        <v>1416</v>
      </c>
      <c r="B1417" t="str">
        <f>Table2[[#This Row],[Propinsi]]&amp;"_"&amp;Table2[[#This Row],[Dati 2]]&amp;"_"&amp;Table2[[#This Row],[Tanggal]]</f>
        <v>SUMATERA SELATAN_PAGAR ALAM_44531</v>
      </c>
      <c r="C1417" t="s">
        <v>8</v>
      </c>
      <c r="D1417" t="s">
        <v>160</v>
      </c>
      <c r="E1417">
        <v>12</v>
      </c>
      <c r="F1417">
        <v>2021</v>
      </c>
      <c r="G1417" s="1">
        <f>DATE(Table2[[#This Row],[Tahun]],Table2[[#This Row],[Bulan]],1)</f>
        <v>44531</v>
      </c>
      <c r="H1417">
        <v>115</v>
      </c>
    </row>
    <row r="1418" spans="1:8" x14ac:dyDescent="0.25">
      <c r="A1418">
        <v>1417</v>
      </c>
      <c r="B1418" t="str">
        <f>Table2[[#This Row],[Propinsi]]&amp;"_"&amp;Table2[[#This Row],[Dati 2]]&amp;"_"&amp;Table2[[#This Row],[Tanggal]]</f>
        <v>SUMATERA SELATAN_LUBUKLINGGAU_44197</v>
      </c>
      <c r="C1418" t="s">
        <v>8</v>
      </c>
      <c r="D1418" t="s">
        <v>161</v>
      </c>
      <c r="E1418">
        <v>1</v>
      </c>
      <c r="F1418">
        <v>2021</v>
      </c>
      <c r="G1418" s="1">
        <f>DATE(Table2[[#This Row],[Tahun]],Table2[[#This Row],[Bulan]],1)</f>
        <v>44197</v>
      </c>
      <c r="H1418">
        <v>167</v>
      </c>
    </row>
    <row r="1419" spans="1:8" x14ac:dyDescent="0.25">
      <c r="A1419">
        <v>1418</v>
      </c>
      <c r="B1419" t="str">
        <f>Table2[[#This Row],[Propinsi]]&amp;"_"&amp;Table2[[#This Row],[Dati 2]]&amp;"_"&amp;Table2[[#This Row],[Tanggal]]</f>
        <v>SUMATERA SELATAN_LUBUKLINGGAU_44228</v>
      </c>
      <c r="C1419" t="s">
        <v>8</v>
      </c>
      <c r="D1419" t="s">
        <v>161</v>
      </c>
      <c r="E1419">
        <v>2</v>
      </c>
      <c r="F1419">
        <v>2021</v>
      </c>
      <c r="G1419" s="1">
        <f>DATE(Table2[[#This Row],[Tahun]],Table2[[#This Row],[Bulan]],1)</f>
        <v>44228</v>
      </c>
      <c r="H1419">
        <v>172</v>
      </c>
    </row>
    <row r="1420" spans="1:8" x14ac:dyDescent="0.25">
      <c r="A1420">
        <v>1419</v>
      </c>
      <c r="B1420" t="str">
        <f>Table2[[#This Row],[Propinsi]]&amp;"_"&amp;Table2[[#This Row],[Dati 2]]&amp;"_"&amp;Table2[[#This Row],[Tanggal]]</f>
        <v>SUMATERA SELATAN_LUBUKLINGGAU_44256</v>
      </c>
      <c r="C1420" t="s">
        <v>8</v>
      </c>
      <c r="D1420" t="s">
        <v>161</v>
      </c>
      <c r="E1420">
        <v>3</v>
      </c>
      <c r="F1420">
        <v>2021</v>
      </c>
      <c r="G1420" s="1">
        <f>DATE(Table2[[#This Row],[Tahun]],Table2[[#This Row],[Bulan]],1)</f>
        <v>44256</v>
      </c>
      <c r="H1420">
        <v>176</v>
      </c>
    </row>
    <row r="1421" spans="1:8" x14ac:dyDescent="0.25">
      <c r="A1421">
        <v>1420</v>
      </c>
      <c r="B1421" t="str">
        <f>Table2[[#This Row],[Propinsi]]&amp;"_"&amp;Table2[[#This Row],[Dati 2]]&amp;"_"&amp;Table2[[#This Row],[Tanggal]]</f>
        <v>SUMATERA SELATAN_LUBUKLINGGAU_44287</v>
      </c>
      <c r="C1421" t="s">
        <v>8</v>
      </c>
      <c r="D1421" t="s">
        <v>161</v>
      </c>
      <c r="E1421">
        <v>4</v>
      </c>
      <c r="F1421">
        <v>2021</v>
      </c>
      <c r="G1421" s="1">
        <f>DATE(Table2[[#This Row],[Tahun]],Table2[[#This Row],[Bulan]],1)</f>
        <v>44287</v>
      </c>
      <c r="H1421">
        <v>175</v>
      </c>
    </row>
    <row r="1422" spans="1:8" x14ac:dyDescent="0.25">
      <c r="A1422">
        <v>1421</v>
      </c>
      <c r="B1422" t="str">
        <f>Table2[[#This Row],[Propinsi]]&amp;"_"&amp;Table2[[#This Row],[Dati 2]]&amp;"_"&amp;Table2[[#This Row],[Tanggal]]</f>
        <v>SUMATERA SELATAN_LUBUKLINGGAU_44317</v>
      </c>
      <c r="C1422" t="s">
        <v>8</v>
      </c>
      <c r="D1422" t="s">
        <v>161</v>
      </c>
      <c r="E1422">
        <v>5</v>
      </c>
      <c r="F1422">
        <v>2021</v>
      </c>
      <c r="G1422" s="1">
        <f>DATE(Table2[[#This Row],[Tahun]],Table2[[#This Row],[Bulan]],1)</f>
        <v>44317</v>
      </c>
      <c r="H1422">
        <v>176</v>
      </c>
    </row>
    <row r="1423" spans="1:8" x14ac:dyDescent="0.25">
      <c r="A1423">
        <v>1422</v>
      </c>
      <c r="B1423" t="str">
        <f>Table2[[#This Row],[Propinsi]]&amp;"_"&amp;Table2[[#This Row],[Dati 2]]&amp;"_"&amp;Table2[[#This Row],[Tanggal]]</f>
        <v>SUMATERA SELATAN_LUBUKLINGGAU_44348</v>
      </c>
      <c r="C1423" t="s">
        <v>8</v>
      </c>
      <c r="D1423" t="s">
        <v>161</v>
      </c>
      <c r="E1423">
        <v>6</v>
      </c>
      <c r="F1423">
        <v>2021</v>
      </c>
      <c r="G1423" s="1">
        <f>DATE(Table2[[#This Row],[Tahun]],Table2[[#This Row],[Bulan]],1)</f>
        <v>44348</v>
      </c>
      <c r="H1423">
        <v>177</v>
      </c>
    </row>
    <row r="1424" spans="1:8" x14ac:dyDescent="0.25">
      <c r="A1424">
        <v>1423</v>
      </c>
      <c r="B1424" t="str">
        <f>Table2[[#This Row],[Propinsi]]&amp;"_"&amp;Table2[[#This Row],[Dati 2]]&amp;"_"&amp;Table2[[#This Row],[Tanggal]]</f>
        <v>SUMATERA SELATAN_LUBUKLINGGAU_44378</v>
      </c>
      <c r="C1424" t="s">
        <v>8</v>
      </c>
      <c r="D1424" t="s">
        <v>161</v>
      </c>
      <c r="E1424">
        <v>7</v>
      </c>
      <c r="F1424">
        <v>2021</v>
      </c>
      <c r="G1424" s="1">
        <f>DATE(Table2[[#This Row],[Tahun]],Table2[[#This Row],[Bulan]],1)</f>
        <v>44378</v>
      </c>
      <c r="H1424">
        <v>182</v>
      </c>
    </row>
    <row r="1425" spans="1:8" x14ac:dyDescent="0.25">
      <c r="A1425">
        <v>1424</v>
      </c>
      <c r="B1425" t="str">
        <f>Table2[[#This Row],[Propinsi]]&amp;"_"&amp;Table2[[#This Row],[Dati 2]]&amp;"_"&amp;Table2[[#This Row],[Tanggal]]</f>
        <v>SUMATERA SELATAN_LUBUKLINGGAU_44409</v>
      </c>
      <c r="C1425" t="s">
        <v>8</v>
      </c>
      <c r="D1425" t="s">
        <v>161</v>
      </c>
      <c r="E1425">
        <v>8</v>
      </c>
      <c r="F1425">
        <v>2021</v>
      </c>
      <c r="G1425" s="1">
        <f>DATE(Table2[[#This Row],[Tahun]],Table2[[#This Row],[Bulan]],1)</f>
        <v>44409</v>
      </c>
      <c r="H1425">
        <v>181</v>
      </c>
    </row>
    <row r="1426" spans="1:8" x14ac:dyDescent="0.25">
      <c r="A1426">
        <v>1425</v>
      </c>
      <c r="B1426" t="str">
        <f>Table2[[#This Row],[Propinsi]]&amp;"_"&amp;Table2[[#This Row],[Dati 2]]&amp;"_"&amp;Table2[[#This Row],[Tanggal]]</f>
        <v>SUMATERA SELATAN_LUBUKLINGGAU_44440</v>
      </c>
      <c r="C1426" t="s">
        <v>8</v>
      </c>
      <c r="D1426" t="s">
        <v>161</v>
      </c>
      <c r="E1426">
        <v>9</v>
      </c>
      <c r="F1426">
        <v>2021</v>
      </c>
      <c r="G1426" s="1">
        <f>DATE(Table2[[#This Row],[Tahun]],Table2[[#This Row],[Bulan]],1)</f>
        <v>44440</v>
      </c>
      <c r="H1426">
        <v>180</v>
      </c>
    </row>
    <row r="1427" spans="1:8" x14ac:dyDescent="0.25">
      <c r="A1427">
        <v>1426</v>
      </c>
      <c r="B1427" t="str">
        <f>Table2[[#This Row],[Propinsi]]&amp;"_"&amp;Table2[[#This Row],[Dati 2]]&amp;"_"&amp;Table2[[#This Row],[Tanggal]]</f>
        <v>SUMATERA SELATAN_LUBUKLINGGAU_44470</v>
      </c>
      <c r="C1427" t="s">
        <v>8</v>
      </c>
      <c r="D1427" t="s">
        <v>161</v>
      </c>
      <c r="E1427">
        <v>10</v>
      </c>
      <c r="F1427">
        <v>2021</v>
      </c>
      <c r="G1427" s="1">
        <f>DATE(Table2[[#This Row],[Tahun]],Table2[[#This Row],[Bulan]],1)</f>
        <v>44470</v>
      </c>
      <c r="H1427">
        <v>183</v>
      </c>
    </row>
    <row r="1428" spans="1:8" x14ac:dyDescent="0.25">
      <c r="A1428">
        <v>1427</v>
      </c>
      <c r="B1428" t="str">
        <f>Table2[[#This Row],[Propinsi]]&amp;"_"&amp;Table2[[#This Row],[Dati 2]]&amp;"_"&amp;Table2[[#This Row],[Tanggal]]</f>
        <v>SUMATERA SELATAN_LUBUKLINGGAU_44501</v>
      </c>
      <c r="C1428" t="s">
        <v>8</v>
      </c>
      <c r="D1428" t="s">
        <v>161</v>
      </c>
      <c r="E1428">
        <v>11</v>
      </c>
      <c r="F1428">
        <v>2021</v>
      </c>
      <c r="G1428" s="1">
        <f>DATE(Table2[[#This Row],[Tahun]],Table2[[#This Row],[Bulan]],1)</f>
        <v>44501</v>
      </c>
      <c r="H1428">
        <v>188</v>
      </c>
    </row>
    <row r="1429" spans="1:8" x14ac:dyDescent="0.25">
      <c r="A1429">
        <v>1428</v>
      </c>
      <c r="B1429" t="str">
        <f>Table2[[#This Row],[Propinsi]]&amp;"_"&amp;Table2[[#This Row],[Dati 2]]&amp;"_"&amp;Table2[[#This Row],[Tanggal]]</f>
        <v>SUMATERA SELATAN_LUBUKLINGGAU_44531</v>
      </c>
      <c r="C1429" t="s">
        <v>8</v>
      </c>
      <c r="D1429" t="s">
        <v>161</v>
      </c>
      <c r="E1429">
        <v>12</v>
      </c>
      <c r="F1429">
        <v>2021</v>
      </c>
      <c r="G1429" s="1">
        <f>DATE(Table2[[#This Row],[Tahun]],Table2[[#This Row],[Bulan]],1)</f>
        <v>44531</v>
      </c>
      <c r="H1429">
        <v>193</v>
      </c>
    </row>
    <row r="1430" spans="1:8" x14ac:dyDescent="0.25">
      <c r="A1430">
        <v>1429</v>
      </c>
      <c r="B1430" t="str">
        <f>Table2[[#This Row],[Propinsi]]&amp;"_"&amp;Table2[[#This Row],[Dati 2]]&amp;"_"&amp;Table2[[#This Row],[Tanggal]]</f>
        <v>SUMATERA SELATAN_OGAN KOMERING ULU_44197</v>
      </c>
      <c r="C1430" t="s">
        <v>8</v>
      </c>
      <c r="D1430" t="s">
        <v>162</v>
      </c>
      <c r="E1430">
        <v>1</v>
      </c>
      <c r="F1430">
        <v>2021</v>
      </c>
      <c r="G1430" s="1">
        <f>DATE(Table2[[#This Row],[Tahun]],Table2[[#This Row],[Bulan]],1)</f>
        <v>44197</v>
      </c>
      <c r="H1430">
        <v>112</v>
      </c>
    </row>
    <row r="1431" spans="1:8" x14ac:dyDescent="0.25">
      <c r="A1431">
        <v>1430</v>
      </c>
      <c r="B1431" t="str">
        <f>Table2[[#This Row],[Propinsi]]&amp;"_"&amp;Table2[[#This Row],[Dati 2]]&amp;"_"&amp;Table2[[#This Row],[Tanggal]]</f>
        <v>SUMATERA SELATAN_OGAN KOMERING ULU_44228</v>
      </c>
      <c r="C1431" t="s">
        <v>8</v>
      </c>
      <c r="D1431" t="s">
        <v>162</v>
      </c>
      <c r="E1431">
        <v>2</v>
      </c>
      <c r="F1431">
        <v>2021</v>
      </c>
      <c r="G1431" s="1">
        <f>DATE(Table2[[#This Row],[Tahun]],Table2[[#This Row],[Bulan]],1)</f>
        <v>44228</v>
      </c>
      <c r="H1431">
        <v>112</v>
      </c>
    </row>
    <row r="1432" spans="1:8" x14ac:dyDescent="0.25">
      <c r="A1432">
        <v>1431</v>
      </c>
      <c r="B1432" t="str">
        <f>Table2[[#This Row],[Propinsi]]&amp;"_"&amp;Table2[[#This Row],[Dati 2]]&amp;"_"&amp;Table2[[#This Row],[Tanggal]]</f>
        <v>SUMATERA SELATAN_OGAN KOMERING ULU_44256</v>
      </c>
      <c r="C1432" t="s">
        <v>8</v>
      </c>
      <c r="D1432" t="s">
        <v>162</v>
      </c>
      <c r="E1432">
        <v>3</v>
      </c>
      <c r="F1432">
        <v>2021</v>
      </c>
      <c r="G1432" s="1">
        <f>DATE(Table2[[#This Row],[Tahun]],Table2[[#This Row],[Bulan]],1)</f>
        <v>44256</v>
      </c>
      <c r="H1432">
        <v>115</v>
      </c>
    </row>
    <row r="1433" spans="1:8" x14ac:dyDescent="0.25">
      <c r="A1433">
        <v>1432</v>
      </c>
      <c r="B1433" t="str">
        <f>Table2[[#This Row],[Propinsi]]&amp;"_"&amp;Table2[[#This Row],[Dati 2]]&amp;"_"&amp;Table2[[#This Row],[Tanggal]]</f>
        <v>SUMATERA SELATAN_OGAN KOMERING ULU_44287</v>
      </c>
      <c r="C1433" t="s">
        <v>8</v>
      </c>
      <c r="D1433" t="s">
        <v>162</v>
      </c>
      <c r="E1433">
        <v>4</v>
      </c>
      <c r="F1433">
        <v>2021</v>
      </c>
      <c r="G1433" s="1">
        <f>DATE(Table2[[#This Row],[Tahun]],Table2[[#This Row],[Bulan]],1)</f>
        <v>44287</v>
      </c>
      <c r="H1433">
        <v>114</v>
      </c>
    </row>
    <row r="1434" spans="1:8" x14ac:dyDescent="0.25">
      <c r="A1434">
        <v>1433</v>
      </c>
      <c r="B1434" t="str">
        <f>Table2[[#This Row],[Propinsi]]&amp;"_"&amp;Table2[[#This Row],[Dati 2]]&amp;"_"&amp;Table2[[#This Row],[Tanggal]]</f>
        <v>SUMATERA SELATAN_OGAN KOMERING ULU_44317</v>
      </c>
      <c r="C1434" t="s">
        <v>8</v>
      </c>
      <c r="D1434" t="s">
        <v>162</v>
      </c>
      <c r="E1434">
        <v>5</v>
      </c>
      <c r="F1434">
        <v>2021</v>
      </c>
      <c r="G1434" s="1">
        <f>DATE(Table2[[#This Row],[Tahun]],Table2[[#This Row],[Bulan]],1)</f>
        <v>44317</v>
      </c>
      <c r="H1434">
        <v>118</v>
      </c>
    </row>
    <row r="1435" spans="1:8" x14ac:dyDescent="0.25">
      <c r="A1435">
        <v>1434</v>
      </c>
      <c r="B1435" t="str">
        <f>Table2[[#This Row],[Propinsi]]&amp;"_"&amp;Table2[[#This Row],[Dati 2]]&amp;"_"&amp;Table2[[#This Row],[Tanggal]]</f>
        <v>SUMATERA SELATAN_OGAN KOMERING ULU_44348</v>
      </c>
      <c r="C1435" t="s">
        <v>8</v>
      </c>
      <c r="D1435" t="s">
        <v>162</v>
      </c>
      <c r="E1435">
        <v>6</v>
      </c>
      <c r="F1435">
        <v>2021</v>
      </c>
      <c r="G1435" s="1">
        <f>DATE(Table2[[#This Row],[Tahun]],Table2[[#This Row],[Bulan]],1)</f>
        <v>44348</v>
      </c>
      <c r="H1435">
        <v>116</v>
      </c>
    </row>
    <row r="1436" spans="1:8" x14ac:dyDescent="0.25">
      <c r="A1436">
        <v>1435</v>
      </c>
      <c r="B1436" t="str">
        <f>Table2[[#This Row],[Propinsi]]&amp;"_"&amp;Table2[[#This Row],[Dati 2]]&amp;"_"&amp;Table2[[#This Row],[Tanggal]]</f>
        <v>SUMATERA SELATAN_OGAN KOMERING ULU_44378</v>
      </c>
      <c r="C1436" t="s">
        <v>8</v>
      </c>
      <c r="D1436" t="s">
        <v>162</v>
      </c>
      <c r="E1436">
        <v>7</v>
      </c>
      <c r="F1436">
        <v>2021</v>
      </c>
      <c r="G1436" s="1">
        <f>DATE(Table2[[#This Row],[Tahun]],Table2[[#This Row],[Bulan]],1)</f>
        <v>44378</v>
      </c>
      <c r="H1436">
        <v>118</v>
      </c>
    </row>
    <row r="1437" spans="1:8" x14ac:dyDescent="0.25">
      <c r="A1437">
        <v>1436</v>
      </c>
      <c r="B1437" t="str">
        <f>Table2[[#This Row],[Propinsi]]&amp;"_"&amp;Table2[[#This Row],[Dati 2]]&amp;"_"&amp;Table2[[#This Row],[Tanggal]]</f>
        <v>SUMATERA SELATAN_OGAN KOMERING ULU_44409</v>
      </c>
      <c r="C1437" t="s">
        <v>8</v>
      </c>
      <c r="D1437" t="s">
        <v>162</v>
      </c>
      <c r="E1437">
        <v>8</v>
      </c>
      <c r="F1437">
        <v>2021</v>
      </c>
      <c r="G1437" s="1">
        <f>DATE(Table2[[#This Row],[Tahun]],Table2[[#This Row],[Bulan]],1)</f>
        <v>44409</v>
      </c>
      <c r="H1437">
        <v>122</v>
      </c>
    </row>
    <row r="1438" spans="1:8" x14ac:dyDescent="0.25">
      <c r="A1438">
        <v>1437</v>
      </c>
      <c r="B1438" t="str">
        <f>Table2[[#This Row],[Propinsi]]&amp;"_"&amp;Table2[[#This Row],[Dati 2]]&amp;"_"&amp;Table2[[#This Row],[Tanggal]]</f>
        <v>SUMATERA SELATAN_OGAN KOMERING ULU_44440</v>
      </c>
      <c r="C1438" t="s">
        <v>8</v>
      </c>
      <c r="D1438" t="s">
        <v>162</v>
      </c>
      <c r="E1438">
        <v>9</v>
      </c>
      <c r="F1438">
        <v>2021</v>
      </c>
      <c r="G1438" s="1">
        <f>DATE(Table2[[#This Row],[Tahun]],Table2[[#This Row],[Bulan]],1)</f>
        <v>44440</v>
      </c>
      <c r="H1438">
        <v>123</v>
      </c>
    </row>
    <row r="1439" spans="1:8" x14ac:dyDescent="0.25">
      <c r="A1439">
        <v>1438</v>
      </c>
      <c r="B1439" t="str">
        <f>Table2[[#This Row],[Propinsi]]&amp;"_"&amp;Table2[[#This Row],[Dati 2]]&amp;"_"&amp;Table2[[#This Row],[Tanggal]]</f>
        <v>SUMATERA SELATAN_OGAN KOMERING ULU_44470</v>
      </c>
      <c r="C1439" t="s">
        <v>8</v>
      </c>
      <c r="D1439" t="s">
        <v>162</v>
      </c>
      <c r="E1439">
        <v>10</v>
      </c>
      <c r="F1439">
        <v>2021</v>
      </c>
      <c r="G1439" s="1">
        <f>DATE(Table2[[#This Row],[Tahun]],Table2[[#This Row],[Bulan]],1)</f>
        <v>44470</v>
      </c>
      <c r="H1439">
        <v>128</v>
      </c>
    </row>
    <row r="1440" spans="1:8" x14ac:dyDescent="0.25">
      <c r="A1440">
        <v>1439</v>
      </c>
      <c r="B1440" t="str">
        <f>Table2[[#This Row],[Propinsi]]&amp;"_"&amp;Table2[[#This Row],[Dati 2]]&amp;"_"&amp;Table2[[#This Row],[Tanggal]]</f>
        <v>SUMATERA SELATAN_OGAN KOMERING ULU_44501</v>
      </c>
      <c r="C1440" t="s">
        <v>8</v>
      </c>
      <c r="D1440" t="s">
        <v>162</v>
      </c>
      <c r="E1440">
        <v>11</v>
      </c>
      <c r="F1440">
        <v>2021</v>
      </c>
      <c r="G1440" s="1">
        <f>DATE(Table2[[#This Row],[Tahun]],Table2[[#This Row],[Bulan]],1)</f>
        <v>44501</v>
      </c>
      <c r="H1440">
        <v>131</v>
      </c>
    </row>
    <row r="1441" spans="1:8" x14ac:dyDescent="0.25">
      <c r="A1441">
        <v>1440</v>
      </c>
      <c r="B1441" t="str">
        <f>Table2[[#This Row],[Propinsi]]&amp;"_"&amp;Table2[[#This Row],[Dati 2]]&amp;"_"&amp;Table2[[#This Row],[Tanggal]]</f>
        <v>SUMATERA SELATAN_OGAN KOMERING ULU_44531</v>
      </c>
      <c r="C1441" t="s">
        <v>8</v>
      </c>
      <c r="D1441" t="s">
        <v>162</v>
      </c>
      <c r="E1441">
        <v>12</v>
      </c>
      <c r="F1441">
        <v>2021</v>
      </c>
      <c r="G1441" s="1">
        <f>DATE(Table2[[#This Row],[Tahun]],Table2[[#This Row],[Bulan]],1)</f>
        <v>44531</v>
      </c>
      <c r="H1441">
        <v>135</v>
      </c>
    </row>
    <row r="1442" spans="1:8" x14ac:dyDescent="0.25">
      <c r="A1442">
        <v>1441</v>
      </c>
      <c r="B1442" t="str">
        <f>Table2[[#This Row],[Propinsi]]&amp;"_"&amp;Table2[[#This Row],[Dati 2]]&amp;"_"&amp;Table2[[#This Row],[Tanggal]]</f>
        <v>SUMATERA SELATAN_OGAN KOMERING ULU TIMUR_44197</v>
      </c>
      <c r="C1442" t="s">
        <v>8</v>
      </c>
      <c r="D1442" t="s">
        <v>163</v>
      </c>
      <c r="E1442">
        <v>1</v>
      </c>
      <c r="F1442">
        <v>2021</v>
      </c>
      <c r="G1442" s="1">
        <f>DATE(Table2[[#This Row],[Tahun]],Table2[[#This Row],[Bulan]],1)</f>
        <v>44197</v>
      </c>
      <c r="H1442">
        <v>257</v>
      </c>
    </row>
    <row r="1443" spans="1:8" x14ac:dyDescent="0.25">
      <c r="A1443">
        <v>1442</v>
      </c>
      <c r="B1443" t="str">
        <f>Table2[[#This Row],[Propinsi]]&amp;"_"&amp;Table2[[#This Row],[Dati 2]]&amp;"_"&amp;Table2[[#This Row],[Tanggal]]</f>
        <v>SUMATERA SELATAN_OGAN KOMERING ULU TIMUR_44228</v>
      </c>
      <c r="C1443" t="s">
        <v>8</v>
      </c>
      <c r="D1443" t="s">
        <v>163</v>
      </c>
      <c r="E1443">
        <v>2</v>
      </c>
      <c r="F1443">
        <v>2021</v>
      </c>
      <c r="G1443" s="1">
        <f>DATE(Table2[[#This Row],[Tahun]],Table2[[#This Row],[Bulan]],1)</f>
        <v>44228</v>
      </c>
      <c r="H1443">
        <v>260</v>
      </c>
    </row>
    <row r="1444" spans="1:8" x14ac:dyDescent="0.25">
      <c r="A1444">
        <v>1443</v>
      </c>
      <c r="B1444" t="str">
        <f>Table2[[#This Row],[Propinsi]]&amp;"_"&amp;Table2[[#This Row],[Dati 2]]&amp;"_"&amp;Table2[[#This Row],[Tanggal]]</f>
        <v>SUMATERA SELATAN_OGAN KOMERING ULU TIMUR_44256</v>
      </c>
      <c r="C1444" t="s">
        <v>8</v>
      </c>
      <c r="D1444" t="s">
        <v>163</v>
      </c>
      <c r="E1444">
        <v>3</v>
      </c>
      <c r="F1444">
        <v>2021</v>
      </c>
      <c r="G1444" s="1">
        <f>DATE(Table2[[#This Row],[Tahun]],Table2[[#This Row],[Bulan]],1)</f>
        <v>44256</v>
      </c>
      <c r="H1444">
        <v>266</v>
      </c>
    </row>
    <row r="1445" spans="1:8" x14ac:dyDescent="0.25">
      <c r="A1445">
        <v>1444</v>
      </c>
      <c r="B1445" t="str">
        <f>Table2[[#This Row],[Propinsi]]&amp;"_"&amp;Table2[[#This Row],[Dati 2]]&amp;"_"&amp;Table2[[#This Row],[Tanggal]]</f>
        <v>SUMATERA SELATAN_OGAN KOMERING ULU TIMUR_44287</v>
      </c>
      <c r="C1445" t="s">
        <v>8</v>
      </c>
      <c r="D1445" t="s">
        <v>163</v>
      </c>
      <c r="E1445">
        <v>4</v>
      </c>
      <c r="F1445">
        <v>2021</v>
      </c>
      <c r="G1445" s="1">
        <f>DATE(Table2[[#This Row],[Tahun]],Table2[[#This Row],[Bulan]],1)</f>
        <v>44287</v>
      </c>
      <c r="H1445">
        <v>265</v>
      </c>
    </row>
    <row r="1446" spans="1:8" x14ac:dyDescent="0.25">
      <c r="A1446">
        <v>1445</v>
      </c>
      <c r="B1446" t="str">
        <f>Table2[[#This Row],[Propinsi]]&amp;"_"&amp;Table2[[#This Row],[Dati 2]]&amp;"_"&amp;Table2[[#This Row],[Tanggal]]</f>
        <v>SUMATERA SELATAN_OGAN KOMERING ULU TIMUR_44317</v>
      </c>
      <c r="C1446" t="s">
        <v>8</v>
      </c>
      <c r="D1446" t="s">
        <v>163</v>
      </c>
      <c r="E1446">
        <v>5</v>
      </c>
      <c r="F1446">
        <v>2021</v>
      </c>
      <c r="G1446" s="1">
        <f>DATE(Table2[[#This Row],[Tahun]],Table2[[#This Row],[Bulan]],1)</f>
        <v>44317</v>
      </c>
      <c r="H1446">
        <v>269</v>
      </c>
    </row>
    <row r="1447" spans="1:8" x14ac:dyDescent="0.25">
      <c r="A1447">
        <v>1446</v>
      </c>
      <c r="B1447" t="str">
        <f>Table2[[#This Row],[Propinsi]]&amp;"_"&amp;Table2[[#This Row],[Dati 2]]&amp;"_"&amp;Table2[[#This Row],[Tanggal]]</f>
        <v>SUMATERA SELATAN_OGAN KOMERING ULU TIMUR_44348</v>
      </c>
      <c r="C1447" t="s">
        <v>8</v>
      </c>
      <c r="D1447" t="s">
        <v>163</v>
      </c>
      <c r="E1447">
        <v>6</v>
      </c>
      <c r="F1447">
        <v>2021</v>
      </c>
      <c r="G1447" s="1">
        <f>DATE(Table2[[#This Row],[Tahun]],Table2[[#This Row],[Bulan]],1)</f>
        <v>44348</v>
      </c>
      <c r="H1447">
        <v>275</v>
      </c>
    </row>
    <row r="1448" spans="1:8" x14ac:dyDescent="0.25">
      <c r="A1448">
        <v>1447</v>
      </c>
      <c r="B1448" t="str">
        <f>Table2[[#This Row],[Propinsi]]&amp;"_"&amp;Table2[[#This Row],[Dati 2]]&amp;"_"&amp;Table2[[#This Row],[Tanggal]]</f>
        <v>SUMATERA SELATAN_OGAN KOMERING ULU TIMUR_44378</v>
      </c>
      <c r="C1448" t="s">
        <v>8</v>
      </c>
      <c r="D1448" t="s">
        <v>163</v>
      </c>
      <c r="E1448">
        <v>7</v>
      </c>
      <c r="F1448">
        <v>2021</v>
      </c>
      <c r="G1448" s="1">
        <f>DATE(Table2[[#This Row],[Tahun]],Table2[[#This Row],[Bulan]],1)</f>
        <v>44378</v>
      </c>
      <c r="H1448">
        <v>278</v>
      </c>
    </row>
    <row r="1449" spans="1:8" x14ac:dyDescent="0.25">
      <c r="A1449">
        <v>1448</v>
      </c>
      <c r="B1449" t="str">
        <f>Table2[[#This Row],[Propinsi]]&amp;"_"&amp;Table2[[#This Row],[Dati 2]]&amp;"_"&amp;Table2[[#This Row],[Tanggal]]</f>
        <v>SUMATERA SELATAN_OGAN KOMERING ULU TIMUR_44409</v>
      </c>
      <c r="C1449" t="s">
        <v>8</v>
      </c>
      <c r="D1449" t="s">
        <v>163</v>
      </c>
      <c r="E1449">
        <v>8</v>
      </c>
      <c r="F1449">
        <v>2021</v>
      </c>
      <c r="G1449" s="1">
        <f>DATE(Table2[[#This Row],[Tahun]],Table2[[#This Row],[Bulan]],1)</f>
        <v>44409</v>
      </c>
      <c r="H1449">
        <v>277</v>
      </c>
    </row>
    <row r="1450" spans="1:8" x14ac:dyDescent="0.25">
      <c r="A1450">
        <v>1449</v>
      </c>
      <c r="B1450" t="str">
        <f>Table2[[#This Row],[Propinsi]]&amp;"_"&amp;Table2[[#This Row],[Dati 2]]&amp;"_"&amp;Table2[[#This Row],[Tanggal]]</f>
        <v>SUMATERA SELATAN_OGAN KOMERING ULU TIMUR_44440</v>
      </c>
      <c r="C1450" t="s">
        <v>8</v>
      </c>
      <c r="D1450" t="s">
        <v>163</v>
      </c>
      <c r="E1450">
        <v>9</v>
      </c>
      <c r="F1450">
        <v>2021</v>
      </c>
      <c r="G1450" s="1">
        <f>DATE(Table2[[#This Row],[Tahun]],Table2[[#This Row],[Bulan]],1)</f>
        <v>44440</v>
      </c>
      <c r="H1450">
        <v>283</v>
      </c>
    </row>
    <row r="1451" spans="1:8" x14ac:dyDescent="0.25">
      <c r="A1451">
        <v>1450</v>
      </c>
      <c r="B1451" t="str">
        <f>Table2[[#This Row],[Propinsi]]&amp;"_"&amp;Table2[[#This Row],[Dati 2]]&amp;"_"&amp;Table2[[#This Row],[Tanggal]]</f>
        <v>SUMATERA SELATAN_OGAN KOMERING ULU TIMUR_44470</v>
      </c>
      <c r="C1451" t="s">
        <v>8</v>
      </c>
      <c r="D1451" t="s">
        <v>163</v>
      </c>
      <c r="E1451">
        <v>10</v>
      </c>
      <c r="F1451">
        <v>2021</v>
      </c>
      <c r="G1451" s="1">
        <f>DATE(Table2[[#This Row],[Tahun]],Table2[[#This Row],[Bulan]],1)</f>
        <v>44470</v>
      </c>
      <c r="H1451">
        <v>289</v>
      </c>
    </row>
    <row r="1452" spans="1:8" x14ac:dyDescent="0.25">
      <c r="A1452">
        <v>1451</v>
      </c>
      <c r="B1452" t="str">
        <f>Table2[[#This Row],[Propinsi]]&amp;"_"&amp;Table2[[#This Row],[Dati 2]]&amp;"_"&amp;Table2[[#This Row],[Tanggal]]</f>
        <v>SUMATERA SELATAN_OGAN KOMERING ULU TIMUR_44501</v>
      </c>
      <c r="C1452" t="s">
        <v>8</v>
      </c>
      <c r="D1452" t="s">
        <v>163</v>
      </c>
      <c r="E1452">
        <v>11</v>
      </c>
      <c r="F1452">
        <v>2021</v>
      </c>
      <c r="G1452" s="1">
        <f>DATE(Table2[[#This Row],[Tahun]],Table2[[#This Row],[Bulan]],1)</f>
        <v>44501</v>
      </c>
      <c r="H1452">
        <v>292</v>
      </c>
    </row>
    <row r="1453" spans="1:8" x14ac:dyDescent="0.25">
      <c r="A1453">
        <v>1452</v>
      </c>
      <c r="B1453" t="str">
        <f>Table2[[#This Row],[Propinsi]]&amp;"_"&amp;Table2[[#This Row],[Dati 2]]&amp;"_"&amp;Table2[[#This Row],[Tanggal]]</f>
        <v>SUMATERA SELATAN_OGAN KOMERING ULU TIMUR_44531</v>
      </c>
      <c r="C1453" t="s">
        <v>8</v>
      </c>
      <c r="D1453" t="s">
        <v>163</v>
      </c>
      <c r="E1453">
        <v>12</v>
      </c>
      <c r="F1453">
        <v>2021</v>
      </c>
      <c r="G1453" s="1">
        <f>DATE(Table2[[#This Row],[Tahun]],Table2[[#This Row],[Bulan]],1)</f>
        <v>44531</v>
      </c>
      <c r="H1453">
        <v>293</v>
      </c>
    </row>
    <row r="1454" spans="1:8" x14ac:dyDescent="0.25">
      <c r="A1454">
        <v>1453</v>
      </c>
      <c r="B1454" t="str">
        <f>Table2[[#This Row],[Propinsi]]&amp;"_"&amp;Table2[[#This Row],[Dati 2]]&amp;"_"&amp;Table2[[#This Row],[Tanggal]]</f>
        <v>SUMATERA SELATAN_OGAN KOMERING ULU SELATAN_44197</v>
      </c>
      <c r="C1454" t="s">
        <v>8</v>
      </c>
      <c r="D1454" t="s">
        <v>164</v>
      </c>
      <c r="E1454">
        <v>1</v>
      </c>
      <c r="F1454">
        <v>2021</v>
      </c>
      <c r="G1454" s="1">
        <f>DATE(Table2[[#This Row],[Tahun]],Table2[[#This Row],[Bulan]],1)</f>
        <v>44197</v>
      </c>
      <c r="H1454">
        <v>256</v>
      </c>
    </row>
    <row r="1455" spans="1:8" x14ac:dyDescent="0.25">
      <c r="A1455">
        <v>1454</v>
      </c>
      <c r="B1455" t="str">
        <f>Table2[[#This Row],[Propinsi]]&amp;"_"&amp;Table2[[#This Row],[Dati 2]]&amp;"_"&amp;Table2[[#This Row],[Tanggal]]</f>
        <v>SUMATERA SELATAN_OGAN KOMERING ULU SELATAN_44228</v>
      </c>
      <c r="C1455" t="s">
        <v>8</v>
      </c>
      <c r="D1455" t="s">
        <v>164</v>
      </c>
      <c r="E1455">
        <v>2</v>
      </c>
      <c r="F1455">
        <v>2021</v>
      </c>
      <c r="G1455" s="1">
        <f>DATE(Table2[[#This Row],[Tahun]],Table2[[#This Row],[Bulan]],1)</f>
        <v>44228</v>
      </c>
      <c r="H1455">
        <v>256</v>
      </c>
    </row>
    <row r="1456" spans="1:8" x14ac:dyDescent="0.25">
      <c r="A1456">
        <v>1455</v>
      </c>
      <c r="B1456" t="str">
        <f>Table2[[#This Row],[Propinsi]]&amp;"_"&amp;Table2[[#This Row],[Dati 2]]&amp;"_"&amp;Table2[[#This Row],[Tanggal]]</f>
        <v>SUMATERA SELATAN_OGAN KOMERING ULU SELATAN_44256</v>
      </c>
      <c r="C1456" t="s">
        <v>8</v>
      </c>
      <c r="D1456" t="s">
        <v>164</v>
      </c>
      <c r="E1456">
        <v>3</v>
      </c>
      <c r="F1456">
        <v>2021</v>
      </c>
      <c r="G1456" s="1">
        <f>DATE(Table2[[#This Row],[Tahun]],Table2[[#This Row],[Bulan]],1)</f>
        <v>44256</v>
      </c>
      <c r="H1456">
        <v>255</v>
      </c>
    </row>
    <row r="1457" spans="1:8" x14ac:dyDescent="0.25">
      <c r="A1457">
        <v>1456</v>
      </c>
      <c r="B1457" t="str">
        <f>Table2[[#This Row],[Propinsi]]&amp;"_"&amp;Table2[[#This Row],[Dati 2]]&amp;"_"&amp;Table2[[#This Row],[Tanggal]]</f>
        <v>SUMATERA SELATAN_OGAN KOMERING ULU SELATAN_44287</v>
      </c>
      <c r="C1457" t="s">
        <v>8</v>
      </c>
      <c r="D1457" t="s">
        <v>164</v>
      </c>
      <c r="E1457">
        <v>4</v>
      </c>
      <c r="F1457">
        <v>2021</v>
      </c>
      <c r="G1457" s="1">
        <f>DATE(Table2[[#This Row],[Tahun]],Table2[[#This Row],[Bulan]],1)</f>
        <v>44287</v>
      </c>
      <c r="H1457">
        <v>255</v>
      </c>
    </row>
    <row r="1458" spans="1:8" x14ac:dyDescent="0.25">
      <c r="A1458">
        <v>1457</v>
      </c>
      <c r="B1458" t="str">
        <f>Table2[[#This Row],[Propinsi]]&amp;"_"&amp;Table2[[#This Row],[Dati 2]]&amp;"_"&amp;Table2[[#This Row],[Tanggal]]</f>
        <v>SUMATERA SELATAN_OGAN KOMERING ULU SELATAN_44317</v>
      </c>
      <c r="C1458" t="s">
        <v>8</v>
      </c>
      <c r="D1458" t="s">
        <v>164</v>
      </c>
      <c r="E1458">
        <v>5</v>
      </c>
      <c r="F1458">
        <v>2021</v>
      </c>
      <c r="G1458" s="1">
        <f>DATE(Table2[[#This Row],[Tahun]],Table2[[#This Row],[Bulan]],1)</f>
        <v>44317</v>
      </c>
      <c r="H1458">
        <v>260</v>
      </c>
    </row>
    <row r="1459" spans="1:8" x14ac:dyDescent="0.25">
      <c r="A1459">
        <v>1458</v>
      </c>
      <c r="B1459" t="str">
        <f>Table2[[#This Row],[Propinsi]]&amp;"_"&amp;Table2[[#This Row],[Dati 2]]&amp;"_"&amp;Table2[[#This Row],[Tanggal]]</f>
        <v>SUMATERA SELATAN_OGAN KOMERING ULU SELATAN_44348</v>
      </c>
      <c r="C1459" t="s">
        <v>8</v>
      </c>
      <c r="D1459" t="s">
        <v>164</v>
      </c>
      <c r="E1459">
        <v>6</v>
      </c>
      <c r="F1459">
        <v>2021</v>
      </c>
      <c r="G1459" s="1">
        <f>DATE(Table2[[#This Row],[Tahun]],Table2[[#This Row],[Bulan]],1)</f>
        <v>44348</v>
      </c>
      <c r="H1459">
        <v>262</v>
      </c>
    </row>
    <row r="1460" spans="1:8" x14ac:dyDescent="0.25">
      <c r="A1460">
        <v>1459</v>
      </c>
      <c r="B1460" t="str">
        <f>Table2[[#This Row],[Propinsi]]&amp;"_"&amp;Table2[[#This Row],[Dati 2]]&amp;"_"&amp;Table2[[#This Row],[Tanggal]]</f>
        <v>SUMATERA SELATAN_OGAN KOMERING ULU SELATAN_44378</v>
      </c>
      <c r="C1460" t="s">
        <v>8</v>
      </c>
      <c r="D1460" t="s">
        <v>164</v>
      </c>
      <c r="E1460">
        <v>7</v>
      </c>
      <c r="F1460">
        <v>2021</v>
      </c>
      <c r="G1460" s="1">
        <f>DATE(Table2[[#This Row],[Tahun]],Table2[[#This Row],[Bulan]],1)</f>
        <v>44378</v>
      </c>
      <c r="H1460">
        <v>266</v>
      </c>
    </row>
    <row r="1461" spans="1:8" x14ac:dyDescent="0.25">
      <c r="A1461">
        <v>1460</v>
      </c>
      <c r="B1461" t="str">
        <f>Table2[[#This Row],[Propinsi]]&amp;"_"&amp;Table2[[#This Row],[Dati 2]]&amp;"_"&amp;Table2[[#This Row],[Tanggal]]</f>
        <v>SUMATERA SELATAN_OGAN KOMERING ULU SELATAN_44409</v>
      </c>
      <c r="C1461" t="s">
        <v>8</v>
      </c>
      <c r="D1461" t="s">
        <v>164</v>
      </c>
      <c r="E1461">
        <v>8</v>
      </c>
      <c r="F1461">
        <v>2021</v>
      </c>
      <c r="G1461" s="1">
        <f>DATE(Table2[[#This Row],[Tahun]],Table2[[#This Row],[Bulan]],1)</f>
        <v>44409</v>
      </c>
      <c r="H1461">
        <v>265</v>
      </c>
    </row>
    <row r="1462" spans="1:8" x14ac:dyDescent="0.25">
      <c r="A1462">
        <v>1461</v>
      </c>
      <c r="B1462" t="str">
        <f>Table2[[#This Row],[Propinsi]]&amp;"_"&amp;Table2[[#This Row],[Dati 2]]&amp;"_"&amp;Table2[[#This Row],[Tanggal]]</f>
        <v>SUMATERA SELATAN_OGAN KOMERING ULU SELATAN_44440</v>
      </c>
      <c r="C1462" t="s">
        <v>8</v>
      </c>
      <c r="D1462" t="s">
        <v>164</v>
      </c>
      <c r="E1462">
        <v>9</v>
      </c>
      <c r="F1462">
        <v>2021</v>
      </c>
      <c r="G1462" s="1">
        <f>DATE(Table2[[#This Row],[Tahun]],Table2[[#This Row],[Bulan]],1)</f>
        <v>44440</v>
      </c>
      <c r="H1462">
        <v>264</v>
      </c>
    </row>
    <row r="1463" spans="1:8" x14ac:dyDescent="0.25">
      <c r="A1463">
        <v>1462</v>
      </c>
      <c r="B1463" t="str">
        <f>Table2[[#This Row],[Propinsi]]&amp;"_"&amp;Table2[[#This Row],[Dati 2]]&amp;"_"&amp;Table2[[#This Row],[Tanggal]]</f>
        <v>SUMATERA SELATAN_OGAN KOMERING ULU SELATAN_44470</v>
      </c>
      <c r="C1463" t="s">
        <v>8</v>
      </c>
      <c r="D1463" t="s">
        <v>164</v>
      </c>
      <c r="E1463">
        <v>10</v>
      </c>
      <c r="F1463">
        <v>2021</v>
      </c>
      <c r="G1463" s="1">
        <f>DATE(Table2[[#This Row],[Tahun]],Table2[[#This Row],[Bulan]],1)</f>
        <v>44470</v>
      </c>
      <c r="H1463">
        <v>268</v>
      </c>
    </row>
    <row r="1464" spans="1:8" x14ac:dyDescent="0.25">
      <c r="A1464">
        <v>1463</v>
      </c>
      <c r="B1464" t="str">
        <f>Table2[[#This Row],[Propinsi]]&amp;"_"&amp;Table2[[#This Row],[Dati 2]]&amp;"_"&amp;Table2[[#This Row],[Tanggal]]</f>
        <v>SUMATERA SELATAN_OGAN KOMERING ULU SELATAN_44501</v>
      </c>
      <c r="C1464" t="s">
        <v>8</v>
      </c>
      <c r="D1464" t="s">
        <v>164</v>
      </c>
      <c r="E1464">
        <v>11</v>
      </c>
      <c r="F1464">
        <v>2021</v>
      </c>
      <c r="G1464" s="1">
        <f>DATE(Table2[[#This Row],[Tahun]],Table2[[#This Row],[Bulan]],1)</f>
        <v>44501</v>
      </c>
      <c r="H1464">
        <v>269</v>
      </c>
    </row>
    <row r="1465" spans="1:8" x14ac:dyDescent="0.25">
      <c r="A1465">
        <v>1464</v>
      </c>
      <c r="B1465" t="str">
        <f>Table2[[#This Row],[Propinsi]]&amp;"_"&amp;Table2[[#This Row],[Dati 2]]&amp;"_"&amp;Table2[[#This Row],[Tanggal]]</f>
        <v>SUMATERA SELATAN_OGAN KOMERING ULU SELATAN_44531</v>
      </c>
      <c r="C1465" t="s">
        <v>8</v>
      </c>
      <c r="D1465" t="s">
        <v>164</v>
      </c>
      <c r="E1465">
        <v>12</v>
      </c>
      <c r="F1465">
        <v>2021</v>
      </c>
      <c r="G1465" s="1">
        <f>DATE(Table2[[#This Row],[Tahun]],Table2[[#This Row],[Bulan]],1)</f>
        <v>44531</v>
      </c>
      <c r="H1465">
        <v>273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C158-C480-4D31-BA2A-EC0C216BF83B}">
  <dimension ref="A1:N205"/>
  <sheetViews>
    <sheetView topLeftCell="A15" zoomScale="85" zoomScaleNormal="85" workbookViewId="0">
      <selection activeCell="J84" sqref="J84"/>
    </sheetView>
  </sheetViews>
  <sheetFormatPr defaultRowHeight="15" x14ac:dyDescent="0.25"/>
  <cols>
    <col min="1" max="1" width="22.28515625" bestFit="1" customWidth="1"/>
    <col min="2" max="2" width="18.5703125" bestFit="1" customWidth="1"/>
    <col min="3" max="8" width="16.28515625" bestFit="1" customWidth="1"/>
    <col min="9" max="9" width="19.28515625" bestFit="1" customWidth="1"/>
    <col min="10" max="10" width="30.5703125" style="3" bestFit="1" customWidth="1"/>
    <col min="11" max="12" width="16.28515625" bestFit="1" customWidth="1"/>
    <col min="13" max="14" width="11.28515625" bestFit="1" customWidth="1"/>
    <col min="17" max="17" width="12.140625" customWidth="1"/>
  </cols>
  <sheetData>
    <row r="1" spans="1:10" x14ac:dyDescent="0.25">
      <c r="A1" s="10" t="s">
        <v>12</v>
      </c>
      <c r="B1" t="s">
        <v>15</v>
      </c>
      <c r="I1" s="10" t="s">
        <v>12</v>
      </c>
      <c r="J1" s="4" t="s">
        <v>15</v>
      </c>
    </row>
    <row r="2" spans="1:10" x14ac:dyDescent="0.25">
      <c r="A2" s="11" t="s">
        <v>2</v>
      </c>
      <c r="B2" s="4">
        <v>3.0652007323607146E-2</v>
      </c>
      <c r="I2" s="11" t="s">
        <v>2</v>
      </c>
      <c r="J2" s="4">
        <v>3.0652007323607146E-2</v>
      </c>
    </row>
    <row r="3" spans="1:10" x14ac:dyDescent="0.25">
      <c r="A3" s="11" t="s">
        <v>3</v>
      </c>
      <c r="B3" s="4">
        <v>8.095434031057662E-2</v>
      </c>
      <c r="I3" s="11" t="s">
        <v>3</v>
      </c>
      <c r="J3" s="4">
        <v>8.095434031057662E-2</v>
      </c>
    </row>
    <row r="4" spans="1:10" x14ac:dyDescent="0.25">
      <c r="A4" s="11" t="s">
        <v>4</v>
      </c>
      <c r="B4" s="4">
        <v>2.9613761137203633E-2</v>
      </c>
      <c r="I4" s="11" t="s">
        <v>4</v>
      </c>
      <c r="J4" s="4">
        <v>2.9613761137203633E-2</v>
      </c>
    </row>
    <row r="5" spans="1:10" x14ac:dyDescent="0.25">
      <c r="A5" s="11" t="s">
        <v>5</v>
      </c>
      <c r="B5" s="4">
        <v>5.4463008523677553E-2</v>
      </c>
      <c r="I5" s="11" t="s">
        <v>5</v>
      </c>
      <c r="J5" s="4">
        <v>5.4463008523677553E-2</v>
      </c>
    </row>
    <row r="6" spans="1:10" x14ac:dyDescent="0.25">
      <c r="A6" s="11" t="s">
        <v>6</v>
      </c>
      <c r="B6" s="4">
        <v>4.3279738465089583E-2</v>
      </c>
      <c r="I6" s="11" t="s">
        <v>6</v>
      </c>
      <c r="J6" s="4">
        <v>4.3279738465089583E-2</v>
      </c>
    </row>
    <row r="7" spans="1:10" x14ac:dyDescent="0.25">
      <c r="A7" s="11" t="s">
        <v>7</v>
      </c>
      <c r="B7" s="4">
        <v>5.3868002282297517E-2</v>
      </c>
      <c r="I7" s="11" t="s">
        <v>7</v>
      </c>
      <c r="J7" s="4">
        <v>5.3868002282297517E-2</v>
      </c>
    </row>
    <row r="8" spans="1:10" x14ac:dyDescent="0.25">
      <c r="A8" s="11" t="s">
        <v>8</v>
      </c>
      <c r="B8" s="4">
        <v>6.3572504012789563E-2</v>
      </c>
      <c r="I8" s="11" t="s">
        <v>8</v>
      </c>
      <c r="J8" s="4">
        <v>6.3572504012789563E-2</v>
      </c>
    </row>
    <row r="9" spans="1:10" x14ac:dyDescent="0.25">
      <c r="A9" s="11" t="s">
        <v>9</v>
      </c>
      <c r="B9" s="4">
        <v>4.957881130921362E-2</v>
      </c>
      <c r="I9" s="11" t="s">
        <v>9</v>
      </c>
      <c r="J9" s="4">
        <v>4.957881130921362E-2</v>
      </c>
    </row>
    <row r="15" spans="1:10" x14ac:dyDescent="0.25">
      <c r="A15" s="10" t="s">
        <v>12</v>
      </c>
      <c r="B15" t="s">
        <v>15</v>
      </c>
      <c r="I15" s="10" t="s">
        <v>12</v>
      </c>
      <c r="J15" t="s">
        <v>15</v>
      </c>
    </row>
    <row r="16" spans="1:10" x14ac:dyDescent="0.25">
      <c r="A16" s="11" t="s">
        <v>2</v>
      </c>
      <c r="B16" s="4">
        <v>3.0652007323607146E-2</v>
      </c>
      <c r="I16" s="11" t="s">
        <v>2</v>
      </c>
      <c r="J16" s="4">
        <v>3.0652007323607146E-2</v>
      </c>
    </row>
    <row r="17" spans="1:14" x14ac:dyDescent="0.25">
      <c r="A17" s="11" t="s">
        <v>3</v>
      </c>
      <c r="B17" s="4">
        <v>8.095434031057662E-2</v>
      </c>
      <c r="I17" s="11" t="s">
        <v>3</v>
      </c>
      <c r="J17" s="4">
        <v>8.095434031057662E-2</v>
      </c>
    </row>
    <row r="18" spans="1:14" x14ac:dyDescent="0.25">
      <c r="A18" s="11" t="s">
        <v>4</v>
      </c>
      <c r="B18" s="4">
        <v>2.9613761137203633E-2</v>
      </c>
      <c r="I18" s="11" t="s">
        <v>4</v>
      </c>
      <c r="J18" s="4">
        <v>2.9613761137203633E-2</v>
      </c>
    </row>
    <row r="19" spans="1:14" x14ac:dyDescent="0.25">
      <c r="A19" s="11" t="s">
        <v>5</v>
      </c>
      <c r="B19" s="4">
        <v>5.4463008523677553E-2</v>
      </c>
      <c r="I19" s="11" t="s">
        <v>5</v>
      </c>
      <c r="J19" s="4">
        <v>5.4463008523677553E-2</v>
      </c>
    </row>
    <row r="20" spans="1:14" x14ac:dyDescent="0.25">
      <c r="A20" s="11" t="s">
        <v>6</v>
      </c>
      <c r="B20" s="4">
        <v>4.3279738465089583E-2</v>
      </c>
      <c r="I20" s="11" t="s">
        <v>6</v>
      </c>
      <c r="J20" s="4">
        <v>4.3279738465089583E-2</v>
      </c>
    </row>
    <row r="21" spans="1:14" x14ac:dyDescent="0.25">
      <c r="A21" s="11" t="s">
        <v>7</v>
      </c>
      <c r="B21" s="4">
        <v>5.3868002282297517E-2</v>
      </c>
      <c r="I21" s="11" t="s">
        <v>7</v>
      </c>
      <c r="J21" s="4">
        <v>5.3868002282297517E-2</v>
      </c>
    </row>
    <row r="22" spans="1:14" x14ac:dyDescent="0.25">
      <c r="A22" s="11" t="s">
        <v>8</v>
      </c>
      <c r="B22" s="4">
        <v>6.3572504012789563E-2</v>
      </c>
      <c r="I22" s="11" t="s">
        <v>8</v>
      </c>
      <c r="J22" s="4">
        <v>6.3572504012789563E-2</v>
      </c>
    </row>
    <row r="23" spans="1:14" x14ac:dyDescent="0.25">
      <c r="A23" s="11" t="s">
        <v>9</v>
      </c>
      <c r="B23" s="4">
        <v>4.957881130921362E-2</v>
      </c>
      <c r="I23" s="11" t="s">
        <v>9</v>
      </c>
      <c r="J23" s="4">
        <v>4.957881130921362E-2</v>
      </c>
    </row>
    <row r="30" spans="1:14" x14ac:dyDescent="0.25">
      <c r="A30" s="10" t="s">
        <v>168</v>
      </c>
      <c r="B30" s="10" t="s">
        <v>11</v>
      </c>
    </row>
    <row r="31" spans="1:14" x14ac:dyDescent="0.25">
      <c r="A31" s="10" t="s">
        <v>12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s="3" t="s">
        <v>24</v>
      </c>
      <c r="K31" t="s">
        <v>25</v>
      </c>
      <c r="L31" t="s">
        <v>26</v>
      </c>
      <c r="M31" t="s">
        <v>27</v>
      </c>
      <c r="N31" t="s">
        <v>9</v>
      </c>
    </row>
    <row r="32" spans="1:14" x14ac:dyDescent="0.25">
      <c r="A32" s="11" t="s">
        <v>2</v>
      </c>
      <c r="B32">
        <v>3890</v>
      </c>
      <c r="C32">
        <v>4320</v>
      </c>
      <c r="D32">
        <v>4279</v>
      </c>
      <c r="E32">
        <v>4136</v>
      </c>
      <c r="F32">
        <v>4337</v>
      </c>
      <c r="G32">
        <v>4400</v>
      </c>
      <c r="H32">
        <v>4141</v>
      </c>
      <c r="I32">
        <v>4166</v>
      </c>
      <c r="J32" s="3">
        <v>3798</v>
      </c>
      <c r="K32">
        <v>3940</v>
      </c>
      <c r="L32">
        <v>3790</v>
      </c>
      <c r="M32">
        <v>3677</v>
      </c>
      <c r="N32">
        <v>48874</v>
      </c>
    </row>
    <row r="33" spans="1:14" x14ac:dyDescent="0.25">
      <c r="A33" s="11" t="s">
        <v>3</v>
      </c>
      <c r="B33">
        <v>4460</v>
      </c>
      <c r="C33">
        <v>4703</v>
      </c>
      <c r="D33">
        <v>5043</v>
      </c>
      <c r="E33">
        <v>4692</v>
      </c>
      <c r="F33">
        <v>4879</v>
      </c>
      <c r="G33">
        <v>4779</v>
      </c>
      <c r="H33">
        <v>4944</v>
      </c>
      <c r="I33">
        <v>4778</v>
      </c>
      <c r="J33" s="3">
        <v>4814</v>
      </c>
      <c r="K33">
        <v>5079</v>
      </c>
      <c r="L33">
        <v>4964</v>
      </c>
      <c r="M33">
        <v>4740</v>
      </c>
      <c r="N33">
        <v>57875</v>
      </c>
    </row>
    <row r="34" spans="1:14" x14ac:dyDescent="0.25">
      <c r="A34" s="11" t="s">
        <v>4</v>
      </c>
      <c r="B34">
        <v>16173</v>
      </c>
      <c r="C34">
        <v>17740</v>
      </c>
      <c r="D34">
        <v>17724</v>
      </c>
      <c r="E34">
        <v>17283</v>
      </c>
      <c r="F34">
        <v>18190</v>
      </c>
      <c r="G34">
        <v>17933</v>
      </c>
      <c r="H34">
        <v>17990</v>
      </c>
      <c r="I34">
        <v>17700</v>
      </c>
      <c r="J34" s="3">
        <v>17434</v>
      </c>
      <c r="K34">
        <v>17698</v>
      </c>
      <c r="L34">
        <v>17948</v>
      </c>
      <c r="M34">
        <v>17572</v>
      </c>
      <c r="N34">
        <v>211385</v>
      </c>
    </row>
    <row r="35" spans="1:14" x14ac:dyDescent="0.25">
      <c r="A35" s="11" t="s">
        <v>5</v>
      </c>
      <c r="B35">
        <v>20240</v>
      </c>
      <c r="C35">
        <v>21960</v>
      </c>
      <c r="D35">
        <v>22503</v>
      </c>
      <c r="E35">
        <v>21803</v>
      </c>
      <c r="F35">
        <v>21900</v>
      </c>
      <c r="G35">
        <v>22089</v>
      </c>
      <c r="H35">
        <v>22177</v>
      </c>
      <c r="I35">
        <v>22340</v>
      </c>
      <c r="J35" s="3">
        <v>22104</v>
      </c>
      <c r="K35">
        <v>21932</v>
      </c>
      <c r="L35">
        <v>22093</v>
      </c>
      <c r="M35">
        <v>21836</v>
      </c>
      <c r="N35">
        <v>262977</v>
      </c>
    </row>
    <row r="36" spans="1:14" x14ac:dyDescent="0.25">
      <c r="A36" s="11" t="s">
        <v>6</v>
      </c>
      <c r="B36">
        <v>10217</v>
      </c>
      <c r="C36">
        <v>11083</v>
      </c>
      <c r="D36">
        <v>10951</v>
      </c>
      <c r="E36">
        <v>11212</v>
      </c>
      <c r="F36">
        <v>11325</v>
      </c>
      <c r="G36">
        <v>10672</v>
      </c>
      <c r="H36">
        <v>11582</v>
      </c>
      <c r="I36">
        <v>11032</v>
      </c>
      <c r="J36" s="3">
        <v>10970</v>
      </c>
      <c r="K36">
        <v>11260</v>
      </c>
      <c r="L36">
        <v>11184</v>
      </c>
      <c r="M36">
        <v>11400</v>
      </c>
      <c r="N36">
        <v>132888</v>
      </c>
    </row>
    <row r="37" spans="1:14" x14ac:dyDescent="0.25">
      <c r="A37" s="11" t="s">
        <v>7</v>
      </c>
      <c r="B37">
        <v>5205</v>
      </c>
      <c r="C37">
        <v>5622</v>
      </c>
      <c r="D37">
        <v>5446</v>
      </c>
      <c r="E37">
        <v>5578</v>
      </c>
      <c r="F37">
        <v>5746</v>
      </c>
      <c r="G37">
        <v>5602</v>
      </c>
      <c r="H37">
        <v>5620</v>
      </c>
      <c r="I37">
        <v>5692</v>
      </c>
      <c r="J37" s="3">
        <v>5530</v>
      </c>
      <c r="K37">
        <v>5498</v>
      </c>
      <c r="L37">
        <v>5540</v>
      </c>
      <c r="M37">
        <v>5493</v>
      </c>
      <c r="N37">
        <v>66572</v>
      </c>
    </row>
    <row r="38" spans="1:14" x14ac:dyDescent="0.25">
      <c r="A38" s="11" t="s">
        <v>8</v>
      </c>
      <c r="B38">
        <v>3941</v>
      </c>
      <c r="C38">
        <v>4285</v>
      </c>
      <c r="D38">
        <v>4364</v>
      </c>
      <c r="E38">
        <v>4283</v>
      </c>
      <c r="F38">
        <v>4359</v>
      </c>
      <c r="G38">
        <v>4398</v>
      </c>
      <c r="H38">
        <v>4387</v>
      </c>
      <c r="I38">
        <v>4254</v>
      </c>
      <c r="J38" s="3">
        <v>4237</v>
      </c>
      <c r="K38">
        <v>4239</v>
      </c>
      <c r="L38">
        <v>4276</v>
      </c>
      <c r="M38">
        <v>4278</v>
      </c>
      <c r="N38">
        <v>51301</v>
      </c>
    </row>
    <row r="39" spans="1:14" x14ac:dyDescent="0.25">
      <c r="A39" s="11" t="s">
        <v>9</v>
      </c>
      <c r="B39">
        <v>64126</v>
      </c>
      <c r="C39">
        <v>69713</v>
      </c>
      <c r="D39">
        <v>70310</v>
      </c>
      <c r="E39">
        <v>68987</v>
      </c>
      <c r="F39">
        <v>70736</v>
      </c>
      <c r="G39">
        <v>69873</v>
      </c>
      <c r="H39">
        <v>70841</v>
      </c>
      <c r="I39">
        <v>69962</v>
      </c>
      <c r="J39" s="3">
        <v>68887</v>
      </c>
      <c r="K39">
        <v>69646</v>
      </c>
      <c r="L39">
        <v>69795</v>
      </c>
      <c r="M39">
        <v>68996</v>
      </c>
      <c r="N39">
        <v>831872</v>
      </c>
    </row>
    <row r="44" spans="1:14" ht="18.75" x14ac:dyDescent="0.3">
      <c r="K44" s="12" t="s">
        <v>169</v>
      </c>
      <c r="L44" s="12">
        <v>4000</v>
      </c>
    </row>
    <row r="46" spans="1:14" x14ac:dyDescent="0.25">
      <c r="A46" s="10" t="s">
        <v>168</v>
      </c>
      <c r="B46" s="10" t="s">
        <v>11</v>
      </c>
    </row>
    <row r="47" spans="1:14" x14ac:dyDescent="0.25">
      <c r="A47" s="10" t="s">
        <v>12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s="3" t="s">
        <v>24</v>
      </c>
      <c r="K47" t="s">
        <v>25</v>
      </c>
      <c r="L47" t="s">
        <v>26</v>
      </c>
      <c r="M47" t="s">
        <v>27</v>
      </c>
      <c r="N47" t="s">
        <v>9</v>
      </c>
    </row>
    <row r="48" spans="1:14" x14ac:dyDescent="0.25">
      <c r="A48" s="11" t="s">
        <v>2</v>
      </c>
      <c r="B48">
        <v>3890</v>
      </c>
      <c r="C48">
        <v>4320</v>
      </c>
      <c r="D48">
        <v>4279</v>
      </c>
      <c r="E48">
        <v>4136</v>
      </c>
      <c r="F48">
        <v>4337</v>
      </c>
      <c r="G48">
        <v>4400</v>
      </c>
      <c r="H48">
        <v>4141</v>
      </c>
      <c r="I48">
        <v>4166</v>
      </c>
      <c r="J48" s="3">
        <v>3798</v>
      </c>
      <c r="K48">
        <v>3940</v>
      </c>
      <c r="L48">
        <v>3790</v>
      </c>
      <c r="M48">
        <v>3677</v>
      </c>
      <c r="N48">
        <v>48874</v>
      </c>
    </row>
    <row r="49" spans="1:14" x14ac:dyDescent="0.25">
      <c r="A49" s="11" t="s">
        <v>3</v>
      </c>
      <c r="B49">
        <v>4460</v>
      </c>
      <c r="C49">
        <v>4703</v>
      </c>
      <c r="D49">
        <v>5043</v>
      </c>
      <c r="E49">
        <v>4692</v>
      </c>
      <c r="F49">
        <v>4879</v>
      </c>
      <c r="G49">
        <v>4779</v>
      </c>
      <c r="H49">
        <v>4944</v>
      </c>
      <c r="I49">
        <v>4778</v>
      </c>
      <c r="J49" s="3">
        <v>4814</v>
      </c>
      <c r="K49">
        <v>5079</v>
      </c>
      <c r="L49">
        <v>4964</v>
      </c>
      <c r="M49">
        <v>4740</v>
      </c>
      <c r="N49">
        <v>57875</v>
      </c>
    </row>
    <row r="50" spans="1:14" x14ac:dyDescent="0.25">
      <c r="A50" s="11" t="s">
        <v>4</v>
      </c>
      <c r="B50">
        <v>16173</v>
      </c>
      <c r="C50">
        <v>17740</v>
      </c>
      <c r="D50">
        <v>17724</v>
      </c>
      <c r="E50">
        <v>17283</v>
      </c>
      <c r="F50">
        <v>18190</v>
      </c>
      <c r="G50">
        <v>17933</v>
      </c>
      <c r="H50">
        <v>17990</v>
      </c>
      <c r="I50">
        <v>17700</v>
      </c>
      <c r="J50" s="3">
        <v>17434</v>
      </c>
      <c r="K50">
        <v>17698</v>
      </c>
      <c r="L50">
        <v>17948</v>
      </c>
      <c r="M50">
        <v>17572</v>
      </c>
      <c r="N50">
        <v>211385</v>
      </c>
    </row>
    <row r="51" spans="1:14" x14ac:dyDescent="0.25">
      <c r="A51" s="11" t="s">
        <v>5</v>
      </c>
      <c r="B51">
        <v>20240</v>
      </c>
      <c r="C51">
        <v>21960</v>
      </c>
      <c r="D51">
        <v>22503</v>
      </c>
      <c r="E51">
        <v>21803</v>
      </c>
      <c r="F51">
        <v>21900</v>
      </c>
      <c r="G51">
        <v>22089</v>
      </c>
      <c r="H51">
        <v>22177</v>
      </c>
      <c r="I51">
        <v>22340</v>
      </c>
      <c r="J51" s="3">
        <v>22104</v>
      </c>
      <c r="K51">
        <v>21932</v>
      </c>
      <c r="L51">
        <v>22093</v>
      </c>
      <c r="M51">
        <v>21836</v>
      </c>
      <c r="N51">
        <v>262977</v>
      </c>
    </row>
    <row r="52" spans="1:14" x14ac:dyDescent="0.25">
      <c r="A52" s="11" t="s">
        <v>6</v>
      </c>
      <c r="B52">
        <v>10217</v>
      </c>
      <c r="C52">
        <v>11083</v>
      </c>
      <c r="D52">
        <v>10951</v>
      </c>
      <c r="E52">
        <v>11212</v>
      </c>
      <c r="F52">
        <v>11325</v>
      </c>
      <c r="G52">
        <v>10672</v>
      </c>
      <c r="H52">
        <v>11582</v>
      </c>
      <c r="I52">
        <v>11032</v>
      </c>
      <c r="J52" s="3">
        <v>10970</v>
      </c>
      <c r="K52">
        <v>11260</v>
      </c>
      <c r="L52">
        <v>11184</v>
      </c>
      <c r="M52">
        <v>11400</v>
      </c>
      <c r="N52">
        <v>132888</v>
      </c>
    </row>
    <row r="53" spans="1:14" x14ac:dyDescent="0.25">
      <c r="A53" s="11" t="s">
        <v>7</v>
      </c>
      <c r="B53">
        <v>5205</v>
      </c>
      <c r="C53">
        <v>5622</v>
      </c>
      <c r="D53">
        <v>5446</v>
      </c>
      <c r="E53">
        <v>5578</v>
      </c>
      <c r="F53">
        <v>5746</v>
      </c>
      <c r="G53">
        <v>5602</v>
      </c>
      <c r="H53">
        <v>5620</v>
      </c>
      <c r="I53">
        <v>5692</v>
      </c>
      <c r="J53" s="3">
        <v>5530</v>
      </c>
      <c r="K53">
        <v>5498</v>
      </c>
      <c r="L53">
        <v>5540</v>
      </c>
      <c r="M53">
        <v>5493</v>
      </c>
      <c r="N53">
        <v>66572</v>
      </c>
    </row>
    <row r="54" spans="1:14" x14ac:dyDescent="0.25">
      <c r="A54" s="11" t="s">
        <v>8</v>
      </c>
      <c r="B54">
        <v>3941</v>
      </c>
      <c r="C54">
        <v>4285</v>
      </c>
      <c r="D54">
        <v>4364</v>
      </c>
      <c r="E54">
        <v>4283</v>
      </c>
      <c r="F54">
        <v>4359</v>
      </c>
      <c r="G54">
        <v>4398</v>
      </c>
      <c r="H54">
        <v>4387</v>
      </c>
      <c r="I54">
        <v>4254</v>
      </c>
      <c r="J54" s="3">
        <v>4237</v>
      </c>
      <c r="K54">
        <v>4239</v>
      </c>
      <c r="L54">
        <v>4276</v>
      </c>
      <c r="M54">
        <v>4278</v>
      </c>
      <c r="N54">
        <v>51301</v>
      </c>
    </row>
    <row r="55" spans="1:14" x14ac:dyDescent="0.25">
      <c r="A55" s="11" t="s">
        <v>9</v>
      </c>
      <c r="B55">
        <v>64126</v>
      </c>
      <c r="C55">
        <v>69713</v>
      </c>
      <c r="D55">
        <v>70310</v>
      </c>
      <c r="E55">
        <v>68987</v>
      </c>
      <c r="F55">
        <v>70736</v>
      </c>
      <c r="G55">
        <v>69873</v>
      </c>
      <c r="H55">
        <v>70841</v>
      </c>
      <c r="I55">
        <v>69962</v>
      </c>
      <c r="J55" s="3">
        <v>68887</v>
      </c>
      <c r="K55">
        <v>69646</v>
      </c>
      <c r="L55">
        <v>69795</v>
      </c>
      <c r="M55">
        <v>68996</v>
      </c>
      <c r="N55">
        <v>831872</v>
      </c>
    </row>
    <row r="61" spans="1:14" x14ac:dyDescent="0.25">
      <c r="A61" s="10" t="s">
        <v>30</v>
      </c>
      <c r="B61" s="10" t="s">
        <v>31</v>
      </c>
    </row>
    <row r="62" spans="1:14" x14ac:dyDescent="0.25">
      <c r="A62" t="s">
        <v>3</v>
      </c>
      <c r="B62" t="s">
        <v>63</v>
      </c>
    </row>
    <row r="63" spans="1:14" x14ac:dyDescent="0.25">
      <c r="A63" t="s">
        <v>3</v>
      </c>
      <c r="B63" t="s">
        <v>62</v>
      </c>
    </row>
    <row r="64" spans="1:14" x14ac:dyDescent="0.25">
      <c r="A64" t="s">
        <v>3</v>
      </c>
      <c r="B64" t="s">
        <v>64</v>
      </c>
    </row>
    <row r="65" spans="1:2" x14ac:dyDescent="0.25">
      <c r="A65" t="s">
        <v>3</v>
      </c>
      <c r="B65" t="s">
        <v>65</v>
      </c>
    </row>
    <row r="66" spans="1:2" x14ac:dyDescent="0.25">
      <c r="A66" t="s">
        <v>3</v>
      </c>
      <c r="B66" t="s">
        <v>66</v>
      </c>
    </row>
    <row r="67" spans="1:2" x14ac:dyDescent="0.25">
      <c r="A67" t="s">
        <v>3</v>
      </c>
      <c r="B67" t="s">
        <v>67</v>
      </c>
    </row>
    <row r="68" spans="1:2" x14ac:dyDescent="0.25">
      <c r="A68" t="s">
        <v>170</v>
      </c>
    </row>
    <row r="69" spans="1:2" x14ac:dyDescent="0.25">
      <c r="A69" t="s">
        <v>9</v>
      </c>
    </row>
    <row r="78" spans="1:2" x14ac:dyDescent="0.25">
      <c r="A78" s="11"/>
    </row>
    <row r="82" spans="1:10" x14ac:dyDescent="0.25">
      <c r="A82" s="10" t="s">
        <v>12</v>
      </c>
    </row>
    <row r="83" spans="1:10" x14ac:dyDescent="0.25">
      <c r="A83" s="11" t="s">
        <v>73</v>
      </c>
      <c r="J83" s="27" t="s">
        <v>34</v>
      </c>
    </row>
    <row r="84" spans="1:10" x14ac:dyDescent="0.25">
      <c r="A84" s="11" t="s">
        <v>74</v>
      </c>
      <c r="J84" s="28">
        <f t="shared" ref="J84:J86" ca="1" si="0">J85-1</f>
        <v>46039</v>
      </c>
    </row>
    <row r="85" spans="1:10" x14ac:dyDescent="0.25">
      <c r="A85" s="11" t="s">
        <v>94</v>
      </c>
      <c r="J85" s="28">
        <f t="shared" ca="1" si="0"/>
        <v>46040</v>
      </c>
    </row>
    <row r="86" spans="1:10" x14ac:dyDescent="0.25">
      <c r="A86" s="11" t="s">
        <v>106</v>
      </c>
      <c r="J86" s="28">
        <f t="shared" ca="1" si="0"/>
        <v>46041</v>
      </c>
    </row>
    <row r="87" spans="1:10" x14ac:dyDescent="0.25">
      <c r="A87" s="11" t="s">
        <v>147</v>
      </c>
      <c r="J87" s="28">
        <f ca="1">J88-1</f>
        <v>46042</v>
      </c>
    </row>
    <row r="88" spans="1:10" x14ac:dyDescent="0.25">
      <c r="A88" s="11" t="s">
        <v>155</v>
      </c>
      <c r="J88" s="28">
        <f ca="1">TODAY()</f>
        <v>46043</v>
      </c>
    </row>
    <row r="89" spans="1:10" x14ac:dyDescent="0.25">
      <c r="A89" s="11" t="s">
        <v>103</v>
      </c>
      <c r="J89" s="28">
        <f ca="1">J88+1</f>
        <v>46044</v>
      </c>
    </row>
    <row r="90" spans="1:10" x14ac:dyDescent="0.25">
      <c r="A90" s="11" t="s">
        <v>131</v>
      </c>
      <c r="J90" s="28">
        <f t="shared" ref="J90:J117" ca="1" si="1">J89+1</f>
        <v>46045</v>
      </c>
    </row>
    <row r="91" spans="1:10" x14ac:dyDescent="0.25">
      <c r="A91" s="11" t="s">
        <v>98</v>
      </c>
      <c r="J91" s="28">
        <f t="shared" ca="1" si="1"/>
        <v>46046</v>
      </c>
    </row>
    <row r="92" spans="1:10" x14ac:dyDescent="0.25">
      <c r="A92" s="11" t="s">
        <v>59</v>
      </c>
      <c r="J92" s="28">
        <f t="shared" ca="1" si="1"/>
        <v>46047</v>
      </c>
    </row>
    <row r="93" spans="1:10" x14ac:dyDescent="0.25">
      <c r="A93" s="11" t="s">
        <v>72</v>
      </c>
      <c r="J93" s="28">
        <f t="shared" ca="1" si="1"/>
        <v>46048</v>
      </c>
    </row>
    <row r="94" spans="1:10" x14ac:dyDescent="0.25">
      <c r="A94" s="11" t="s">
        <v>60</v>
      </c>
      <c r="J94" s="28">
        <f t="shared" ca="1" si="1"/>
        <v>46049</v>
      </c>
    </row>
    <row r="95" spans="1:10" x14ac:dyDescent="0.25">
      <c r="A95" s="11" t="s">
        <v>120</v>
      </c>
      <c r="J95" s="28">
        <f t="shared" ca="1" si="1"/>
        <v>46050</v>
      </c>
    </row>
    <row r="96" spans="1:10" x14ac:dyDescent="0.25">
      <c r="A96" s="11" t="s">
        <v>70</v>
      </c>
      <c r="J96" s="28">
        <f t="shared" ca="1" si="1"/>
        <v>46051</v>
      </c>
    </row>
    <row r="97" spans="1:10" x14ac:dyDescent="0.25">
      <c r="A97" s="11" t="s">
        <v>48</v>
      </c>
      <c r="J97" s="28">
        <f t="shared" ca="1" si="1"/>
        <v>46052</v>
      </c>
    </row>
    <row r="98" spans="1:10" x14ac:dyDescent="0.25">
      <c r="A98" s="11" t="s">
        <v>128</v>
      </c>
      <c r="J98" s="28">
        <f t="shared" ca="1" si="1"/>
        <v>46053</v>
      </c>
    </row>
    <row r="99" spans="1:10" x14ac:dyDescent="0.25">
      <c r="A99" s="11" t="s">
        <v>116</v>
      </c>
      <c r="J99" s="28">
        <f t="shared" ca="1" si="1"/>
        <v>46054</v>
      </c>
    </row>
    <row r="100" spans="1:10" x14ac:dyDescent="0.25">
      <c r="A100" s="11" t="s">
        <v>101</v>
      </c>
      <c r="J100" s="28">
        <f t="shared" ca="1" si="1"/>
        <v>46055</v>
      </c>
    </row>
    <row r="101" spans="1:10" x14ac:dyDescent="0.25">
      <c r="A101" s="11" t="s">
        <v>148</v>
      </c>
      <c r="J101" s="28">
        <f t="shared" ca="1" si="1"/>
        <v>46056</v>
      </c>
    </row>
    <row r="102" spans="1:10" x14ac:dyDescent="0.25">
      <c r="A102" s="11" t="s">
        <v>92</v>
      </c>
      <c r="J102" s="28">
        <f t="shared" ca="1" si="1"/>
        <v>46057</v>
      </c>
    </row>
    <row r="103" spans="1:10" x14ac:dyDescent="0.25">
      <c r="A103" s="11" t="s">
        <v>84</v>
      </c>
      <c r="J103" s="28">
        <f t="shared" ca="1" si="1"/>
        <v>46058</v>
      </c>
    </row>
    <row r="104" spans="1:10" x14ac:dyDescent="0.25">
      <c r="A104" s="11" t="s">
        <v>104</v>
      </c>
      <c r="J104" s="28">
        <f t="shared" ca="1" si="1"/>
        <v>46059</v>
      </c>
    </row>
    <row r="105" spans="1:10" x14ac:dyDescent="0.25">
      <c r="A105" s="11" t="s">
        <v>82</v>
      </c>
      <c r="J105" s="28">
        <f t="shared" ca="1" si="1"/>
        <v>46060</v>
      </c>
    </row>
    <row r="106" spans="1:10" x14ac:dyDescent="0.25">
      <c r="A106" s="11" t="s">
        <v>75</v>
      </c>
      <c r="J106" s="28">
        <f t="shared" ca="1" si="1"/>
        <v>46061</v>
      </c>
    </row>
    <row r="107" spans="1:10" x14ac:dyDescent="0.25">
      <c r="A107" s="11" t="s">
        <v>86</v>
      </c>
      <c r="J107" s="28">
        <f t="shared" ca="1" si="1"/>
        <v>46062</v>
      </c>
    </row>
    <row r="108" spans="1:10" x14ac:dyDescent="0.25">
      <c r="A108" s="11" t="s">
        <v>125</v>
      </c>
      <c r="J108" s="28">
        <f t="shared" ca="1" si="1"/>
        <v>46063</v>
      </c>
    </row>
    <row r="109" spans="1:10" x14ac:dyDescent="0.25">
      <c r="A109" s="11" t="s">
        <v>71</v>
      </c>
      <c r="J109" s="28">
        <f t="shared" ca="1" si="1"/>
        <v>46064</v>
      </c>
    </row>
    <row r="110" spans="1:10" x14ac:dyDescent="0.25">
      <c r="A110" s="11" t="s">
        <v>159</v>
      </c>
      <c r="J110" s="28">
        <f t="shared" ca="1" si="1"/>
        <v>46065</v>
      </c>
    </row>
    <row r="111" spans="1:10" x14ac:dyDescent="0.25">
      <c r="A111" s="11" t="s">
        <v>138</v>
      </c>
      <c r="J111" s="28">
        <f t="shared" ca="1" si="1"/>
        <v>46066</v>
      </c>
    </row>
    <row r="112" spans="1:10" x14ac:dyDescent="0.25">
      <c r="A112" s="11" t="s">
        <v>85</v>
      </c>
      <c r="J112" s="28">
        <f t="shared" ca="1" si="1"/>
        <v>46067</v>
      </c>
    </row>
    <row r="113" spans="1:10" x14ac:dyDescent="0.25">
      <c r="A113" s="11" t="s">
        <v>127</v>
      </c>
      <c r="J113" s="28">
        <f t="shared" ca="1" si="1"/>
        <v>46068</v>
      </c>
    </row>
    <row r="114" spans="1:10" x14ac:dyDescent="0.25">
      <c r="A114" s="11" t="s">
        <v>44</v>
      </c>
      <c r="J114" s="28">
        <f t="shared" ca="1" si="1"/>
        <v>46069</v>
      </c>
    </row>
    <row r="115" spans="1:10" x14ac:dyDescent="0.25">
      <c r="A115" s="11" t="s">
        <v>119</v>
      </c>
      <c r="J115" s="28">
        <f t="shared" ca="1" si="1"/>
        <v>46070</v>
      </c>
    </row>
    <row r="116" spans="1:10" x14ac:dyDescent="0.25">
      <c r="A116" s="11" t="s">
        <v>87</v>
      </c>
      <c r="J116" s="28">
        <f t="shared" ca="1" si="1"/>
        <v>46071</v>
      </c>
    </row>
    <row r="117" spans="1:10" x14ac:dyDescent="0.25">
      <c r="A117" s="11" t="s">
        <v>63</v>
      </c>
      <c r="J117" s="28">
        <f t="shared" ca="1" si="1"/>
        <v>46072</v>
      </c>
    </row>
    <row r="118" spans="1:10" x14ac:dyDescent="0.25">
      <c r="A118" s="11" t="s">
        <v>62</v>
      </c>
    </row>
    <row r="119" spans="1:10" x14ac:dyDescent="0.25">
      <c r="A119" s="11" t="s">
        <v>64</v>
      </c>
    </row>
    <row r="120" spans="1:10" x14ac:dyDescent="0.25">
      <c r="A120" s="11" t="s">
        <v>65</v>
      </c>
    </row>
    <row r="121" spans="1:10" x14ac:dyDescent="0.25">
      <c r="A121" s="11" t="s">
        <v>66</v>
      </c>
    </row>
    <row r="122" spans="1:10" x14ac:dyDescent="0.25">
      <c r="A122" s="11" t="s">
        <v>146</v>
      </c>
    </row>
    <row r="123" spans="1:10" x14ac:dyDescent="0.25">
      <c r="A123" s="11" t="s">
        <v>124</v>
      </c>
    </row>
    <row r="124" spans="1:10" x14ac:dyDescent="0.25">
      <c r="A124" s="11" t="s">
        <v>47</v>
      </c>
    </row>
    <row r="125" spans="1:10" x14ac:dyDescent="0.25">
      <c r="A125" s="11" t="s">
        <v>114</v>
      </c>
    </row>
    <row r="126" spans="1:10" x14ac:dyDescent="0.25">
      <c r="A126" s="11" t="s">
        <v>78</v>
      </c>
    </row>
    <row r="127" spans="1:10" x14ac:dyDescent="0.25">
      <c r="A127" s="11" t="s">
        <v>108</v>
      </c>
    </row>
    <row r="128" spans="1:10" x14ac:dyDescent="0.25">
      <c r="A128" s="11" t="s">
        <v>56</v>
      </c>
    </row>
    <row r="129" spans="1:1" x14ac:dyDescent="0.25">
      <c r="A129" s="11" t="s">
        <v>99</v>
      </c>
    </row>
    <row r="130" spans="1:1" x14ac:dyDescent="0.25">
      <c r="A130" s="11" t="s">
        <v>67</v>
      </c>
    </row>
    <row r="131" spans="1:1" x14ac:dyDescent="0.25">
      <c r="A131" s="11" t="s">
        <v>117</v>
      </c>
    </row>
    <row r="132" spans="1:1" x14ac:dyDescent="0.25">
      <c r="A132" s="11" t="s">
        <v>123</v>
      </c>
    </row>
    <row r="133" spans="1:1" x14ac:dyDescent="0.25">
      <c r="A133" s="11" t="s">
        <v>90</v>
      </c>
    </row>
    <row r="134" spans="1:1" x14ac:dyDescent="0.25">
      <c r="A134" s="11" t="s">
        <v>158</v>
      </c>
    </row>
    <row r="135" spans="1:1" x14ac:dyDescent="0.25">
      <c r="A135" s="11" t="s">
        <v>49</v>
      </c>
    </row>
    <row r="136" spans="1:1" x14ac:dyDescent="0.25">
      <c r="A136" s="11" t="s">
        <v>81</v>
      </c>
    </row>
    <row r="137" spans="1:1" x14ac:dyDescent="0.25">
      <c r="A137" s="11" t="s">
        <v>161</v>
      </c>
    </row>
    <row r="138" spans="1:1" x14ac:dyDescent="0.25">
      <c r="A138" s="11" t="s">
        <v>143</v>
      </c>
    </row>
    <row r="139" spans="1:1" x14ac:dyDescent="0.25">
      <c r="A139" s="11" t="s">
        <v>144</v>
      </c>
    </row>
    <row r="140" spans="1:1" x14ac:dyDescent="0.25">
      <c r="A140" s="11" t="s">
        <v>141</v>
      </c>
    </row>
    <row r="141" spans="1:1" x14ac:dyDescent="0.25">
      <c r="A141" s="11" t="s">
        <v>51</v>
      </c>
    </row>
    <row r="142" spans="1:1" x14ac:dyDescent="0.25">
      <c r="A142" s="11" t="s">
        <v>109</v>
      </c>
    </row>
    <row r="143" spans="1:1" x14ac:dyDescent="0.25">
      <c r="A143" s="11" t="s">
        <v>52</v>
      </c>
    </row>
    <row r="144" spans="1:1" x14ac:dyDescent="0.25">
      <c r="A144" s="11" t="s">
        <v>89</v>
      </c>
    </row>
    <row r="145" spans="1:1" x14ac:dyDescent="0.25">
      <c r="A145" s="11" t="s">
        <v>126</v>
      </c>
    </row>
    <row r="146" spans="1:1" x14ac:dyDescent="0.25">
      <c r="A146" s="11" t="s">
        <v>58</v>
      </c>
    </row>
    <row r="147" spans="1:1" x14ac:dyDescent="0.25">
      <c r="A147" s="11" t="s">
        <v>129</v>
      </c>
    </row>
    <row r="148" spans="1:1" x14ac:dyDescent="0.25">
      <c r="A148" s="11" t="s">
        <v>46</v>
      </c>
    </row>
    <row r="149" spans="1:1" x14ac:dyDescent="0.25">
      <c r="A149" s="11" t="s">
        <v>157</v>
      </c>
    </row>
    <row r="150" spans="1:1" x14ac:dyDescent="0.25">
      <c r="A150" s="11" t="s">
        <v>153</v>
      </c>
    </row>
    <row r="151" spans="1:1" x14ac:dyDescent="0.25">
      <c r="A151" s="11" t="s">
        <v>154</v>
      </c>
    </row>
    <row r="152" spans="1:1" x14ac:dyDescent="0.25">
      <c r="A152" s="11" t="s">
        <v>57</v>
      </c>
    </row>
    <row r="153" spans="1:1" x14ac:dyDescent="0.25">
      <c r="A153" s="11" t="s">
        <v>53</v>
      </c>
    </row>
    <row r="154" spans="1:1" x14ac:dyDescent="0.25">
      <c r="A154" s="11" t="s">
        <v>152</v>
      </c>
    </row>
    <row r="155" spans="1:1" x14ac:dyDescent="0.25">
      <c r="A155" s="11" t="s">
        <v>151</v>
      </c>
    </row>
    <row r="156" spans="1:1" x14ac:dyDescent="0.25">
      <c r="A156" s="11" t="s">
        <v>162</v>
      </c>
    </row>
    <row r="157" spans="1:1" x14ac:dyDescent="0.25">
      <c r="A157" s="11" t="s">
        <v>164</v>
      </c>
    </row>
    <row r="158" spans="1:1" x14ac:dyDescent="0.25">
      <c r="A158" s="11" t="s">
        <v>163</v>
      </c>
    </row>
    <row r="159" spans="1:1" x14ac:dyDescent="0.25">
      <c r="A159" s="11" t="s">
        <v>55</v>
      </c>
    </row>
    <row r="160" spans="1:1" x14ac:dyDescent="0.25">
      <c r="A160" s="11" t="s">
        <v>160</v>
      </c>
    </row>
    <row r="161" spans="1:1" x14ac:dyDescent="0.25">
      <c r="A161" s="11" t="s">
        <v>150</v>
      </c>
    </row>
    <row r="162" spans="1:1" x14ac:dyDescent="0.25">
      <c r="A162" s="11" t="s">
        <v>142</v>
      </c>
    </row>
    <row r="163" spans="1:1" x14ac:dyDescent="0.25">
      <c r="A163" s="11" t="s">
        <v>80</v>
      </c>
    </row>
    <row r="164" spans="1:1" x14ac:dyDescent="0.25">
      <c r="A164" s="11" t="s">
        <v>93</v>
      </c>
    </row>
    <row r="165" spans="1:1" x14ac:dyDescent="0.25">
      <c r="A165" s="11" t="s">
        <v>130</v>
      </c>
    </row>
    <row r="166" spans="1:1" x14ac:dyDescent="0.25">
      <c r="A166" s="11" t="s">
        <v>134</v>
      </c>
    </row>
    <row r="167" spans="1:1" x14ac:dyDescent="0.25">
      <c r="A167" s="11" t="s">
        <v>121</v>
      </c>
    </row>
    <row r="168" spans="1:1" x14ac:dyDescent="0.25">
      <c r="A168" s="11" t="s">
        <v>97</v>
      </c>
    </row>
    <row r="169" spans="1:1" x14ac:dyDescent="0.25">
      <c r="A169" s="11" t="s">
        <v>102</v>
      </c>
    </row>
    <row r="170" spans="1:1" x14ac:dyDescent="0.25">
      <c r="A170" s="11" t="s">
        <v>135</v>
      </c>
    </row>
    <row r="171" spans="1:1" x14ac:dyDescent="0.25">
      <c r="A171" s="11" t="s">
        <v>54</v>
      </c>
    </row>
    <row r="172" spans="1:1" x14ac:dyDescent="0.25">
      <c r="A172" s="11" t="s">
        <v>156</v>
      </c>
    </row>
    <row r="173" spans="1:1" x14ac:dyDescent="0.25">
      <c r="A173" s="11" t="s">
        <v>105</v>
      </c>
    </row>
    <row r="174" spans="1:1" x14ac:dyDescent="0.25">
      <c r="A174" s="11" t="s">
        <v>76</v>
      </c>
    </row>
    <row r="175" spans="1:1" x14ac:dyDescent="0.25">
      <c r="A175" s="11" t="s">
        <v>107</v>
      </c>
    </row>
    <row r="176" spans="1:1" x14ac:dyDescent="0.25">
      <c r="A176" s="11" t="s">
        <v>122</v>
      </c>
    </row>
    <row r="177" spans="1:1" x14ac:dyDescent="0.25">
      <c r="A177" s="11" t="s">
        <v>96</v>
      </c>
    </row>
    <row r="178" spans="1:1" x14ac:dyDescent="0.25">
      <c r="A178" s="11" t="s">
        <v>149</v>
      </c>
    </row>
    <row r="179" spans="1:1" x14ac:dyDescent="0.25">
      <c r="A179" s="11" t="s">
        <v>95</v>
      </c>
    </row>
    <row r="180" spans="1:1" x14ac:dyDescent="0.25">
      <c r="A180" s="11" t="s">
        <v>79</v>
      </c>
    </row>
    <row r="181" spans="1:1" x14ac:dyDescent="0.25">
      <c r="A181" s="11" t="s">
        <v>136</v>
      </c>
    </row>
    <row r="182" spans="1:1" x14ac:dyDescent="0.25">
      <c r="A182" s="11" t="s">
        <v>45</v>
      </c>
    </row>
    <row r="183" spans="1:1" x14ac:dyDescent="0.25">
      <c r="A183" s="11" t="s">
        <v>137</v>
      </c>
    </row>
    <row r="184" spans="1:1" x14ac:dyDescent="0.25">
      <c r="A184" s="11" t="s">
        <v>132</v>
      </c>
    </row>
    <row r="185" spans="1:1" x14ac:dyDescent="0.25">
      <c r="A185" s="11" t="s">
        <v>115</v>
      </c>
    </row>
    <row r="186" spans="1:1" x14ac:dyDescent="0.25">
      <c r="A186" s="11" t="s">
        <v>77</v>
      </c>
    </row>
    <row r="187" spans="1:1" x14ac:dyDescent="0.25">
      <c r="A187" s="11" t="s">
        <v>83</v>
      </c>
    </row>
    <row r="188" spans="1:1" x14ac:dyDescent="0.25">
      <c r="A188" s="11" t="s">
        <v>113</v>
      </c>
    </row>
    <row r="189" spans="1:1" x14ac:dyDescent="0.25">
      <c r="A189" s="11" t="s">
        <v>88</v>
      </c>
    </row>
    <row r="190" spans="1:1" x14ac:dyDescent="0.25">
      <c r="A190" s="11" t="s">
        <v>43</v>
      </c>
    </row>
    <row r="191" spans="1:1" x14ac:dyDescent="0.25">
      <c r="A191" s="11" t="s">
        <v>112</v>
      </c>
    </row>
    <row r="192" spans="1:1" x14ac:dyDescent="0.25">
      <c r="A192" s="11" t="s">
        <v>145</v>
      </c>
    </row>
    <row r="193" spans="1:1" x14ac:dyDescent="0.25">
      <c r="A193" s="11" t="s">
        <v>139</v>
      </c>
    </row>
    <row r="194" spans="1:1" x14ac:dyDescent="0.25">
      <c r="A194" s="11" t="s">
        <v>68</v>
      </c>
    </row>
    <row r="195" spans="1:1" x14ac:dyDescent="0.25">
      <c r="A195" s="11" t="s">
        <v>69</v>
      </c>
    </row>
    <row r="196" spans="1:1" x14ac:dyDescent="0.25">
      <c r="A196" s="11" t="s">
        <v>91</v>
      </c>
    </row>
    <row r="197" spans="1:1" x14ac:dyDescent="0.25">
      <c r="A197" s="11" t="s">
        <v>100</v>
      </c>
    </row>
    <row r="198" spans="1:1" x14ac:dyDescent="0.25">
      <c r="A198" s="11" t="s">
        <v>110</v>
      </c>
    </row>
    <row r="199" spans="1:1" x14ac:dyDescent="0.25">
      <c r="A199" s="11" t="s">
        <v>140</v>
      </c>
    </row>
    <row r="200" spans="1:1" x14ac:dyDescent="0.25">
      <c r="A200" s="11" t="s">
        <v>50</v>
      </c>
    </row>
    <row r="201" spans="1:1" x14ac:dyDescent="0.25">
      <c r="A201" s="11" t="s">
        <v>61</v>
      </c>
    </row>
    <row r="202" spans="1:1" x14ac:dyDescent="0.25">
      <c r="A202" s="11" t="s">
        <v>133</v>
      </c>
    </row>
    <row r="203" spans="1:1" x14ac:dyDescent="0.25">
      <c r="A203" s="11" t="s">
        <v>118</v>
      </c>
    </row>
    <row r="204" spans="1:1" x14ac:dyDescent="0.25">
      <c r="A204" s="11" t="s">
        <v>111</v>
      </c>
    </row>
    <row r="205" spans="1:1" x14ac:dyDescent="0.25">
      <c r="A205" s="11" t="s">
        <v>9</v>
      </c>
    </row>
  </sheetData>
  <conditionalFormatting pivot="1" sqref="B2:B8">
    <cfRule type="cellIs" dxfId="36" priority="30" operator="greaterThan">
      <formula>0.05</formula>
    </cfRule>
  </conditionalFormatting>
  <conditionalFormatting pivot="1" sqref="B16:B22">
    <cfRule type="cellIs" dxfId="35" priority="28" operator="greaterThan">
      <formula>0.05</formula>
    </cfRule>
  </conditionalFormatting>
  <conditionalFormatting pivot="1" sqref="B16:B22">
    <cfRule type="cellIs" dxfId="34" priority="26" operator="lessThan">
      <formula>0.04</formula>
    </cfRule>
  </conditionalFormatting>
  <conditionalFormatting pivot="1" sqref="B16:B22">
    <cfRule type="cellIs" dxfId="33" priority="27" operator="lessThanOrEqual">
      <formula>0.05</formula>
    </cfRule>
  </conditionalFormatting>
  <conditionalFormatting sqref="A83:A204">
    <cfRule type="containsText" dxfId="32" priority="2" operator="containsText" text="JAKARTA">
      <formula>NOT(ISERROR(SEARCH("JAKARTA",A83)))</formula>
    </cfRule>
    <cfRule type="containsText" dxfId="31" priority="17" operator="containsText" text="jakarta">
      <formula>NOT(ISERROR(SEARCH("jakarta",A83)))</formula>
    </cfRule>
  </conditionalFormatting>
  <conditionalFormatting pivot="1" sqref="J2:J9">
    <cfRule type="cellIs" dxfId="30" priority="14" operator="greaterThan">
      <formula>0.05</formula>
    </cfRule>
  </conditionalFormatting>
  <conditionalFormatting pivot="1" sqref="J2:J9">
    <cfRule type="cellIs" dxfId="29" priority="13" operator="lessThan">
      <formula>0.05</formula>
    </cfRule>
  </conditionalFormatting>
  <conditionalFormatting pivot="1" sqref="J16:J22">
    <cfRule type="cellIs" dxfId="28" priority="9" operator="lessThan">
      <formula>0.04</formula>
    </cfRule>
  </conditionalFormatting>
  <conditionalFormatting pivot="1" sqref="J16:J22">
    <cfRule type="cellIs" dxfId="27" priority="8" stopIfTrue="1" operator="between">
      <formula>0.04</formula>
      <formula>0.05</formula>
    </cfRule>
  </conditionalFormatting>
  <conditionalFormatting pivot="1" sqref="J16:J22">
    <cfRule type="cellIs" dxfId="26" priority="7" operator="greaterThan">
      <formula>0.05</formula>
    </cfRule>
  </conditionalFormatting>
  <conditionalFormatting pivot="1" sqref="N32:N38">
    <cfRule type="cellIs" dxfId="25" priority="6" operator="between">
      <formula>4000</formula>
      <formula>1100</formula>
    </cfRule>
  </conditionalFormatting>
  <conditionalFormatting pivot="1" sqref="B32:M38">
    <cfRule type="cellIs" dxfId="24" priority="5" operator="between">
      <formula>4000</formula>
      <formula>11000</formula>
    </cfRule>
  </conditionalFormatting>
  <conditionalFormatting pivot="1" sqref="B48:M54">
    <cfRule type="cellIs" dxfId="23" priority="4" operator="lessThan">
      <formula>$L$44</formula>
    </cfRule>
  </conditionalFormatting>
  <conditionalFormatting sqref="A62:A67">
    <cfRule type="duplicateValues" dxfId="22" priority="3"/>
  </conditionalFormatting>
  <conditionalFormatting sqref="J84:J117">
    <cfRule type="timePeriod" dxfId="21" priority="1" timePeriod="thisMonth">
      <formula>AND(MONTH(J84)=MONTH(TODAY()),YEAR(J84)=YEAR(TODAY()))</formula>
    </cfRule>
  </conditionalFormatting>
  <dataValidations count="1">
    <dataValidation type="whole" allowBlank="1" showInputMessage="1" showErrorMessage="1" sqref="L44" xr:uid="{934049B3-A861-4246-A779-FE579044C052}">
      <formula1>4000</formula1>
      <formula2>10000</formula2>
    </dataValidation>
  </dataValidations>
  <pageMargins left="0.7" right="0.7" top="0.75" bottom="0.75" header="0.3" footer="0.3"/>
  <pageSetup orientation="portrait" r:id="rId9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1357-9B06-42C9-9AA3-8C03B8127B40}">
  <dimension ref="A1:R30"/>
  <sheetViews>
    <sheetView topLeftCell="A14" zoomScaleNormal="100" workbookViewId="0">
      <selection activeCell="D19" sqref="D19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6" bestFit="1" customWidth="1"/>
    <col min="4" max="4" width="9.7109375" bestFit="1" customWidth="1"/>
    <col min="5" max="13" width="6" bestFit="1" customWidth="1"/>
    <col min="14" max="14" width="11.28515625" bestFit="1" customWidth="1"/>
    <col min="17" max="17" width="12.140625" customWidth="1"/>
  </cols>
  <sheetData>
    <row r="1" spans="1:2" x14ac:dyDescent="0.25">
      <c r="A1" s="10" t="s">
        <v>12</v>
      </c>
      <c r="B1" t="s">
        <v>168</v>
      </c>
    </row>
    <row r="2" spans="1:2" x14ac:dyDescent="0.25">
      <c r="A2" s="11" t="s">
        <v>16</v>
      </c>
      <c r="B2">
        <v>64126</v>
      </c>
    </row>
    <row r="3" spans="1:2" x14ac:dyDescent="0.25">
      <c r="A3" s="11" t="s">
        <v>17</v>
      </c>
      <c r="B3">
        <v>69713</v>
      </c>
    </row>
    <row r="4" spans="1:2" x14ac:dyDescent="0.25">
      <c r="A4" s="11" t="s">
        <v>18</v>
      </c>
      <c r="B4">
        <v>70310</v>
      </c>
    </row>
    <row r="5" spans="1:2" x14ac:dyDescent="0.25">
      <c r="A5" s="11" t="s">
        <v>19</v>
      </c>
      <c r="B5">
        <v>68987</v>
      </c>
    </row>
    <row r="6" spans="1:2" x14ac:dyDescent="0.25">
      <c r="A6" s="11" t="s">
        <v>20</v>
      </c>
      <c r="B6">
        <v>70736</v>
      </c>
    </row>
    <row r="7" spans="1:2" x14ac:dyDescent="0.25">
      <c r="A7" s="11" t="s">
        <v>21</v>
      </c>
      <c r="B7">
        <v>69873</v>
      </c>
    </row>
    <row r="8" spans="1:2" x14ac:dyDescent="0.25">
      <c r="A8" s="11" t="s">
        <v>22</v>
      </c>
      <c r="B8">
        <v>70841</v>
      </c>
    </row>
    <row r="9" spans="1:2" x14ac:dyDescent="0.25">
      <c r="A9" s="11" t="s">
        <v>23</v>
      </c>
      <c r="B9">
        <v>69962</v>
      </c>
    </row>
    <row r="10" spans="1:2" x14ac:dyDescent="0.25">
      <c r="A10" s="11" t="s">
        <v>24</v>
      </c>
      <c r="B10">
        <v>68887</v>
      </c>
    </row>
    <row r="11" spans="1:2" x14ac:dyDescent="0.25">
      <c r="A11" s="11" t="s">
        <v>25</v>
      </c>
      <c r="B11">
        <v>69646</v>
      </c>
    </row>
    <row r="12" spans="1:2" x14ac:dyDescent="0.25">
      <c r="A12" s="11" t="s">
        <v>26</v>
      </c>
      <c r="B12">
        <v>69795</v>
      </c>
    </row>
    <row r="13" spans="1:2" x14ac:dyDescent="0.25">
      <c r="A13" s="11" t="s">
        <v>27</v>
      </c>
      <c r="B13">
        <v>68996</v>
      </c>
    </row>
    <row r="14" spans="1:2" x14ac:dyDescent="0.25">
      <c r="A14" s="11" t="s">
        <v>9</v>
      </c>
      <c r="B14">
        <v>831872</v>
      </c>
    </row>
    <row r="17" spans="1:18" ht="18.75" x14ac:dyDescent="0.3">
      <c r="A17" s="10" t="s">
        <v>12</v>
      </c>
      <c r="B17" t="s">
        <v>168</v>
      </c>
      <c r="Q17" s="12"/>
      <c r="R17" s="12"/>
    </row>
    <row r="18" spans="1:18" x14ac:dyDescent="0.25">
      <c r="A18" s="11" t="s">
        <v>22</v>
      </c>
      <c r="B18" s="26">
        <v>70841</v>
      </c>
    </row>
    <row r="19" spans="1:18" x14ac:dyDescent="0.25">
      <c r="A19" s="11" t="s">
        <v>20</v>
      </c>
      <c r="B19" s="26">
        <v>70736</v>
      </c>
    </row>
    <row r="20" spans="1:18" x14ac:dyDescent="0.25">
      <c r="A20" s="11" t="s">
        <v>18</v>
      </c>
      <c r="B20" s="26">
        <v>70310</v>
      </c>
    </row>
    <row r="21" spans="1:18" x14ac:dyDescent="0.25">
      <c r="A21" s="11" t="s">
        <v>23</v>
      </c>
      <c r="B21" s="26">
        <v>69962</v>
      </c>
    </row>
    <row r="22" spans="1:18" x14ac:dyDescent="0.25">
      <c r="A22" s="11" t="s">
        <v>21</v>
      </c>
      <c r="B22" s="26">
        <v>69873</v>
      </c>
    </row>
    <row r="23" spans="1:18" x14ac:dyDescent="0.25">
      <c r="A23" s="11" t="s">
        <v>26</v>
      </c>
      <c r="B23" s="26">
        <v>69795</v>
      </c>
    </row>
    <row r="24" spans="1:18" x14ac:dyDescent="0.25">
      <c r="A24" s="11" t="s">
        <v>17</v>
      </c>
      <c r="B24" s="26">
        <v>69713</v>
      </c>
    </row>
    <row r="25" spans="1:18" x14ac:dyDescent="0.25">
      <c r="A25" s="11" t="s">
        <v>25</v>
      </c>
      <c r="B25" s="26">
        <v>69646</v>
      </c>
    </row>
    <row r="26" spans="1:18" x14ac:dyDescent="0.25">
      <c r="A26" s="11" t="s">
        <v>27</v>
      </c>
      <c r="B26" s="26">
        <v>68996</v>
      </c>
    </row>
    <row r="27" spans="1:18" x14ac:dyDescent="0.25">
      <c r="A27" s="11" t="s">
        <v>19</v>
      </c>
      <c r="B27" s="26">
        <v>68987</v>
      </c>
    </row>
    <row r="28" spans="1:18" x14ac:dyDescent="0.25">
      <c r="A28" s="11" t="s">
        <v>24</v>
      </c>
      <c r="B28" s="26">
        <v>68887</v>
      </c>
    </row>
    <row r="29" spans="1:18" x14ac:dyDescent="0.25">
      <c r="A29" s="11" t="s">
        <v>16</v>
      </c>
      <c r="B29" s="26">
        <v>64126</v>
      </c>
    </row>
    <row r="30" spans="1:18" x14ac:dyDescent="0.25">
      <c r="A30" s="11" t="s">
        <v>9</v>
      </c>
      <c r="B30" s="26">
        <v>831872</v>
      </c>
      <c r="D30" t="s">
        <v>231</v>
      </c>
      <c r="E30">
        <f>AVERAGE(B18:B29)</f>
        <v>69322.666666666672</v>
      </c>
    </row>
  </sheetData>
  <conditionalFormatting pivot="1" sqref="B2:B13">
    <cfRule type="top10" dxfId="20" priority="5" rank="5"/>
  </conditionalFormatting>
  <conditionalFormatting pivot="1" sqref="B2:B13">
    <cfRule type="top10" dxfId="19" priority="4" bottom="1" rank="5"/>
  </conditionalFormatting>
  <conditionalFormatting pivot="1" sqref="B18:B29">
    <cfRule type="cellIs" dxfId="16" priority="1" operator="greaterThan">
      <formula>$E$30</formula>
    </cfRule>
  </conditionalFormatting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9F51-3A0D-4A75-9DDC-B16C9BBE7203}">
  <dimension ref="A1:R86"/>
  <sheetViews>
    <sheetView topLeftCell="A72" zoomScale="85" zoomScaleNormal="85" workbookViewId="0">
      <selection activeCell="L94" sqref="L94"/>
    </sheetView>
  </sheetViews>
  <sheetFormatPr defaultRowHeight="15" x14ac:dyDescent="0.25"/>
  <cols>
    <col min="1" max="1" width="30.5703125" bestFit="1" customWidth="1"/>
    <col min="2" max="2" width="16.28515625" bestFit="1" customWidth="1"/>
    <col min="3" max="3" width="8.42578125" bestFit="1" customWidth="1"/>
    <col min="4" max="4" width="9.42578125" bestFit="1" customWidth="1"/>
    <col min="5" max="5" width="8.42578125" bestFit="1" customWidth="1"/>
    <col min="6" max="8" width="9.42578125" bestFit="1" customWidth="1"/>
    <col min="9" max="9" width="8.42578125" bestFit="1" customWidth="1"/>
    <col min="10" max="13" width="9.140625" bestFit="1" customWidth="1"/>
    <col min="14" max="14" width="11.28515625" bestFit="1" customWidth="1"/>
    <col min="15" max="15" width="27" bestFit="1" customWidth="1"/>
    <col min="16" max="16" width="10.85546875" bestFit="1" customWidth="1"/>
    <col min="17" max="17" width="13.42578125" bestFit="1" customWidth="1"/>
    <col min="18" max="18" width="11.42578125" bestFit="1" customWidth="1"/>
    <col min="19" max="19" width="27" bestFit="1" customWidth="1"/>
    <col min="20" max="20" width="13.42578125" bestFit="1" customWidth="1"/>
    <col min="21" max="21" width="27" bestFit="1" customWidth="1"/>
    <col min="22" max="22" width="13.42578125" bestFit="1" customWidth="1"/>
    <col min="23" max="23" width="27" bestFit="1" customWidth="1"/>
    <col min="24" max="24" width="13.42578125" bestFit="1" customWidth="1"/>
    <col min="25" max="25" width="27" bestFit="1" customWidth="1"/>
    <col min="26" max="26" width="18.42578125" bestFit="1" customWidth="1"/>
    <col min="27" max="27" width="32" bestFit="1" customWidth="1"/>
  </cols>
  <sheetData>
    <row r="1" spans="1:14" x14ac:dyDescent="0.25">
      <c r="A1" s="10" t="s">
        <v>168</v>
      </c>
      <c r="B1" s="10" t="s">
        <v>11</v>
      </c>
    </row>
    <row r="2" spans="1:14" x14ac:dyDescent="0.25">
      <c r="A2" s="10" t="s">
        <v>30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9</v>
      </c>
    </row>
    <row r="3" spans="1:14" x14ac:dyDescent="0.25">
      <c r="A3" s="11" t="s">
        <v>2</v>
      </c>
      <c r="B3">
        <v>3890</v>
      </c>
      <c r="C3">
        <v>4320</v>
      </c>
      <c r="D3">
        <v>4279</v>
      </c>
      <c r="E3">
        <v>4136</v>
      </c>
      <c r="F3">
        <v>4337</v>
      </c>
      <c r="G3">
        <v>4400</v>
      </c>
      <c r="H3">
        <v>4141</v>
      </c>
      <c r="I3">
        <v>4166</v>
      </c>
      <c r="J3">
        <v>3798</v>
      </c>
      <c r="K3">
        <v>3940</v>
      </c>
      <c r="L3">
        <v>3790</v>
      </c>
      <c r="M3">
        <v>3677</v>
      </c>
      <c r="N3">
        <v>48874</v>
      </c>
    </row>
    <row r="4" spans="1:14" x14ac:dyDescent="0.25">
      <c r="A4" s="11" t="s">
        <v>3</v>
      </c>
      <c r="B4">
        <v>4460</v>
      </c>
      <c r="C4">
        <v>4703</v>
      </c>
      <c r="D4">
        <v>5043</v>
      </c>
      <c r="E4">
        <v>4692</v>
      </c>
      <c r="F4">
        <v>4879</v>
      </c>
      <c r="G4">
        <v>4779</v>
      </c>
      <c r="H4">
        <v>4944</v>
      </c>
      <c r="I4">
        <v>4778</v>
      </c>
      <c r="J4">
        <v>4814</v>
      </c>
      <c r="K4">
        <v>5079</v>
      </c>
      <c r="L4">
        <v>4964</v>
      </c>
      <c r="M4">
        <v>4740</v>
      </c>
      <c r="N4">
        <v>57875</v>
      </c>
    </row>
    <row r="5" spans="1:14" x14ac:dyDescent="0.25">
      <c r="A5" s="11" t="s">
        <v>4</v>
      </c>
      <c r="B5">
        <v>16173</v>
      </c>
      <c r="C5">
        <v>17740</v>
      </c>
      <c r="D5">
        <v>17724</v>
      </c>
      <c r="E5">
        <v>17283</v>
      </c>
      <c r="F5">
        <v>18190</v>
      </c>
      <c r="G5">
        <v>17933</v>
      </c>
      <c r="H5">
        <v>17990</v>
      </c>
      <c r="I5">
        <v>17700</v>
      </c>
      <c r="J5">
        <v>17434</v>
      </c>
      <c r="K5">
        <v>17698</v>
      </c>
      <c r="L5">
        <v>17948</v>
      </c>
      <c r="M5">
        <v>17572</v>
      </c>
      <c r="N5">
        <v>211385</v>
      </c>
    </row>
    <row r="6" spans="1:14" x14ac:dyDescent="0.25">
      <c r="A6" s="11" t="s">
        <v>5</v>
      </c>
      <c r="B6">
        <v>20240</v>
      </c>
      <c r="C6">
        <v>21960</v>
      </c>
      <c r="D6">
        <v>22503</v>
      </c>
      <c r="E6">
        <v>21803</v>
      </c>
      <c r="F6">
        <v>21900</v>
      </c>
      <c r="G6">
        <v>22089</v>
      </c>
      <c r="H6">
        <v>22177</v>
      </c>
      <c r="I6">
        <v>22340</v>
      </c>
      <c r="J6">
        <v>22104</v>
      </c>
      <c r="K6">
        <v>21932</v>
      </c>
      <c r="L6">
        <v>22093</v>
      </c>
      <c r="M6">
        <v>21836</v>
      </c>
      <c r="N6">
        <v>262977</v>
      </c>
    </row>
    <row r="7" spans="1:14" x14ac:dyDescent="0.25">
      <c r="A7" s="11" t="s">
        <v>6</v>
      </c>
      <c r="B7">
        <v>10217</v>
      </c>
      <c r="C7">
        <v>11083</v>
      </c>
      <c r="D7">
        <v>10951</v>
      </c>
      <c r="E7">
        <v>11212</v>
      </c>
      <c r="F7">
        <v>11325</v>
      </c>
      <c r="G7">
        <v>10672</v>
      </c>
      <c r="H7">
        <v>11582</v>
      </c>
      <c r="I7">
        <v>11032</v>
      </c>
      <c r="J7">
        <v>10970</v>
      </c>
      <c r="K7">
        <v>11260</v>
      </c>
      <c r="L7">
        <v>11184</v>
      </c>
      <c r="M7">
        <v>11400</v>
      </c>
      <c r="N7">
        <v>132888</v>
      </c>
    </row>
    <row r="8" spans="1:14" x14ac:dyDescent="0.25">
      <c r="A8" s="11" t="s">
        <v>7</v>
      </c>
      <c r="B8">
        <v>5205</v>
      </c>
      <c r="C8">
        <v>5622</v>
      </c>
      <c r="D8">
        <v>5446</v>
      </c>
      <c r="E8">
        <v>5578</v>
      </c>
      <c r="F8">
        <v>5746</v>
      </c>
      <c r="G8">
        <v>5602</v>
      </c>
      <c r="H8">
        <v>5620</v>
      </c>
      <c r="I8">
        <v>5692</v>
      </c>
      <c r="J8">
        <v>5530</v>
      </c>
      <c r="K8">
        <v>5498</v>
      </c>
      <c r="L8">
        <v>5540</v>
      </c>
      <c r="M8">
        <v>5493</v>
      </c>
      <c r="N8">
        <v>66572</v>
      </c>
    </row>
    <row r="9" spans="1:14" x14ac:dyDescent="0.25">
      <c r="A9" s="11" t="s">
        <v>8</v>
      </c>
      <c r="B9">
        <v>3941</v>
      </c>
      <c r="C9">
        <v>4285</v>
      </c>
      <c r="D9">
        <v>4364</v>
      </c>
      <c r="E9">
        <v>4283</v>
      </c>
      <c r="F9">
        <v>4359</v>
      </c>
      <c r="G9">
        <v>4398</v>
      </c>
      <c r="H9">
        <v>4387</v>
      </c>
      <c r="I9">
        <v>4254</v>
      </c>
      <c r="J9">
        <v>4237</v>
      </c>
      <c r="K9">
        <v>4239</v>
      </c>
      <c r="L9">
        <v>4276</v>
      </c>
      <c r="M9">
        <v>4278</v>
      </c>
      <c r="N9">
        <v>51301</v>
      </c>
    </row>
    <row r="10" spans="1:14" x14ac:dyDescent="0.25">
      <c r="A10" s="11" t="s">
        <v>9</v>
      </c>
      <c r="B10">
        <v>64126</v>
      </c>
      <c r="C10">
        <v>69713</v>
      </c>
      <c r="D10">
        <v>70310</v>
      </c>
      <c r="E10">
        <v>68987</v>
      </c>
      <c r="F10">
        <v>70736</v>
      </c>
      <c r="G10">
        <v>69873</v>
      </c>
      <c r="H10">
        <v>70841</v>
      </c>
      <c r="I10">
        <v>69962</v>
      </c>
      <c r="J10">
        <v>68887</v>
      </c>
      <c r="K10">
        <v>69646</v>
      </c>
      <c r="L10">
        <v>69795</v>
      </c>
      <c r="M10">
        <v>68996</v>
      </c>
      <c r="N10">
        <v>831872</v>
      </c>
    </row>
    <row r="15" spans="1:14" x14ac:dyDescent="0.25">
      <c r="A15" s="10" t="s">
        <v>168</v>
      </c>
      <c r="B15" s="10" t="s">
        <v>11</v>
      </c>
    </row>
    <row r="16" spans="1:14" x14ac:dyDescent="0.25">
      <c r="A16" s="10" t="s">
        <v>30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9</v>
      </c>
    </row>
    <row r="17" spans="1:18" x14ac:dyDescent="0.25">
      <c r="A17" s="11" t="s">
        <v>2</v>
      </c>
      <c r="B17">
        <v>3890</v>
      </c>
      <c r="C17">
        <v>4320</v>
      </c>
      <c r="D17">
        <v>4279</v>
      </c>
      <c r="E17">
        <v>4136</v>
      </c>
      <c r="F17">
        <v>4337</v>
      </c>
      <c r="G17">
        <v>4400</v>
      </c>
      <c r="H17">
        <v>4141</v>
      </c>
      <c r="I17">
        <v>4166</v>
      </c>
      <c r="J17">
        <v>3798</v>
      </c>
      <c r="K17">
        <v>3940</v>
      </c>
      <c r="L17">
        <v>3790</v>
      </c>
      <c r="M17">
        <v>3677</v>
      </c>
      <c r="N17">
        <v>48874</v>
      </c>
    </row>
    <row r="18" spans="1:18" x14ac:dyDescent="0.25">
      <c r="A18" s="11" t="s">
        <v>3</v>
      </c>
      <c r="B18">
        <v>4460</v>
      </c>
      <c r="C18">
        <v>4703</v>
      </c>
      <c r="D18">
        <v>5043</v>
      </c>
      <c r="E18">
        <v>4692</v>
      </c>
      <c r="F18">
        <v>4879</v>
      </c>
      <c r="G18">
        <v>4779</v>
      </c>
      <c r="H18">
        <v>4944</v>
      </c>
      <c r="I18">
        <v>4778</v>
      </c>
      <c r="J18">
        <v>4814</v>
      </c>
      <c r="K18">
        <v>5079</v>
      </c>
      <c r="L18">
        <v>4964</v>
      </c>
      <c r="M18">
        <v>4740</v>
      </c>
      <c r="N18">
        <v>57875</v>
      </c>
    </row>
    <row r="19" spans="1:18" x14ac:dyDescent="0.25">
      <c r="A19" s="11" t="s">
        <v>4</v>
      </c>
      <c r="B19">
        <v>16173</v>
      </c>
      <c r="C19">
        <v>17740</v>
      </c>
      <c r="D19">
        <v>17724</v>
      </c>
      <c r="E19">
        <v>17283</v>
      </c>
      <c r="F19">
        <v>18190</v>
      </c>
      <c r="G19">
        <v>17933</v>
      </c>
      <c r="H19">
        <v>17990</v>
      </c>
      <c r="I19">
        <v>17700</v>
      </c>
      <c r="J19">
        <v>17434</v>
      </c>
      <c r="K19">
        <v>17698</v>
      </c>
      <c r="L19">
        <v>17948</v>
      </c>
      <c r="M19">
        <v>17572</v>
      </c>
      <c r="N19">
        <v>211385</v>
      </c>
    </row>
    <row r="20" spans="1:18" x14ac:dyDescent="0.25">
      <c r="A20" s="11" t="s">
        <v>5</v>
      </c>
      <c r="B20">
        <v>20240</v>
      </c>
      <c r="C20">
        <v>21960</v>
      </c>
      <c r="D20">
        <v>22503</v>
      </c>
      <c r="E20">
        <v>21803</v>
      </c>
      <c r="F20">
        <v>21900</v>
      </c>
      <c r="G20">
        <v>22089</v>
      </c>
      <c r="H20">
        <v>22177</v>
      </c>
      <c r="I20">
        <v>22340</v>
      </c>
      <c r="J20">
        <v>22104</v>
      </c>
      <c r="K20">
        <v>21932</v>
      </c>
      <c r="L20">
        <v>22093</v>
      </c>
      <c r="M20">
        <v>21836</v>
      </c>
      <c r="N20">
        <v>262977</v>
      </c>
    </row>
    <row r="21" spans="1:18" x14ac:dyDescent="0.25">
      <c r="A21" s="11" t="s">
        <v>6</v>
      </c>
      <c r="B21">
        <v>10217</v>
      </c>
      <c r="C21">
        <v>11083</v>
      </c>
      <c r="D21">
        <v>10951</v>
      </c>
      <c r="E21">
        <v>11212</v>
      </c>
      <c r="F21">
        <v>11325</v>
      </c>
      <c r="G21">
        <v>10672</v>
      </c>
      <c r="H21">
        <v>11582</v>
      </c>
      <c r="I21">
        <v>11032</v>
      </c>
      <c r="J21">
        <v>10970</v>
      </c>
      <c r="K21">
        <v>11260</v>
      </c>
      <c r="L21">
        <v>11184</v>
      </c>
      <c r="M21">
        <v>11400</v>
      </c>
      <c r="N21">
        <v>132888</v>
      </c>
    </row>
    <row r="22" spans="1:18" x14ac:dyDescent="0.25">
      <c r="A22" s="11" t="s">
        <v>7</v>
      </c>
      <c r="B22">
        <v>5205</v>
      </c>
      <c r="C22">
        <v>5622</v>
      </c>
      <c r="D22">
        <v>5446</v>
      </c>
      <c r="E22">
        <v>5578</v>
      </c>
      <c r="F22">
        <v>5746</v>
      </c>
      <c r="G22">
        <v>5602</v>
      </c>
      <c r="H22">
        <v>5620</v>
      </c>
      <c r="I22">
        <v>5692</v>
      </c>
      <c r="J22">
        <v>5530</v>
      </c>
      <c r="K22">
        <v>5498</v>
      </c>
      <c r="L22">
        <v>5540</v>
      </c>
      <c r="M22">
        <v>5493</v>
      </c>
      <c r="N22">
        <v>66572</v>
      </c>
    </row>
    <row r="23" spans="1:18" x14ac:dyDescent="0.25">
      <c r="A23" s="11" t="s">
        <v>8</v>
      </c>
      <c r="B23">
        <v>3941</v>
      </c>
      <c r="C23">
        <v>4285</v>
      </c>
      <c r="D23">
        <v>4364</v>
      </c>
      <c r="E23">
        <v>4283</v>
      </c>
      <c r="F23">
        <v>4359</v>
      </c>
      <c r="G23">
        <v>4398</v>
      </c>
      <c r="H23">
        <v>4387</v>
      </c>
      <c r="I23">
        <v>4254</v>
      </c>
      <c r="J23">
        <v>4237</v>
      </c>
      <c r="K23">
        <v>4239</v>
      </c>
      <c r="L23">
        <v>4276</v>
      </c>
      <c r="M23">
        <v>4278</v>
      </c>
      <c r="N23">
        <v>51301</v>
      </c>
    </row>
    <row r="24" spans="1:18" x14ac:dyDescent="0.25">
      <c r="A24" s="11" t="s">
        <v>9</v>
      </c>
      <c r="B24">
        <v>64126</v>
      </c>
      <c r="C24">
        <v>69713</v>
      </c>
      <c r="D24">
        <v>70310</v>
      </c>
      <c r="E24">
        <v>68987</v>
      </c>
      <c r="F24">
        <v>70736</v>
      </c>
      <c r="G24">
        <v>69873</v>
      </c>
      <c r="H24">
        <v>70841</v>
      </c>
      <c r="I24">
        <v>69962</v>
      </c>
      <c r="J24">
        <v>68887</v>
      </c>
      <c r="K24">
        <v>69646</v>
      </c>
      <c r="L24">
        <v>69795</v>
      </c>
      <c r="M24">
        <v>68996</v>
      </c>
      <c r="N24">
        <v>831872</v>
      </c>
    </row>
    <row r="31" spans="1:18" x14ac:dyDescent="0.25">
      <c r="A31" s="10" t="s">
        <v>168</v>
      </c>
      <c r="B31" s="10" t="s">
        <v>11</v>
      </c>
    </row>
    <row r="32" spans="1:18" ht="19.5" x14ac:dyDescent="0.3">
      <c r="A32" s="10" t="s">
        <v>30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9</v>
      </c>
      <c r="P32" s="14"/>
      <c r="Q32" s="14" t="s">
        <v>171</v>
      </c>
      <c r="R32" s="14" t="s">
        <v>172</v>
      </c>
    </row>
    <row r="33" spans="1:18" ht="19.5" x14ac:dyDescent="0.3">
      <c r="A33" s="11" t="s">
        <v>2</v>
      </c>
      <c r="B33">
        <v>3890</v>
      </c>
      <c r="C33">
        <v>4320</v>
      </c>
      <c r="D33">
        <v>4279</v>
      </c>
      <c r="E33">
        <v>4136</v>
      </c>
      <c r="F33">
        <v>4337</v>
      </c>
      <c r="G33">
        <v>4400</v>
      </c>
      <c r="H33">
        <v>4141</v>
      </c>
      <c r="I33">
        <v>4166</v>
      </c>
      <c r="J33">
        <v>3798</v>
      </c>
      <c r="K33">
        <v>3940</v>
      </c>
      <c r="L33">
        <v>3790</v>
      </c>
      <c r="M33">
        <v>3677</v>
      </c>
      <c r="N33">
        <v>48874</v>
      </c>
      <c r="P33" s="15" t="s">
        <v>173</v>
      </c>
      <c r="Q33" s="16">
        <f>MIN(B33:M39)</f>
        <v>3677</v>
      </c>
      <c r="R33" s="16">
        <f t="shared" ref="R33:R34" si="0">Q33+(Q33*30%)</f>
        <v>4780.1000000000004</v>
      </c>
    </row>
    <row r="34" spans="1:18" ht="19.5" x14ac:dyDescent="0.3">
      <c r="A34" s="11" t="s">
        <v>3</v>
      </c>
      <c r="B34">
        <v>4460</v>
      </c>
      <c r="C34">
        <v>4703</v>
      </c>
      <c r="D34">
        <v>5043</v>
      </c>
      <c r="E34">
        <v>4692</v>
      </c>
      <c r="F34">
        <v>4879</v>
      </c>
      <c r="G34">
        <v>4779</v>
      </c>
      <c r="H34">
        <v>4944</v>
      </c>
      <c r="I34">
        <v>4778</v>
      </c>
      <c r="J34">
        <v>4814</v>
      </c>
      <c r="K34">
        <v>5079</v>
      </c>
      <c r="L34">
        <v>4964</v>
      </c>
      <c r="M34">
        <v>4740</v>
      </c>
      <c r="N34">
        <v>57875</v>
      </c>
      <c r="P34" s="15" t="s">
        <v>174</v>
      </c>
      <c r="Q34" s="16">
        <f>MAX(B33:M39)</f>
        <v>22503</v>
      </c>
      <c r="R34" s="16">
        <f t="shared" si="0"/>
        <v>29253.9</v>
      </c>
    </row>
    <row r="35" spans="1:18" ht="19.5" x14ac:dyDescent="0.3">
      <c r="A35" s="11" t="s">
        <v>4</v>
      </c>
      <c r="B35">
        <v>16173</v>
      </c>
      <c r="C35">
        <v>17740</v>
      </c>
      <c r="D35">
        <v>17724</v>
      </c>
      <c r="E35">
        <v>17283</v>
      </c>
      <c r="F35">
        <v>18190</v>
      </c>
      <c r="G35">
        <v>17933</v>
      </c>
      <c r="H35">
        <v>17990</v>
      </c>
      <c r="I35">
        <v>17700</v>
      </c>
      <c r="J35">
        <v>17434</v>
      </c>
      <c r="K35">
        <v>17698</v>
      </c>
      <c r="L35">
        <v>17948</v>
      </c>
      <c r="M35">
        <v>17572</v>
      </c>
      <c r="N35">
        <v>211385</v>
      </c>
      <c r="P35" s="15" t="s">
        <v>175</v>
      </c>
      <c r="Q35" s="16">
        <f>AVERAGE(B33:M39)</f>
        <v>9903.2380952380954</v>
      </c>
      <c r="R35" s="16">
        <f>Q35+(Q35*30%)</f>
        <v>12874.209523809524</v>
      </c>
    </row>
    <row r="36" spans="1:18" x14ac:dyDescent="0.25">
      <c r="A36" s="11" t="s">
        <v>5</v>
      </c>
      <c r="B36">
        <v>20240</v>
      </c>
      <c r="C36">
        <v>21960</v>
      </c>
      <c r="D36">
        <v>22503</v>
      </c>
      <c r="E36">
        <v>21803</v>
      </c>
      <c r="F36">
        <v>21900</v>
      </c>
      <c r="G36">
        <v>22089</v>
      </c>
      <c r="H36">
        <v>22177</v>
      </c>
      <c r="I36">
        <v>22340</v>
      </c>
      <c r="J36">
        <v>22104</v>
      </c>
      <c r="K36">
        <v>21932</v>
      </c>
      <c r="L36">
        <v>22093</v>
      </c>
      <c r="M36">
        <v>21836</v>
      </c>
      <c r="N36">
        <v>262977</v>
      </c>
    </row>
    <row r="37" spans="1:18" x14ac:dyDescent="0.25">
      <c r="A37" s="11" t="s">
        <v>6</v>
      </c>
      <c r="B37">
        <v>10217</v>
      </c>
      <c r="C37">
        <v>11083</v>
      </c>
      <c r="D37">
        <v>10951</v>
      </c>
      <c r="E37">
        <v>11212</v>
      </c>
      <c r="F37">
        <v>11325</v>
      </c>
      <c r="G37">
        <v>10672</v>
      </c>
      <c r="H37">
        <v>11582</v>
      </c>
      <c r="I37">
        <v>11032</v>
      </c>
      <c r="J37">
        <v>10970</v>
      </c>
      <c r="K37">
        <v>11260</v>
      </c>
      <c r="L37">
        <v>11184</v>
      </c>
      <c r="M37">
        <v>11400</v>
      </c>
      <c r="N37">
        <v>132888</v>
      </c>
    </row>
    <row r="38" spans="1:18" x14ac:dyDescent="0.25">
      <c r="A38" s="11" t="s">
        <v>7</v>
      </c>
      <c r="B38">
        <v>5205</v>
      </c>
      <c r="C38">
        <v>5622</v>
      </c>
      <c r="D38">
        <v>5446</v>
      </c>
      <c r="E38">
        <v>5578</v>
      </c>
      <c r="F38">
        <v>5746</v>
      </c>
      <c r="G38">
        <v>5602</v>
      </c>
      <c r="H38">
        <v>5620</v>
      </c>
      <c r="I38">
        <v>5692</v>
      </c>
      <c r="J38">
        <v>5530</v>
      </c>
      <c r="K38">
        <v>5498</v>
      </c>
      <c r="L38">
        <v>5540</v>
      </c>
      <c r="M38">
        <v>5493</v>
      </c>
      <c r="N38">
        <v>66572</v>
      </c>
    </row>
    <row r="39" spans="1:18" x14ac:dyDescent="0.25">
      <c r="A39" s="11" t="s">
        <v>8</v>
      </c>
      <c r="B39">
        <v>3941</v>
      </c>
      <c r="C39">
        <v>4285</v>
      </c>
      <c r="D39">
        <v>4364</v>
      </c>
      <c r="E39">
        <v>4283</v>
      </c>
      <c r="F39">
        <v>4359</v>
      </c>
      <c r="G39">
        <v>4398</v>
      </c>
      <c r="H39">
        <v>4387</v>
      </c>
      <c r="I39">
        <v>4254</v>
      </c>
      <c r="J39">
        <v>4237</v>
      </c>
      <c r="K39">
        <v>4239</v>
      </c>
      <c r="L39">
        <v>4276</v>
      </c>
      <c r="M39">
        <v>4278</v>
      </c>
      <c r="N39">
        <v>51301</v>
      </c>
    </row>
    <row r="40" spans="1:18" x14ac:dyDescent="0.25">
      <c r="A40" s="11" t="s">
        <v>9</v>
      </c>
      <c r="B40">
        <v>64126</v>
      </c>
      <c r="C40">
        <v>69713</v>
      </c>
      <c r="D40">
        <v>70310</v>
      </c>
      <c r="E40">
        <v>68987</v>
      </c>
      <c r="F40">
        <v>70736</v>
      </c>
      <c r="G40">
        <v>69873</v>
      </c>
      <c r="H40">
        <v>70841</v>
      </c>
      <c r="I40">
        <v>69962</v>
      </c>
      <c r="J40">
        <v>68887</v>
      </c>
      <c r="K40">
        <v>69646</v>
      </c>
      <c r="L40">
        <v>69795</v>
      </c>
      <c r="M40">
        <v>68996</v>
      </c>
      <c r="N40">
        <v>831872</v>
      </c>
    </row>
    <row r="47" spans="1:18" x14ac:dyDescent="0.25">
      <c r="A47" s="10" t="s">
        <v>168</v>
      </c>
      <c r="B47" s="10" t="s">
        <v>11</v>
      </c>
    </row>
    <row r="48" spans="1:18" x14ac:dyDescent="0.25">
      <c r="A48" s="10" t="s">
        <v>30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9</v>
      </c>
    </row>
    <row r="49" spans="1:14" x14ac:dyDescent="0.25">
      <c r="A49" s="11" t="s">
        <v>2</v>
      </c>
      <c r="B49">
        <v>3890</v>
      </c>
      <c r="C49">
        <v>4320</v>
      </c>
      <c r="D49">
        <v>4279</v>
      </c>
      <c r="E49">
        <v>4136</v>
      </c>
      <c r="F49">
        <v>4337</v>
      </c>
      <c r="G49">
        <v>4400</v>
      </c>
      <c r="H49">
        <v>4141</v>
      </c>
      <c r="I49">
        <v>4166</v>
      </c>
      <c r="J49">
        <v>3798</v>
      </c>
      <c r="K49">
        <v>3940</v>
      </c>
      <c r="L49">
        <v>3790</v>
      </c>
      <c r="M49">
        <v>3677</v>
      </c>
      <c r="N49">
        <v>48874</v>
      </c>
    </row>
    <row r="50" spans="1:14" x14ac:dyDescent="0.25">
      <c r="A50" s="11" t="s">
        <v>3</v>
      </c>
      <c r="B50">
        <v>4460</v>
      </c>
      <c r="C50">
        <v>4703</v>
      </c>
      <c r="D50">
        <v>5043</v>
      </c>
      <c r="E50">
        <v>4692</v>
      </c>
      <c r="F50">
        <v>4879</v>
      </c>
      <c r="G50">
        <v>4779</v>
      </c>
      <c r="H50">
        <v>4944</v>
      </c>
      <c r="I50">
        <v>4778</v>
      </c>
      <c r="J50">
        <v>4814</v>
      </c>
      <c r="K50">
        <v>5079</v>
      </c>
      <c r="L50">
        <v>4964</v>
      </c>
      <c r="M50">
        <v>4740</v>
      </c>
      <c r="N50">
        <v>57875</v>
      </c>
    </row>
    <row r="51" spans="1:14" x14ac:dyDescent="0.25">
      <c r="A51" s="11" t="s">
        <v>4</v>
      </c>
      <c r="B51">
        <v>16173</v>
      </c>
      <c r="C51">
        <v>17740</v>
      </c>
      <c r="D51">
        <v>17724</v>
      </c>
      <c r="E51">
        <v>17283</v>
      </c>
      <c r="F51">
        <v>18190</v>
      </c>
      <c r="G51">
        <v>17933</v>
      </c>
      <c r="H51">
        <v>17990</v>
      </c>
      <c r="I51">
        <v>17700</v>
      </c>
      <c r="J51">
        <v>17434</v>
      </c>
      <c r="K51">
        <v>17698</v>
      </c>
      <c r="L51">
        <v>17948</v>
      </c>
      <c r="M51">
        <v>17572</v>
      </c>
      <c r="N51">
        <v>211385</v>
      </c>
    </row>
    <row r="52" spans="1:14" x14ac:dyDescent="0.25">
      <c r="A52" s="11" t="s">
        <v>5</v>
      </c>
      <c r="B52">
        <v>20240</v>
      </c>
      <c r="C52">
        <v>21960</v>
      </c>
      <c r="D52">
        <v>22503</v>
      </c>
      <c r="E52">
        <v>21803</v>
      </c>
      <c r="F52">
        <v>21900</v>
      </c>
      <c r="G52">
        <v>22089</v>
      </c>
      <c r="H52">
        <v>22177</v>
      </c>
      <c r="I52">
        <v>22340</v>
      </c>
      <c r="J52">
        <v>22104</v>
      </c>
      <c r="K52">
        <v>21932</v>
      </c>
      <c r="L52">
        <v>22093</v>
      </c>
      <c r="M52">
        <v>21836</v>
      </c>
      <c r="N52">
        <v>262977</v>
      </c>
    </row>
    <row r="53" spans="1:14" x14ac:dyDescent="0.25">
      <c r="A53" s="11" t="s">
        <v>6</v>
      </c>
      <c r="B53">
        <v>10217</v>
      </c>
      <c r="C53">
        <v>11083</v>
      </c>
      <c r="D53">
        <v>10951</v>
      </c>
      <c r="E53">
        <v>11212</v>
      </c>
      <c r="F53">
        <v>11325</v>
      </c>
      <c r="G53">
        <v>10672</v>
      </c>
      <c r="H53">
        <v>11582</v>
      </c>
      <c r="I53">
        <v>11032</v>
      </c>
      <c r="J53">
        <v>10970</v>
      </c>
      <c r="K53">
        <v>11260</v>
      </c>
      <c r="L53">
        <v>11184</v>
      </c>
      <c r="M53">
        <v>11400</v>
      </c>
      <c r="N53">
        <v>132888</v>
      </c>
    </row>
    <row r="54" spans="1:14" x14ac:dyDescent="0.25">
      <c r="A54" s="11" t="s">
        <v>7</v>
      </c>
      <c r="B54">
        <v>5205</v>
      </c>
      <c r="C54">
        <v>5622</v>
      </c>
      <c r="D54">
        <v>5446</v>
      </c>
      <c r="E54">
        <v>5578</v>
      </c>
      <c r="F54">
        <v>5746</v>
      </c>
      <c r="G54">
        <v>5602</v>
      </c>
      <c r="H54">
        <v>5620</v>
      </c>
      <c r="I54">
        <v>5692</v>
      </c>
      <c r="J54">
        <v>5530</v>
      </c>
      <c r="K54">
        <v>5498</v>
      </c>
      <c r="L54">
        <v>5540</v>
      </c>
      <c r="M54">
        <v>5493</v>
      </c>
      <c r="N54">
        <v>66572</v>
      </c>
    </row>
    <row r="55" spans="1:14" x14ac:dyDescent="0.25">
      <c r="A55" s="11" t="s">
        <v>8</v>
      </c>
      <c r="B55">
        <v>3941</v>
      </c>
      <c r="C55">
        <v>4285</v>
      </c>
      <c r="D55">
        <v>4364</v>
      </c>
      <c r="E55">
        <v>4283</v>
      </c>
      <c r="F55">
        <v>4359</v>
      </c>
      <c r="G55">
        <v>4398</v>
      </c>
      <c r="H55">
        <v>4387</v>
      </c>
      <c r="I55">
        <v>4254</v>
      </c>
      <c r="J55">
        <v>4237</v>
      </c>
      <c r="K55">
        <v>4239</v>
      </c>
      <c r="L55">
        <v>4276</v>
      </c>
      <c r="M55">
        <v>4278</v>
      </c>
      <c r="N55">
        <v>51301</v>
      </c>
    </row>
    <row r="56" spans="1:14" x14ac:dyDescent="0.25">
      <c r="A56" s="11" t="s">
        <v>9</v>
      </c>
      <c r="B56">
        <v>64126</v>
      </c>
      <c r="C56">
        <v>69713</v>
      </c>
      <c r="D56">
        <v>70310</v>
      </c>
      <c r="E56">
        <v>68987</v>
      </c>
      <c r="F56">
        <v>70736</v>
      </c>
      <c r="G56">
        <v>69873</v>
      </c>
      <c r="H56">
        <v>70841</v>
      </c>
      <c r="I56">
        <v>69962</v>
      </c>
      <c r="J56">
        <v>68887</v>
      </c>
      <c r="K56">
        <v>69646</v>
      </c>
      <c r="L56">
        <v>69795</v>
      </c>
      <c r="M56">
        <v>68996</v>
      </c>
      <c r="N56">
        <v>831872</v>
      </c>
    </row>
    <row r="64" spans="1:14" x14ac:dyDescent="0.25">
      <c r="A64" s="10" t="s">
        <v>15</v>
      </c>
      <c r="B64" s="10" t="s">
        <v>11</v>
      </c>
    </row>
    <row r="65" spans="1:17" x14ac:dyDescent="0.25">
      <c r="A65" s="10" t="s">
        <v>30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9</v>
      </c>
    </row>
    <row r="66" spans="1:17" x14ac:dyDescent="0.25">
      <c r="A66" s="11" t="s">
        <v>2</v>
      </c>
      <c r="B66" s="4">
        <v>3.0183275888623091E-2</v>
      </c>
      <c r="C66" s="4">
        <v>9.328400647266949E-2</v>
      </c>
      <c r="D66" s="4">
        <v>5.2147896466210181E-2</v>
      </c>
      <c r="E66" s="4">
        <v>3.6333354733204336E-2</v>
      </c>
      <c r="F66" s="4">
        <v>0.12636808418018844</v>
      </c>
      <c r="G66" s="4">
        <v>0.13148020447252518</v>
      </c>
      <c r="H66" s="4">
        <v>6.669717397108281E-2</v>
      </c>
      <c r="I66" s="4">
        <v>5.0381280147815594E-2</v>
      </c>
      <c r="J66" s="4">
        <v>-3.2290579916257243E-2</v>
      </c>
      <c r="K66" s="4">
        <v>-2.3176578036423454E-2</v>
      </c>
      <c r="L66" s="4">
        <v>-6.9052007295892462E-2</v>
      </c>
      <c r="M66" s="4">
        <v>-9.4532023200460391E-2</v>
      </c>
      <c r="N66" s="4">
        <v>3.0652007323607146E-2</v>
      </c>
    </row>
    <row r="67" spans="1:17" x14ac:dyDescent="0.25">
      <c r="A67" s="11" t="s">
        <v>3</v>
      </c>
      <c r="B67" s="4">
        <v>6.355473224947332E-2</v>
      </c>
      <c r="C67" s="4">
        <v>8.249631575669826E-2</v>
      </c>
      <c r="D67" s="4">
        <v>0.1523252175317521</v>
      </c>
      <c r="E67" s="4">
        <v>6.0972731496798015E-2</v>
      </c>
      <c r="F67" s="4">
        <v>0.13395554164602805</v>
      </c>
      <c r="G67" s="4">
        <v>0.10988409373250858</v>
      </c>
      <c r="H67" s="4">
        <v>0.11838449425469344</v>
      </c>
      <c r="I67" s="4">
        <v>7.0366483316702019E-2</v>
      </c>
      <c r="J67" s="4">
        <v>5.4988019529465589E-2</v>
      </c>
      <c r="K67" s="4">
        <v>7.6548814065249784E-2</v>
      </c>
      <c r="L67" s="4">
        <v>3.9178206276343663E-2</v>
      </c>
      <c r="M67" s="4">
        <v>8.7974338712065656E-3</v>
      </c>
      <c r="N67" s="4">
        <v>8.095434031057662E-2</v>
      </c>
      <c r="P67" t="s">
        <v>232</v>
      </c>
      <c r="Q67" s="4">
        <f>MIN(B66:M72)</f>
        <v>-9.4532023200460391E-2</v>
      </c>
    </row>
    <row r="68" spans="1:17" x14ac:dyDescent="0.25">
      <c r="A68" s="11" t="s">
        <v>4</v>
      </c>
      <c r="B68" s="4">
        <v>2.4670597401929069E-2</v>
      </c>
      <c r="C68" s="4">
        <v>6.3580562587990316E-2</v>
      </c>
      <c r="D68" s="4">
        <v>5.8836374271478607E-2</v>
      </c>
      <c r="E68" s="4">
        <v>3.1240260919078784E-2</v>
      </c>
      <c r="F68" s="4">
        <v>8.1702678611168242E-2</v>
      </c>
      <c r="G68" s="4">
        <v>7.1334135956818534E-2</v>
      </c>
      <c r="H68" s="4">
        <v>6.4059712997726614E-2</v>
      </c>
      <c r="I68" s="4">
        <v>3.3714334657174549E-2</v>
      </c>
      <c r="J68" s="4">
        <v>-1.9485758696921622E-3</v>
      </c>
      <c r="K68" s="4">
        <v>-4.7823401024669294E-3</v>
      </c>
      <c r="L68" s="4">
        <v>-1.5059359761021648E-2</v>
      </c>
      <c r="M68" s="4">
        <v>-5.1983248023739999E-2</v>
      </c>
      <c r="N68" s="4">
        <v>2.9613761137203633E-2</v>
      </c>
      <c r="P68" t="s">
        <v>233</v>
      </c>
      <c r="Q68" s="4">
        <f>MAX(B66:M72)</f>
        <v>0.1523252175317521</v>
      </c>
    </row>
    <row r="69" spans="1:17" x14ac:dyDescent="0.25">
      <c r="A69" s="11" t="s">
        <v>5</v>
      </c>
      <c r="B69" s="4">
        <v>3.7470577439061521E-2</v>
      </c>
      <c r="C69" s="4">
        <v>6.8458218375809413E-2</v>
      </c>
      <c r="D69" s="4">
        <v>8.7641931190590064E-2</v>
      </c>
      <c r="E69" s="4">
        <v>5.3920779628623398E-2</v>
      </c>
      <c r="F69" s="4">
        <v>0.10036719847305987</v>
      </c>
      <c r="G69" s="4">
        <v>8.8411367311731159E-2</v>
      </c>
      <c r="H69" s="4">
        <v>9.262225991126162E-2</v>
      </c>
      <c r="I69" s="4">
        <v>6.5165906399737517E-2</v>
      </c>
      <c r="J69" s="4">
        <v>4.2820585069266469E-2</v>
      </c>
      <c r="K69" s="4">
        <v>9.2156990706080064E-3</v>
      </c>
      <c r="L69" s="4">
        <v>1.574058275119276E-2</v>
      </c>
      <c r="M69" s="4">
        <v>-8.279003336810498E-3</v>
      </c>
      <c r="N69" s="4">
        <v>5.4463008523677553E-2</v>
      </c>
      <c r="P69" t="s">
        <v>234</v>
      </c>
      <c r="Q69" s="4">
        <f>AVERAGE(B66:M72)</f>
        <v>5.0914766007891687E-2</v>
      </c>
    </row>
    <row r="70" spans="1:17" x14ac:dyDescent="0.25">
      <c r="A70" s="11" t="s">
        <v>6</v>
      </c>
      <c r="B70" s="4">
        <v>2.4981843778056591E-2</v>
      </c>
      <c r="C70" s="4">
        <v>6.2012535710537088E-2</v>
      </c>
      <c r="D70" s="4">
        <v>3.9191194057846927E-2</v>
      </c>
      <c r="E70" s="4">
        <v>5.2275824810684192E-2</v>
      </c>
      <c r="F70" s="4">
        <v>9.6138767513564052E-2</v>
      </c>
      <c r="G70" s="4">
        <v>4.2933383016542953E-2</v>
      </c>
      <c r="H70" s="4">
        <v>0.10483769050771891</v>
      </c>
      <c r="I70" s="4">
        <v>4.1553583767983515E-2</v>
      </c>
      <c r="J70" s="4">
        <v>1.9278053316504076E-2</v>
      </c>
      <c r="K70" s="4">
        <v>2.2670995601156443E-2</v>
      </c>
      <c r="L70" s="4">
        <v>1.8967768235652816E-2</v>
      </c>
      <c r="M70" s="4">
        <v>-5.4847787351729243E-3</v>
      </c>
      <c r="N70" s="4">
        <v>4.3279738465089583E-2</v>
      </c>
    </row>
    <row r="71" spans="1:17" x14ac:dyDescent="0.25">
      <c r="A71" s="11" t="s">
        <v>7</v>
      </c>
      <c r="B71" s="4">
        <v>2.4249506537756149E-2</v>
      </c>
      <c r="C71" s="4">
        <v>8.3144286369783577E-2</v>
      </c>
      <c r="D71" s="4">
        <v>3.9904460228142848E-2</v>
      </c>
      <c r="E71" s="4">
        <v>4.9141617838309865E-2</v>
      </c>
      <c r="F71" s="4">
        <v>0.12647472088036149</v>
      </c>
      <c r="G71" s="4">
        <v>9.3320000131450601E-2</v>
      </c>
      <c r="H71" s="4">
        <v>9.2875525407806359E-2</v>
      </c>
      <c r="I71" s="4">
        <v>7.4476765973294723E-2</v>
      </c>
      <c r="J71" s="4">
        <v>4.2922297771712463E-2</v>
      </c>
      <c r="K71" s="4">
        <v>1.4598590789748754E-2</v>
      </c>
      <c r="L71" s="4">
        <v>1.1835625160577684E-2</v>
      </c>
      <c r="M71" s="4">
        <v>-6.527369701374343E-3</v>
      </c>
      <c r="N71" s="4">
        <v>5.3868002282297517E-2</v>
      </c>
    </row>
    <row r="72" spans="1:17" x14ac:dyDescent="0.25">
      <c r="A72" s="11" t="s">
        <v>8</v>
      </c>
      <c r="B72" s="4">
        <v>3.0627202961739253E-2</v>
      </c>
      <c r="C72" s="4">
        <v>8.8904627158491206E-2</v>
      </c>
      <c r="D72" s="4">
        <v>7.8610430727097599E-2</v>
      </c>
      <c r="E72" s="4">
        <v>6.6866478322149578E-2</v>
      </c>
      <c r="F72" s="4">
        <v>0.11386628064481377</v>
      </c>
      <c r="G72" s="4">
        <v>0.12206302094030654</v>
      </c>
      <c r="H72" s="4">
        <v>0.12064299025179782</v>
      </c>
      <c r="I72" s="4">
        <v>5.6792817595173378E-2</v>
      </c>
      <c r="J72" s="4">
        <v>4.25003515715284E-2</v>
      </c>
      <c r="K72" s="4">
        <v>1.8070891406610178E-2</v>
      </c>
      <c r="L72" s="4">
        <v>1.6681818663855319E-2</v>
      </c>
      <c r="M72" s="4">
        <v>7.2431379099119585E-3</v>
      </c>
      <c r="N72" s="4">
        <v>6.3572504012789563E-2</v>
      </c>
    </row>
    <row r="73" spans="1:17" x14ac:dyDescent="0.25">
      <c r="A73" s="11" t="s">
        <v>9</v>
      </c>
      <c r="B73" s="4">
        <v>3.0804505967174649E-2</v>
      </c>
      <c r="C73" s="4">
        <v>7.3929089968249762E-2</v>
      </c>
      <c r="D73" s="4">
        <v>6.6072119705558166E-2</v>
      </c>
      <c r="E73" s="4">
        <v>4.9893957701005513E-2</v>
      </c>
      <c r="F73" s="4">
        <v>0.10622217419684662</v>
      </c>
      <c r="G73" s="4">
        <v>8.6666513324268737E-2</v>
      </c>
      <c r="H73" s="4">
        <v>9.3095144448909886E-2</v>
      </c>
      <c r="I73" s="4">
        <v>5.640560201522947E-2</v>
      </c>
      <c r="J73" s="4">
        <v>2.8333000939922765E-2</v>
      </c>
      <c r="K73" s="4">
        <v>1.276778206299259E-2</v>
      </c>
      <c r="L73" s="4">
        <v>7.2716277416174256E-3</v>
      </c>
      <c r="M73" s="4">
        <v>-1.6515782361211307E-2</v>
      </c>
      <c r="N73" s="4">
        <v>4.9578811309213683E-2</v>
      </c>
    </row>
    <row r="77" spans="1:17" x14ac:dyDescent="0.25">
      <c r="A77" s="10" t="s">
        <v>15</v>
      </c>
      <c r="B77" s="10" t="s">
        <v>11</v>
      </c>
    </row>
    <row r="78" spans="1:17" x14ac:dyDescent="0.25">
      <c r="A78" s="10" t="s">
        <v>30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9</v>
      </c>
    </row>
    <row r="79" spans="1:17" x14ac:dyDescent="0.25">
      <c r="A79" s="11" t="s">
        <v>2</v>
      </c>
      <c r="B79" s="4">
        <v>3.0183275888623091E-2</v>
      </c>
      <c r="C79" s="4">
        <v>9.328400647266949E-2</v>
      </c>
      <c r="D79" s="4">
        <v>5.2147896466210181E-2</v>
      </c>
      <c r="E79" s="4">
        <v>3.6333354733204336E-2</v>
      </c>
      <c r="F79" s="4">
        <v>0.12636808418018844</v>
      </c>
      <c r="G79" s="4">
        <v>0.13148020447252518</v>
      </c>
      <c r="H79" s="4">
        <v>6.669717397108281E-2</v>
      </c>
      <c r="I79" s="4">
        <v>5.0381280147815594E-2</v>
      </c>
      <c r="J79" s="4">
        <v>-3.2290579916257243E-2</v>
      </c>
      <c r="K79" s="4">
        <v>-2.3176578036423454E-2</v>
      </c>
      <c r="L79" s="4">
        <v>-6.9052007295892462E-2</v>
      </c>
      <c r="M79" s="4">
        <v>-9.4532023200460391E-2</v>
      </c>
      <c r="N79" s="4">
        <v>3.0652007323607146E-2</v>
      </c>
    </row>
    <row r="80" spans="1:17" x14ac:dyDescent="0.25">
      <c r="A80" s="11" t="s">
        <v>3</v>
      </c>
      <c r="B80" s="4">
        <v>6.355473224947332E-2</v>
      </c>
      <c r="C80" s="4">
        <v>8.249631575669826E-2</v>
      </c>
      <c r="D80" s="4">
        <v>0.1523252175317521</v>
      </c>
      <c r="E80" s="4">
        <v>6.0972731496798015E-2</v>
      </c>
      <c r="F80" s="4">
        <v>0.13395554164602805</v>
      </c>
      <c r="G80" s="4">
        <v>0.10988409373250858</v>
      </c>
      <c r="H80" s="4">
        <v>0.11838449425469344</v>
      </c>
      <c r="I80" s="4">
        <v>7.0366483316702019E-2</v>
      </c>
      <c r="J80" s="4">
        <v>5.4988019529465589E-2</v>
      </c>
      <c r="K80" s="4">
        <v>7.6548814065249784E-2</v>
      </c>
      <c r="L80" s="4">
        <v>3.9178206276343663E-2</v>
      </c>
      <c r="M80" s="4">
        <v>8.7974338712065656E-3</v>
      </c>
      <c r="N80" s="4">
        <v>8.095434031057662E-2</v>
      </c>
    </row>
    <row r="81" spans="1:14" x14ac:dyDescent="0.25">
      <c r="A81" s="11" t="s">
        <v>4</v>
      </c>
      <c r="B81" s="4">
        <v>2.4670597401929069E-2</v>
      </c>
      <c r="C81" s="4">
        <v>6.3580562587990316E-2</v>
      </c>
      <c r="D81" s="4">
        <v>5.8836374271478607E-2</v>
      </c>
      <c r="E81" s="4">
        <v>3.1240260919078784E-2</v>
      </c>
      <c r="F81" s="4">
        <v>8.1702678611168242E-2</v>
      </c>
      <c r="G81" s="4">
        <v>7.1334135956818534E-2</v>
      </c>
      <c r="H81" s="4">
        <v>6.4059712997726614E-2</v>
      </c>
      <c r="I81" s="4">
        <v>3.3714334657174549E-2</v>
      </c>
      <c r="J81" s="4">
        <v>-1.9485758696921622E-3</v>
      </c>
      <c r="K81" s="4">
        <v>-4.7823401024669294E-3</v>
      </c>
      <c r="L81" s="4">
        <v>-1.5059359761021648E-2</v>
      </c>
      <c r="M81" s="4">
        <v>-5.1983248023739999E-2</v>
      </c>
      <c r="N81" s="4">
        <v>2.9613761137203633E-2</v>
      </c>
    </row>
    <row r="82" spans="1:14" x14ac:dyDescent="0.25">
      <c r="A82" s="11" t="s">
        <v>5</v>
      </c>
      <c r="B82" s="4">
        <v>3.7470577439061521E-2</v>
      </c>
      <c r="C82" s="4">
        <v>6.8458218375809413E-2</v>
      </c>
      <c r="D82" s="4">
        <v>8.7641931190590064E-2</v>
      </c>
      <c r="E82" s="4">
        <v>5.3920779628623398E-2</v>
      </c>
      <c r="F82" s="4">
        <v>0.10036719847305987</v>
      </c>
      <c r="G82" s="4">
        <v>8.8411367311731159E-2</v>
      </c>
      <c r="H82" s="4">
        <v>9.262225991126162E-2</v>
      </c>
      <c r="I82" s="4">
        <v>6.5165906399737517E-2</v>
      </c>
      <c r="J82" s="4">
        <v>4.2820585069266469E-2</v>
      </c>
      <c r="K82" s="4">
        <v>9.2156990706080064E-3</v>
      </c>
      <c r="L82" s="4">
        <v>1.574058275119276E-2</v>
      </c>
      <c r="M82" s="4">
        <v>-8.279003336810498E-3</v>
      </c>
      <c r="N82" s="4">
        <v>5.4463008523677553E-2</v>
      </c>
    </row>
    <row r="83" spans="1:14" x14ac:dyDescent="0.25">
      <c r="A83" s="11" t="s">
        <v>6</v>
      </c>
      <c r="B83" s="4">
        <v>2.4981843778056591E-2</v>
      </c>
      <c r="C83" s="4">
        <v>6.2012535710537088E-2</v>
      </c>
      <c r="D83" s="4">
        <v>3.9191194057846927E-2</v>
      </c>
      <c r="E83" s="4">
        <v>5.2275824810684192E-2</v>
      </c>
      <c r="F83" s="4">
        <v>9.6138767513564052E-2</v>
      </c>
      <c r="G83" s="4">
        <v>4.2933383016542953E-2</v>
      </c>
      <c r="H83" s="4">
        <v>0.10483769050771891</v>
      </c>
      <c r="I83" s="4">
        <v>4.1553583767983515E-2</v>
      </c>
      <c r="J83" s="4">
        <v>1.9278053316504076E-2</v>
      </c>
      <c r="K83" s="4">
        <v>2.2670995601156443E-2</v>
      </c>
      <c r="L83" s="4">
        <v>1.8967768235652816E-2</v>
      </c>
      <c r="M83" s="4">
        <v>-5.4847787351729243E-3</v>
      </c>
      <c r="N83" s="4">
        <v>4.3279738465089583E-2</v>
      </c>
    </row>
    <row r="84" spans="1:14" x14ac:dyDescent="0.25">
      <c r="A84" s="11" t="s">
        <v>7</v>
      </c>
      <c r="B84" s="4">
        <v>2.4249506537756149E-2</v>
      </c>
      <c r="C84" s="4">
        <v>8.3144286369783577E-2</v>
      </c>
      <c r="D84" s="4">
        <v>3.9904460228142848E-2</v>
      </c>
      <c r="E84" s="4">
        <v>4.9141617838309865E-2</v>
      </c>
      <c r="F84" s="4">
        <v>0.12647472088036149</v>
      </c>
      <c r="G84" s="4">
        <v>9.3320000131450601E-2</v>
      </c>
      <c r="H84" s="4">
        <v>9.2875525407806359E-2</v>
      </c>
      <c r="I84" s="4">
        <v>7.4476765973294723E-2</v>
      </c>
      <c r="J84" s="4">
        <v>4.2922297771712463E-2</v>
      </c>
      <c r="K84" s="4">
        <v>1.4598590789748754E-2</v>
      </c>
      <c r="L84" s="4">
        <v>1.1835625160577684E-2</v>
      </c>
      <c r="M84" s="4">
        <v>-6.527369701374343E-3</v>
      </c>
      <c r="N84" s="4">
        <v>5.3868002282297517E-2</v>
      </c>
    </row>
    <row r="85" spans="1:14" x14ac:dyDescent="0.25">
      <c r="A85" s="11" t="s">
        <v>8</v>
      </c>
      <c r="B85" s="4">
        <v>3.0627202961739253E-2</v>
      </c>
      <c r="C85" s="4">
        <v>8.8904627158491206E-2</v>
      </c>
      <c r="D85" s="4">
        <v>7.8610430727097599E-2</v>
      </c>
      <c r="E85" s="4">
        <v>6.6866478322149578E-2</v>
      </c>
      <c r="F85" s="4">
        <v>0.11386628064481377</v>
      </c>
      <c r="G85" s="4">
        <v>0.12206302094030654</v>
      </c>
      <c r="H85" s="4">
        <v>0.12064299025179782</v>
      </c>
      <c r="I85" s="4">
        <v>5.6792817595173378E-2</v>
      </c>
      <c r="J85" s="4">
        <v>4.25003515715284E-2</v>
      </c>
      <c r="K85" s="4">
        <v>1.8070891406610178E-2</v>
      </c>
      <c r="L85" s="4">
        <v>1.6681818663855319E-2</v>
      </c>
      <c r="M85" s="4">
        <v>7.2431379099119585E-3</v>
      </c>
      <c r="N85" s="4">
        <v>6.3572504012789563E-2</v>
      </c>
    </row>
    <row r="86" spans="1:14" x14ac:dyDescent="0.25">
      <c r="A86" s="11" t="s">
        <v>9</v>
      </c>
      <c r="B86" s="4">
        <v>3.0804505967174649E-2</v>
      </c>
      <c r="C86" s="4">
        <v>7.3929089968249762E-2</v>
      </c>
      <c r="D86" s="4">
        <v>6.6072119705558166E-2</v>
      </c>
      <c r="E86" s="4">
        <v>4.9893957701005513E-2</v>
      </c>
      <c r="F86" s="4">
        <v>0.10622217419684662</v>
      </c>
      <c r="G86" s="4">
        <v>8.6666513324268737E-2</v>
      </c>
      <c r="H86" s="4">
        <v>9.3095144448909886E-2</v>
      </c>
      <c r="I86" s="4">
        <v>5.640560201522947E-2</v>
      </c>
      <c r="J86" s="4">
        <v>2.8333000939922765E-2</v>
      </c>
      <c r="K86" s="4">
        <v>1.276778206299259E-2</v>
      </c>
      <c r="L86" s="4">
        <v>7.2716277416174256E-3</v>
      </c>
      <c r="M86" s="4">
        <v>-1.6515782361211307E-2</v>
      </c>
      <c r="N86" s="4">
        <v>4.9578811309213683E-2</v>
      </c>
    </row>
  </sheetData>
  <conditionalFormatting pivot="1" sqref="B3:M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{C1057634-ECDA-431F-BDA4-EAAF928F7E23}</x14:id>
        </ext>
      </extLst>
    </cfRule>
  </conditionalFormatting>
  <conditionalFormatting pivot="1" sqref="B17:M23">
    <cfRule type="colorScale" priority="7">
      <colorScale>
        <cfvo type="num" val="4000"/>
        <cfvo type="num" val="8000"/>
        <cfvo type="num" val="20000"/>
        <color rgb="FFF8696B"/>
        <color rgb="FFFFEB84"/>
        <color rgb="FF63BE7B"/>
      </colorScale>
    </cfRule>
  </conditionalFormatting>
  <conditionalFormatting pivot="1" sqref="B33:M39">
    <cfRule type="colorScale" priority="6">
      <colorScale>
        <cfvo type="num" val="$R$33"/>
        <cfvo type="num" val="$R$35"/>
        <cfvo type="num" val="$R$34"/>
        <color rgb="FFF8696B"/>
        <color rgb="FFFCFCFF"/>
        <color rgb="FF5A8AC6"/>
      </colorScale>
    </cfRule>
  </conditionalFormatting>
  <conditionalFormatting pivot="1" sqref="B66:M72">
    <cfRule type="iconSet" priority="3">
      <iconSet iconSet="3Arrows">
        <cfvo type="percent" val="0"/>
        <cfvo type="num" val="0.04"/>
        <cfvo type="num" val="0.05" gte="0"/>
      </iconSet>
    </cfRule>
  </conditionalFormatting>
  <conditionalFormatting pivot="1" sqref="B79:M85">
    <cfRule type="colorScale" priority="1">
      <colorScale>
        <cfvo type="num" val="0.03"/>
        <cfvo type="num" val="0.04"/>
        <cfvo type="num" val="0.05"/>
        <color rgb="FFF8696B"/>
        <color rgb="FFFFEB84"/>
        <color rgb="FF63BE7B"/>
      </colorScale>
    </cfRule>
  </conditionalFormatting>
  <pageMargins left="0.7" right="0.7" top="0.75" bottom="0.75" header="0.3" footer="0.3"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1057634-ECDA-431F-BDA4-EAAF928F7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B3:M9</xm:sqref>
        </x14:conditionalFormatting>
        <x14:conditionalFormatting xmlns:xm="http://schemas.microsoft.com/office/excel/2006/main" pivot="1">
          <x14:cfRule type="iconSet" priority="5" id="{AF21BE1B-1765-4891-8F89-8E23B97069B2}">
            <x14:iconSet custom="1">
              <x14:cfvo type="percent">
                <xm:f>0</xm:f>
              </x14:cfvo>
              <x14:cfvo type="num">
                <xm:f>$R$33</xm:f>
              </x14:cfvo>
              <x14:cfvo type="num" gte="0">
                <xm:f>$R$35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B49:M55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9CAF-33D6-4E02-9A34-341C1EBE3E27}">
  <dimension ref="A1:H19"/>
  <sheetViews>
    <sheetView topLeftCell="A19" zoomScale="85" zoomScaleNormal="85" workbookViewId="0">
      <selection activeCell="B2" sqref="B2"/>
    </sheetView>
  </sheetViews>
  <sheetFormatPr defaultRowHeight="15" x14ac:dyDescent="0.25"/>
  <cols>
    <col min="1" max="1" width="25.5703125" bestFit="1" customWidth="1"/>
    <col min="2" max="2" width="29.7109375" bestFit="1" customWidth="1"/>
    <col min="3" max="3" width="27.28515625" bestFit="1" customWidth="1"/>
    <col min="4" max="4" width="30" bestFit="1" customWidth="1"/>
    <col min="5" max="5" width="28.5703125" bestFit="1" customWidth="1"/>
    <col min="6" max="6" width="27.5703125" bestFit="1" customWidth="1"/>
    <col min="7" max="7" width="26.42578125" bestFit="1" customWidth="1"/>
    <col min="8" max="8" width="27.85546875" bestFit="1" customWidth="1"/>
  </cols>
  <sheetData>
    <row r="1" spans="1:8" x14ac:dyDescent="0.25">
      <c r="A1" t="s">
        <v>176</v>
      </c>
      <c r="B1" s="17">
        <v>45658</v>
      </c>
    </row>
    <row r="2" spans="1:8" x14ac:dyDescent="0.25">
      <c r="A2" t="s">
        <v>177</v>
      </c>
      <c r="B2" s="17">
        <v>46022</v>
      </c>
    </row>
    <row r="6" spans="1:8" x14ac:dyDescent="0.25">
      <c r="A6">
        <f>WEEKDAY(A8,2)</f>
        <v>2</v>
      </c>
      <c r="B6">
        <f t="shared" ref="B6:H6" si="0">WEEKDAY(B8,2)</f>
        <v>4</v>
      </c>
      <c r="C6">
        <f t="shared" si="0"/>
        <v>6</v>
      </c>
      <c r="D6">
        <f t="shared" si="0"/>
        <v>3</v>
      </c>
      <c r="E6">
        <f t="shared" si="0"/>
        <v>6</v>
      </c>
      <c r="F6">
        <f t="shared" si="0"/>
        <v>4</v>
      </c>
      <c r="G6">
        <f t="shared" si="0"/>
        <v>3</v>
      </c>
      <c r="H6">
        <f t="shared" si="0"/>
        <v>3</v>
      </c>
    </row>
    <row r="8" spans="1:8" x14ac:dyDescent="0.25">
      <c r="A8" s="18">
        <v>45951</v>
      </c>
      <c r="B8" s="18">
        <v>46016</v>
      </c>
      <c r="C8" s="18">
        <v>46018</v>
      </c>
      <c r="D8" s="18">
        <v>45987</v>
      </c>
      <c r="E8" s="18">
        <v>45976</v>
      </c>
      <c r="F8" s="18">
        <v>45771</v>
      </c>
      <c r="G8" s="18">
        <v>45868</v>
      </c>
      <c r="H8" s="18">
        <v>45672</v>
      </c>
    </row>
    <row r="9" spans="1:8" x14ac:dyDescent="0.25">
      <c r="A9" s="18">
        <v>45748</v>
      </c>
      <c r="B9" s="18">
        <v>45937</v>
      </c>
      <c r="C9" s="18">
        <v>45864</v>
      </c>
      <c r="D9" s="18">
        <v>45659</v>
      </c>
      <c r="E9" s="18">
        <v>45669</v>
      </c>
      <c r="F9" s="18">
        <v>45929</v>
      </c>
      <c r="G9" s="18">
        <v>45704</v>
      </c>
      <c r="H9" s="18">
        <v>45918</v>
      </c>
    </row>
    <row r="10" spans="1:8" x14ac:dyDescent="0.25">
      <c r="A10" s="18">
        <v>45947</v>
      </c>
      <c r="B10" s="18">
        <v>45677</v>
      </c>
      <c r="C10" s="18">
        <v>45717</v>
      </c>
      <c r="D10" s="18">
        <v>45687</v>
      </c>
      <c r="E10" s="18">
        <v>45976</v>
      </c>
      <c r="F10" s="18">
        <v>45927</v>
      </c>
      <c r="G10" s="18">
        <v>45690</v>
      </c>
      <c r="H10" s="18">
        <v>45923</v>
      </c>
    </row>
    <row r="11" spans="1:8" x14ac:dyDescent="0.25">
      <c r="A11" s="18">
        <v>45833</v>
      </c>
      <c r="B11" s="18">
        <v>45953</v>
      </c>
      <c r="C11" s="18">
        <v>45740</v>
      </c>
      <c r="D11" s="18">
        <v>45674</v>
      </c>
      <c r="E11" s="18">
        <v>45994</v>
      </c>
      <c r="F11" s="18">
        <v>45941</v>
      </c>
      <c r="G11" s="18">
        <v>45743</v>
      </c>
      <c r="H11" s="18">
        <v>45775</v>
      </c>
    </row>
    <row r="12" spans="1:8" x14ac:dyDescent="0.25">
      <c r="A12" s="18">
        <v>45873</v>
      </c>
      <c r="B12" s="18">
        <v>45662</v>
      </c>
      <c r="C12" s="18">
        <v>45693</v>
      </c>
      <c r="D12" s="18">
        <v>45913</v>
      </c>
      <c r="E12" s="18">
        <v>45825</v>
      </c>
      <c r="F12" s="18">
        <v>45951</v>
      </c>
      <c r="G12" s="18">
        <v>45887</v>
      </c>
      <c r="H12" s="18">
        <v>46018</v>
      </c>
    </row>
    <row r="13" spans="1:8" x14ac:dyDescent="0.25">
      <c r="A13" s="18">
        <v>45875</v>
      </c>
      <c r="B13" s="18">
        <v>45923</v>
      </c>
      <c r="C13" s="18">
        <v>45766</v>
      </c>
      <c r="D13" s="18">
        <v>46016</v>
      </c>
      <c r="E13" s="18">
        <v>45944</v>
      </c>
      <c r="F13" s="18">
        <v>45825</v>
      </c>
      <c r="G13" s="18">
        <v>45914</v>
      </c>
      <c r="H13" s="18">
        <v>45742</v>
      </c>
    </row>
    <row r="14" spans="1:8" x14ac:dyDescent="0.25">
      <c r="A14" s="18">
        <v>45753</v>
      </c>
      <c r="B14" s="18">
        <v>45998</v>
      </c>
      <c r="C14" s="18">
        <v>45775</v>
      </c>
      <c r="D14" s="18">
        <v>45988</v>
      </c>
      <c r="E14" s="18">
        <v>45689</v>
      </c>
      <c r="F14" s="18">
        <v>45665</v>
      </c>
      <c r="G14" s="18">
        <v>46007</v>
      </c>
      <c r="H14" s="18">
        <v>46014</v>
      </c>
    </row>
    <row r="15" spans="1:8" x14ac:dyDescent="0.25">
      <c r="A15" s="18">
        <v>45849</v>
      </c>
      <c r="B15" s="18">
        <v>45894</v>
      </c>
      <c r="C15" s="18">
        <v>45767</v>
      </c>
      <c r="D15" s="18">
        <v>45801</v>
      </c>
      <c r="E15" s="18">
        <v>45725</v>
      </c>
      <c r="F15" s="18">
        <v>46017</v>
      </c>
      <c r="G15" s="18">
        <v>45827</v>
      </c>
      <c r="H15" s="18">
        <v>45783</v>
      </c>
    </row>
    <row r="16" spans="1:8" x14ac:dyDescent="0.25">
      <c r="A16" s="18">
        <v>46019</v>
      </c>
      <c r="B16" s="18">
        <v>45794</v>
      </c>
      <c r="C16" s="18">
        <v>45777</v>
      </c>
      <c r="D16" s="18">
        <v>45858</v>
      </c>
      <c r="E16" s="18">
        <v>46021</v>
      </c>
      <c r="F16" s="18">
        <v>45793</v>
      </c>
      <c r="G16" s="18">
        <v>45755</v>
      </c>
      <c r="H16" s="18">
        <v>45823</v>
      </c>
    </row>
    <row r="17" spans="1:8" x14ac:dyDescent="0.25">
      <c r="A17" s="18">
        <v>45763</v>
      </c>
      <c r="B17" s="18">
        <v>46015</v>
      </c>
      <c r="C17" s="18">
        <v>45970</v>
      </c>
      <c r="D17" s="18">
        <v>45693</v>
      </c>
      <c r="E17" s="18">
        <v>45694</v>
      </c>
      <c r="F17" s="18">
        <v>45750</v>
      </c>
      <c r="G17" s="18">
        <v>45921</v>
      </c>
      <c r="H17" s="18">
        <v>45873</v>
      </c>
    </row>
    <row r="18" spans="1:8" x14ac:dyDescent="0.25">
      <c r="A18" s="18">
        <v>45698</v>
      </c>
      <c r="B18" s="18">
        <v>45665</v>
      </c>
      <c r="C18" s="18">
        <v>45813</v>
      </c>
      <c r="D18" s="18">
        <v>45791</v>
      </c>
      <c r="E18" s="18">
        <v>45742</v>
      </c>
      <c r="F18" s="18">
        <v>45959</v>
      </c>
      <c r="G18" s="18">
        <v>45992</v>
      </c>
      <c r="H18" s="18">
        <v>45762</v>
      </c>
    </row>
    <row r="19" spans="1:8" x14ac:dyDescent="0.25">
      <c r="A19" s="18">
        <v>45940</v>
      </c>
      <c r="B19" s="18">
        <v>45807</v>
      </c>
      <c r="C19" s="18">
        <v>45678</v>
      </c>
      <c r="D19" s="18">
        <v>45731</v>
      </c>
      <c r="E19" s="18">
        <v>45739</v>
      </c>
      <c r="F19" s="18">
        <v>45822</v>
      </c>
      <c r="G19" s="18">
        <v>45852</v>
      </c>
      <c r="H19" s="18">
        <v>45949</v>
      </c>
    </row>
  </sheetData>
  <conditionalFormatting sqref="A8:H19">
    <cfRule type="expression" dxfId="11" priority="1">
      <formula>WEEKDAY(A8,2)&gt;5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F57F-1E36-46D1-AE57-0472777ABA21}">
  <dimension ref="A1:H144"/>
  <sheetViews>
    <sheetView topLeftCell="A2" workbookViewId="0"/>
  </sheetViews>
  <sheetFormatPr defaultRowHeight="15" x14ac:dyDescent="0.25"/>
  <cols>
    <col min="1" max="1" width="10.7109375" bestFit="1" customWidth="1"/>
    <col min="2" max="2" width="9.42578125" customWidth="1"/>
    <col min="3" max="3" width="11" bestFit="1" customWidth="1"/>
    <col min="4" max="4" width="13.85546875" bestFit="1" customWidth="1"/>
    <col min="5" max="5" width="11.7109375" customWidth="1"/>
    <col min="6" max="6" width="7.85546875" customWidth="1"/>
    <col min="7" max="7" width="12" customWidth="1"/>
    <col min="8" max="8" width="9" bestFit="1" customWidth="1"/>
  </cols>
  <sheetData>
    <row r="1" spans="1:8" x14ac:dyDescent="0.25">
      <c r="A1" s="23" t="s">
        <v>34</v>
      </c>
      <c r="B1" s="23" t="s">
        <v>178</v>
      </c>
      <c r="C1" s="23" t="s">
        <v>179</v>
      </c>
      <c r="D1" s="23" t="s">
        <v>180</v>
      </c>
      <c r="E1" s="23" t="s">
        <v>181</v>
      </c>
      <c r="F1" s="23" t="s">
        <v>182</v>
      </c>
      <c r="G1" s="23" t="s">
        <v>183</v>
      </c>
      <c r="H1" s="23" t="s">
        <v>184</v>
      </c>
    </row>
    <row r="2" spans="1:8" x14ac:dyDescent="0.25">
      <c r="A2" s="21">
        <v>44197</v>
      </c>
      <c r="B2" s="19" t="s">
        <v>185</v>
      </c>
      <c r="C2" s="19" t="s">
        <v>186</v>
      </c>
      <c r="D2" s="19" t="s">
        <v>187</v>
      </c>
      <c r="E2" s="19" t="s">
        <v>188</v>
      </c>
      <c r="F2" s="19">
        <v>64</v>
      </c>
      <c r="G2" s="19">
        <v>25932150</v>
      </c>
      <c r="H2" s="19">
        <v>13925700</v>
      </c>
    </row>
    <row r="3" spans="1:8" x14ac:dyDescent="0.25">
      <c r="A3" s="22">
        <v>44198</v>
      </c>
      <c r="B3" s="20" t="s">
        <v>189</v>
      </c>
      <c r="C3" s="20" t="s">
        <v>190</v>
      </c>
      <c r="D3" s="20" t="s">
        <v>191</v>
      </c>
      <c r="E3" s="20" t="s">
        <v>192</v>
      </c>
      <c r="F3" s="20">
        <v>26</v>
      </c>
      <c r="G3" s="20">
        <v>8586300</v>
      </c>
      <c r="H3" s="20">
        <v>3904049.9999999995</v>
      </c>
    </row>
    <row r="4" spans="1:8" x14ac:dyDescent="0.25">
      <c r="A4" s="21">
        <v>44201</v>
      </c>
      <c r="B4" s="19" t="s">
        <v>193</v>
      </c>
      <c r="C4" s="19" t="s">
        <v>190</v>
      </c>
      <c r="D4" s="19" t="s">
        <v>194</v>
      </c>
      <c r="E4" s="19" t="s">
        <v>195</v>
      </c>
      <c r="F4" s="19">
        <v>52</v>
      </c>
      <c r="G4" s="19">
        <v>17940450</v>
      </c>
      <c r="H4" s="19">
        <v>8592150</v>
      </c>
    </row>
    <row r="5" spans="1:8" x14ac:dyDescent="0.25">
      <c r="A5" s="22">
        <v>44201</v>
      </c>
      <c r="B5" s="20" t="s">
        <v>196</v>
      </c>
      <c r="C5" s="20" t="s">
        <v>190</v>
      </c>
      <c r="D5" s="20" t="s">
        <v>197</v>
      </c>
      <c r="E5" s="20" t="s">
        <v>198</v>
      </c>
      <c r="F5" s="20">
        <v>13</v>
      </c>
      <c r="G5" s="20">
        <v>4096500.0000000005</v>
      </c>
      <c r="H5" s="20">
        <v>1809600</v>
      </c>
    </row>
    <row r="6" spans="1:8" x14ac:dyDescent="0.25">
      <c r="A6" s="21">
        <v>44202</v>
      </c>
      <c r="B6" s="19" t="s">
        <v>199</v>
      </c>
      <c r="C6" s="19" t="s">
        <v>200</v>
      </c>
      <c r="D6" s="19" t="s">
        <v>201</v>
      </c>
      <c r="E6" s="19" t="s">
        <v>202</v>
      </c>
      <c r="F6" s="19">
        <v>54</v>
      </c>
      <c r="G6" s="19">
        <v>15404400</v>
      </c>
      <c r="H6" s="19">
        <v>6491250</v>
      </c>
    </row>
    <row r="7" spans="1:8" x14ac:dyDescent="0.25">
      <c r="A7" s="22">
        <v>44203</v>
      </c>
      <c r="B7" s="20" t="s">
        <v>199</v>
      </c>
      <c r="C7" s="20" t="s">
        <v>190</v>
      </c>
      <c r="D7" s="20" t="s">
        <v>191</v>
      </c>
      <c r="E7" s="20" t="s">
        <v>203</v>
      </c>
      <c r="F7" s="20">
        <v>30</v>
      </c>
      <c r="G7" s="20">
        <v>8553300</v>
      </c>
      <c r="H7" s="20">
        <v>3610050</v>
      </c>
    </row>
    <row r="8" spans="1:8" x14ac:dyDescent="0.25">
      <c r="A8" s="21">
        <v>44203</v>
      </c>
      <c r="B8" s="19" t="s">
        <v>199</v>
      </c>
      <c r="C8" s="19" t="s">
        <v>204</v>
      </c>
      <c r="D8" s="19" t="s">
        <v>197</v>
      </c>
      <c r="E8" s="19" t="s">
        <v>202</v>
      </c>
      <c r="F8" s="19">
        <v>33</v>
      </c>
      <c r="G8" s="19">
        <v>9409800</v>
      </c>
      <c r="H8" s="19">
        <v>3968100.0000000005</v>
      </c>
    </row>
    <row r="9" spans="1:8" x14ac:dyDescent="0.25">
      <c r="A9" s="22">
        <v>44204</v>
      </c>
      <c r="B9" s="20" t="s">
        <v>185</v>
      </c>
      <c r="C9" s="20" t="s">
        <v>186</v>
      </c>
      <c r="D9" s="20" t="s">
        <v>205</v>
      </c>
      <c r="E9" s="20" t="s">
        <v>206</v>
      </c>
      <c r="F9" s="20">
        <v>56</v>
      </c>
      <c r="G9" s="20">
        <v>22689000</v>
      </c>
      <c r="H9" s="20">
        <v>12192450</v>
      </c>
    </row>
    <row r="10" spans="1:8" x14ac:dyDescent="0.25">
      <c r="A10" s="21">
        <v>44208</v>
      </c>
      <c r="B10" s="19" t="s">
        <v>193</v>
      </c>
      <c r="C10" s="19" t="s">
        <v>200</v>
      </c>
      <c r="D10" s="19" t="s">
        <v>187</v>
      </c>
      <c r="E10" s="19" t="s">
        <v>188</v>
      </c>
      <c r="F10" s="19">
        <v>39</v>
      </c>
      <c r="G10" s="19">
        <v>13464450</v>
      </c>
      <c r="H10" s="19">
        <v>6445200</v>
      </c>
    </row>
    <row r="11" spans="1:8" x14ac:dyDescent="0.25">
      <c r="A11" s="22">
        <v>44214</v>
      </c>
      <c r="B11" s="20" t="s">
        <v>185</v>
      </c>
      <c r="C11" s="20" t="s">
        <v>190</v>
      </c>
      <c r="D11" s="20" t="s">
        <v>205</v>
      </c>
      <c r="E11" s="20" t="s">
        <v>207</v>
      </c>
      <c r="F11" s="20">
        <v>56</v>
      </c>
      <c r="G11" s="20">
        <v>22682850</v>
      </c>
      <c r="H11" s="20">
        <v>12183900</v>
      </c>
    </row>
    <row r="12" spans="1:8" x14ac:dyDescent="0.25">
      <c r="A12" s="21">
        <v>44218</v>
      </c>
      <c r="B12" s="19" t="s">
        <v>199</v>
      </c>
      <c r="C12" s="19" t="s">
        <v>186</v>
      </c>
      <c r="D12" s="19" t="s">
        <v>187</v>
      </c>
      <c r="E12" s="19" t="s">
        <v>208</v>
      </c>
      <c r="F12" s="19">
        <v>8</v>
      </c>
      <c r="G12" s="19">
        <v>2283600</v>
      </c>
      <c r="H12" s="19">
        <v>974849.99999999988</v>
      </c>
    </row>
    <row r="13" spans="1:8" x14ac:dyDescent="0.25">
      <c r="A13" s="22">
        <v>44219</v>
      </c>
      <c r="B13" s="20" t="s">
        <v>199</v>
      </c>
      <c r="C13" s="20" t="s">
        <v>200</v>
      </c>
      <c r="D13" s="20" t="s">
        <v>201</v>
      </c>
      <c r="E13" s="20" t="s">
        <v>209</v>
      </c>
      <c r="F13" s="20">
        <v>24</v>
      </c>
      <c r="G13" s="20">
        <v>6846150</v>
      </c>
      <c r="H13" s="20">
        <v>2882100</v>
      </c>
    </row>
    <row r="14" spans="1:8" x14ac:dyDescent="0.25">
      <c r="A14" s="21">
        <v>44222</v>
      </c>
      <c r="B14" s="19" t="s">
        <v>185</v>
      </c>
      <c r="C14" s="19" t="s">
        <v>200</v>
      </c>
      <c r="D14" s="19" t="s">
        <v>205</v>
      </c>
      <c r="E14" s="19" t="s">
        <v>210</v>
      </c>
      <c r="F14" s="19">
        <v>43</v>
      </c>
      <c r="G14" s="19">
        <v>17418750</v>
      </c>
      <c r="H14" s="19">
        <v>9356250</v>
      </c>
    </row>
    <row r="15" spans="1:8" x14ac:dyDescent="0.25">
      <c r="A15" s="22">
        <v>44223</v>
      </c>
      <c r="B15" s="20" t="s">
        <v>189</v>
      </c>
      <c r="C15" s="20" t="s">
        <v>190</v>
      </c>
      <c r="D15" s="20" t="s">
        <v>187</v>
      </c>
      <c r="E15" s="20" t="s">
        <v>211</v>
      </c>
      <c r="F15" s="20">
        <v>25</v>
      </c>
      <c r="G15" s="20">
        <v>8255850</v>
      </c>
      <c r="H15" s="20">
        <v>3756900</v>
      </c>
    </row>
    <row r="16" spans="1:8" x14ac:dyDescent="0.25">
      <c r="A16" s="21">
        <v>44233</v>
      </c>
      <c r="B16" s="19" t="s">
        <v>193</v>
      </c>
      <c r="C16" s="19" t="s">
        <v>200</v>
      </c>
      <c r="D16" s="19" t="s">
        <v>197</v>
      </c>
      <c r="E16" s="19" t="s">
        <v>209</v>
      </c>
      <c r="F16" s="19">
        <v>63</v>
      </c>
      <c r="G16" s="19">
        <v>21738150</v>
      </c>
      <c r="H16" s="19">
        <v>10404600</v>
      </c>
    </row>
    <row r="17" spans="1:8" x14ac:dyDescent="0.25">
      <c r="A17" s="22">
        <v>44238</v>
      </c>
      <c r="B17" s="20" t="s">
        <v>193</v>
      </c>
      <c r="C17" s="20" t="s">
        <v>190</v>
      </c>
      <c r="D17" s="20" t="s">
        <v>201</v>
      </c>
      <c r="E17" s="20" t="s">
        <v>212</v>
      </c>
      <c r="F17" s="20">
        <v>46</v>
      </c>
      <c r="G17" s="20">
        <v>15870150</v>
      </c>
      <c r="H17" s="20">
        <v>7599600</v>
      </c>
    </row>
    <row r="18" spans="1:8" x14ac:dyDescent="0.25">
      <c r="A18" s="21">
        <v>44239</v>
      </c>
      <c r="B18" s="19" t="s">
        <v>199</v>
      </c>
      <c r="C18" s="19" t="s">
        <v>204</v>
      </c>
      <c r="D18" s="19" t="s">
        <v>201</v>
      </c>
      <c r="E18" s="19" t="s">
        <v>213</v>
      </c>
      <c r="F18" s="19">
        <v>21</v>
      </c>
      <c r="G18" s="19">
        <v>5987250</v>
      </c>
      <c r="H18" s="19">
        <v>2534250</v>
      </c>
    </row>
    <row r="19" spans="1:8" x14ac:dyDescent="0.25">
      <c r="A19" s="22">
        <v>44243</v>
      </c>
      <c r="B19" s="20" t="s">
        <v>196</v>
      </c>
      <c r="C19" s="20" t="s">
        <v>200</v>
      </c>
      <c r="D19" s="20" t="s">
        <v>194</v>
      </c>
      <c r="E19" s="20" t="s">
        <v>214</v>
      </c>
      <c r="F19" s="20">
        <v>36</v>
      </c>
      <c r="G19" s="20">
        <v>11346900</v>
      </c>
      <c r="H19" s="20">
        <v>4998000</v>
      </c>
    </row>
    <row r="20" spans="1:8" x14ac:dyDescent="0.25">
      <c r="A20" s="21">
        <v>44252</v>
      </c>
      <c r="B20" s="19" t="s">
        <v>193</v>
      </c>
      <c r="C20" s="19" t="s">
        <v>190</v>
      </c>
      <c r="D20" s="19" t="s">
        <v>194</v>
      </c>
      <c r="E20" s="19" t="s">
        <v>211</v>
      </c>
      <c r="F20" s="19">
        <v>31</v>
      </c>
      <c r="G20" s="19">
        <v>10699200</v>
      </c>
      <c r="H20" s="19">
        <v>5120200</v>
      </c>
    </row>
    <row r="21" spans="1:8" x14ac:dyDescent="0.25">
      <c r="A21" s="22">
        <v>44253</v>
      </c>
      <c r="B21" s="20" t="s">
        <v>189</v>
      </c>
      <c r="C21" s="20" t="s">
        <v>190</v>
      </c>
      <c r="D21" s="20" t="s">
        <v>191</v>
      </c>
      <c r="E21" s="20" t="s">
        <v>215</v>
      </c>
      <c r="F21" s="20">
        <v>7</v>
      </c>
      <c r="G21" s="20">
        <v>2324250</v>
      </c>
      <c r="H21" s="20">
        <v>1059300</v>
      </c>
    </row>
    <row r="22" spans="1:8" x14ac:dyDescent="0.25">
      <c r="A22" s="21">
        <v>44261</v>
      </c>
      <c r="B22" s="19" t="s">
        <v>199</v>
      </c>
      <c r="C22" s="19" t="s">
        <v>186</v>
      </c>
      <c r="D22" s="19" t="s">
        <v>201</v>
      </c>
      <c r="E22" s="19" t="s">
        <v>216</v>
      </c>
      <c r="F22" s="19">
        <v>12</v>
      </c>
      <c r="G22" s="19">
        <v>3433350</v>
      </c>
      <c r="H22" s="19">
        <v>1440300</v>
      </c>
    </row>
    <row r="23" spans="1:8" x14ac:dyDescent="0.25">
      <c r="A23" s="22">
        <v>44261</v>
      </c>
      <c r="B23" s="20" t="s">
        <v>185</v>
      </c>
      <c r="C23" s="20" t="s">
        <v>200</v>
      </c>
      <c r="D23" s="20" t="s">
        <v>201</v>
      </c>
      <c r="E23" s="20" t="s">
        <v>188</v>
      </c>
      <c r="F23" s="20">
        <v>44</v>
      </c>
      <c r="G23" s="20">
        <v>17832150</v>
      </c>
      <c r="H23" s="20">
        <v>9570600</v>
      </c>
    </row>
    <row r="24" spans="1:8" x14ac:dyDescent="0.25">
      <c r="A24" s="21">
        <v>44262</v>
      </c>
      <c r="B24" s="19" t="s">
        <v>193</v>
      </c>
      <c r="C24" s="19" t="s">
        <v>200</v>
      </c>
      <c r="D24" s="19" t="s">
        <v>201</v>
      </c>
      <c r="E24" s="19" t="s">
        <v>213</v>
      </c>
      <c r="F24" s="19">
        <v>34</v>
      </c>
      <c r="G24" s="19">
        <v>11734800</v>
      </c>
      <c r="H24" s="19">
        <v>5621400</v>
      </c>
    </row>
    <row r="25" spans="1:8" x14ac:dyDescent="0.25">
      <c r="A25" s="22">
        <v>44269</v>
      </c>
      <c r="B25" s="20" t="s">
        <v>199</v>
      </c>
      <c r="C25" s="20" t="s">
        <v>190</v>
      </c>
      <c r="D25" s="20" t="s">
        <v>187</v>
      </c>
      <c r="E25" s="20" t="s">
        <v>188</v>
      </c>
      <c r="F25" s="20">
        <v>6</v>
      </c>
      <c r="G25" s="20">
        <v>1717950</v>
      </c>
      <c r="H25" s="20">
        <v>723900</v>
      </c>
    </row>
    <row r="26" spans="1:8" x14ac:dyDescent="0.25">
      <c r="A26" s="21">
        <v>44281</v>
      </c>
      <c r="B26" s="19" t="s">
        <v>199</v>
      </c>
      <c r="C26" s="19" t="s">
        <v>186</v>
      </c>
      <c r="D26" s="19" t="s">
        <v>187</v>
      </c>
      <c r="E26" s="19" t="s">
        <v>217</v>
      </c>
      <c r="F26" s="19">
        <v>58</v>
      </c>
      <c r="G26" s="19">
        <v>16542150</v>
      </c>
      <c r="H26" s="19">
        <v>6960900</v>
      </c>
    </row>
    <row r="27" spans="1:8" x14ac:dyDescent="0.25">
      <c r="A27" s="22">
        <v>44289</v>
      </c>
      <c r="B27" s="20" t="s">
        <v>185</v>
      </c>
      <c r="C27" s="20" t="s">
        <v>186</v>
      </c>
      <c r="D27" s="20" t="s">
        <v>191</v>
      </c>
      <c r="E27" s="20" t="s">
        <v>188</v>
      </c>
      <c r="F27" s="20">
        <v>10</v>
      </c>
      <c r="G27" s="20">
        <v>4061699.9999999995</v>
      </c>
      <c r="H27" s="20">
        <v>2185950</v>
      </c>
    </row>
    <row r="28" spans="1:8" x14ac:dyDescent="0.25">
      <c r="A28" s="21">
        <v>44292</v>
      </c>
      <c r="B28" s="19" t="s">
        <v>199</v>
      </c>
      <c r="C28" s="19" t="s">
        <v>200</v>
      </c>
      <c r="D28" s="19" t="s">
        <v>197</v>
      </c>
      <c r="E28" s="19" t="s">
        <v>195</v>
      </c>
      <c r="F28" s="19">
        <v>38</v>
      </c>
      <c r="G28" s="19">
        <v>10833300</v>
      </c>
      <c r="H28" s="19">
        <v>4560900</v>
      </c>
    </row>
    <row r="29" spans="1:8" x14ac:dyDescent="0.25">
      <c r="A29" s="22">
        <v>44296</v>
      </c>
      <c r="B29" s="20" t="s">
        <v>196</v>
      </c>
      <c r="C29" s="20" t="s">
        <v>200</v>
      </c>
      <c r="D29" s="20" t="s">
        <v>205</v>
      </c>
      <c r="E29" s="20" t="s">
        <v>212</v>
      </c>
      <c r="F29" s="20">
        <v>12</v>
      </c>
      <c r="G29" s="20">
        <v>3786600</v>
      </c>
      <c r="H29" s="20">
        <v>1674900</v>
      </c>
    </row>
    <row r="30" spans="1:8" x14ac:dyDescent="0.25">
      <c r="A30" s="21">
        <v>44297</v>
      </c>
      <c r="B30" s="19" t="s">
        <v>193</v>
      </c>
      <c r="C30" s="19" t="s">
        <v>204</v>
      </c>
      <c r="D30" s="19" t="s">
        <v>201</v>
      </c>
      <c r="E30" s="19" t="s">
        <v>218</v>
      </c>
      <c r="F30" s="19">
        <v>13</v>
      </c>
      <c r="G30" s="19">
        <v>4494600</v>
      </c>
      <c r="H30" s="19">
        <v>2156700</v>
      </c>
    </row>
    <row r="31" spans="1:8" x14ac:dyDescent="0.25">
      <c r="A31" s="22">
        <v>44299</v>
      </c>
      <c r="B31" s="20" t="s">
        <v>185</v>
      </c>
      <c r="C31" s="20" t="s">
        <v>190</v>
      </c>
      <c r="D31" s="20" t="s">
        <v>201</v>
      </c>
      <c r="E31" s="20" t="s">
        <v>217</v>
      </c>
      <c r="F31" s="20">
        <v>44</v>
      </c>
      <c r="G31" s="20">
        <v>17823300</v>
      </c>
      <c r="H31" s="20">
        <v>9581850</v>
      </c>
    </row>
    <row r="32" spans="1:8" x14ac:dyDescent="0.25">
      <c r="A32" s="21">
        <v>44309</v>
      </c>
      <c r="B32" s="19" t="s">
        <v>189</v>
      </c>
      <c r="C32" s="19" t="s">
        <v>204</v>
      </c>
      <c r="D32" s="19" t="s">
        <v>197</v>
      </c>
      <c r="E32" s="19" t="s">
        <v>219</v>
      </c>
      <c r="F32" s="19">
        <v>57</v>
      </c>
      <c r="G32" s="19">
        <v>18818550</v>
      </c>
      <c r="H32" s="19">
        <v>8561550</v>
      </c>
    </row>
    <row r="33" spans="1:8" x14ac:dyDescent="0.25">
      <c r="A33" s="22">
        <v>44311</v>
      </c>
      <c r="B33" s="20" t="s">
        <v>196</v>
      </c>
      <c r="C33" s="20" t="s">
        <v>186</v>
      </c>
      <c r="D33" s="20" t="s">
        <v>197</v>
      </c>
      <c r="E33" s="20" t="s">
        <v>215</v>
      </c>
      <c r="F33" s="20">
        <v>53</v>
      </c>
      <c r="G33" s="20">
        <v>16705500</v>
      </c>
      <c r="H33" s="20">
        <v>7354650</v>
      </c>
    </row>
    <row r="34" spans="1:8" x14ac:dyDescent="0.25">
      <c r="A34" s="21">
        <v>44318</v>
      </c>
      <c r="B34" s="19" t="s">
        <v>189</v>
      </c>
      <c r="C34" s="19" t="s">
        <v>204</v>
      </c>
      <c r="D34" s="19" t="s">
        <v>197</v>
      </c>
      <c r="E34" s="19" t="s">
        <v>202</v>
      </c>
      <c r="F34" s="19">
        <v>40</v>
      </c>
      <c r="G34" s="19">
        <v>13209000</v>
      </c>
      <c r="H34" s="19">
        <v>6007050</v>
      </c>
    </row>
    <row r="35" spans="1:8" x14ac:dyDescent="0.25">
      <c r="A35" s="22">
        <v>44320</v>
      </c>
      <c r="B35" s="20" t="s">
        <v>185</v>
      </c>
      <c r="C35" s="20" t="s">
        <v>204</v>
      </c>
      <c r="D35" s="20" t="s">
        <v>191</v>
      </c>
      <c r="E35" s="20" t="s">
        <v>220</v>
      </c>
      <c r="F35" s="20">
        <v>61</v>
      </c>
      <c r="G35" s="20">
        <v>24708900</v>
      </c>
      <c r="H35" s="20">
        <v>13277550</v>
      </c>
    </row>
    <row r="36" spans="1:8" x14ac:dyDescent="0.25">
      <c r="A36" s="21">
        <v>44321</v>
      </c>
      <c r="B36" s="19" t="s">
        <v>196</v>
      </c>
      <c r="C36" s="19" t="s">
        <v>186</v>
      </c>
      <c r="D36" s="19" t="s">
        <v>197</v>
      </c>
      <c r="E36" s="19" t="s">
        <v>221</v>
      </c>
      <c r="F36" s="19">
        <v>61</v>
      </c>
      <c r="G36" s="19">
        <v>19216500</v>
      </c>
      <c r="H36" s="19">
        <v>8477250</v>
      </c>
    </row>
    <row r="37" spans="1:8" x14ac:dyDescent="0.25">
      <c r="A37" s="22">
        <v>44322</v>
      </c>
      <c r="B37" s="20" t="s">
        <v>193</v>
      </c>
      <c r="C37" s="20" t="s">
        <v>200</v>
      </c>
      <c r="D37" s="20" t="s">
        <v>191</v>
      </c>
      <c r="E37" s="20" t="s">
        <v>216</v>
      </c>
      <c r="F37" s="20">
        <v>59</v>
      </c>
      <c r="G37" s="20">
        <v>20358750</v>
      </c>
      <c r="H37" s="20">
        <v>9737250</v>
      </c>
    </row>
    <row r="38" spans="1:8" x14ac:dyDescent="0.25">
      <c r="A38" s="21">
        <v>44328</v>
      </c>
      <c r="B38" s="19" t="s">
        <v>185</v>
      </c>
      <c r="C38" s="19" t="s">
        <v>200</v>
      </c>
      <c r="D38" s="19" t="s">
        <v>201</v>
      </c>
      <c r="E38" s="19" t="s">
        <v>206</v>
      </c>
      <c r="F38" s="19">
        <v>14</v>
      </c>
      <c r="G38" s="19">
        <v>5674050</v>
      </c>
      <c r="H38" s="19">
        <v>3054300</v>
      </c>
    </row>
    <row r="39" spans="1:8" x14ac:dyDescent="0.25">
      <c r="A39" s="22">
        <v>44332</v>
      </c>
      <c r="B39" s="20" t="s">
        <v>199</v>
      </c>
      <c r="C39" s="20" t="s">
        <v>190</v>
      </c>
      <c r="D39" s="20" t="s">
        <v>187</v>
      </c>
      <c r="E39" s="20" t="s">
        <v>222</v>
      </c>
      <c r="F39" s="20">
        <v>23</v>
      </c>
      <c r="G39" s="20">
        <v>6567150</v>
      </c>
      <c r="H39" s="20">
        <v>2762400</v>
      </c>
    </row>
    <row r="40" spans="1:8" x14ac:dyDescent="0.25">
      <c r="A40" s="21">
        <v>44334</v>
      </c>
      <c r="B40" s="19" t="s">
        <v>185</v>
      </c>
      <c r="C40" s="19" t="s">
        <v>186</v>
      </c>
      <c r="D40" s="19" t="s">
        <v>191</v>
      </c>
      <c r="E40" s="19" t="s">
        <v>223</v>
      </c>
      <c r="F40" s="19">
        <v>16</v>
      </c>
      <c r="G40" s="19">
        <v>6490050</v>
      </c>
      <c r="H40" s="19">
        <v>3483000</v>
      </c>
    </row>
    <row r="41" spans="1:8" x14ac:dyDescent="0.25">
      <c r="A41" s="22">
        <v>44335</v>
      </c>
      <c r="B41" s="20" t="s">
        <v>189</v>
      </c>
      <c r="C41" s="20" t="s">
        <v>190</v>
      </c>
      <c r="D41" s="20" t="s">
        <v>205</v>
      </c>
      <c r="E41" s="20" t="s">
        <v>207</v>
      </c>
      <c r="F41" s="20">
        <v>24</v>
      </c>
      <c r="G41" s="20">
        <v>7927500</v>
      </c>
      <c r="H41" s="20">
        <v>3605250</v>
      </c>
    </row>
    <row r="42" spans="1:8" x14ac:dyDescent="0.25">
      <c r="A42" s="21">
        <v>44339</v>
      </c>
      <c r="B42" s="19" t="s">
        <v>185</v>
      </c>
      <c r="C42" s="19" t="s">
        <v>186</v>
      </c>
      <c r="D42" s="19" t="s">
        <v>194</v>
      </c>
      <c r="E42" s="19" t="s">
        <v>207</v>
      </c>
      <c r="F42" s="19">
        <v>65</v>
      </c>
      <c r="G42" s="19">
        <v>26335650</v>
      </c>
      <c r="H42" s="19">
        <v>14143950</v>
      </c>
    </row>
    <row r="43" spans="1:8" x14ac:dyDescent="0.25">
      <c r="A43" s="22">
        <v>44341</v>
      </c>
      <c r="B43" s="20" t="s">
        <v>193</v>
      </c>
      <c r="C43" s="20" t="s">
        <v>200</v>
      </c>
      <c r="D43" s="20" t="s">
        <v>201</v>
      </c>
      <c r="E43" s="20" t="s">
        <v>192</v>
      </c>
      <c r="F43" s="20">
        <v>38</v>
      </c>
      <c r="G43" s="20">
        <v>13116750</v>
      </c>
      <c r="H43" s="20">
        <v>6280350</v>
      </c>
    </row>
    <row r="44" spans="1:8" x14ac:dyDescent="0.25">
      <c r="A44" s="21">
        <v>44343</v>
      </c>
      <c r="B44" s="19" t="s">
        <v>189</v>
      </c>
      <c r="C44" s="19" t="s">
        <v>204</v>
      </c>
      <c r="D44" s="19" t="s">
        <v>205</v>
      </c>
      <c r="E44" s="19" t="s">
        <v>195</v>
      </c>
      <c r="F44" s="19">
        <v>7</v>
      </c>
      <c r="G44" s="19">
        <v>2315100</v>
      </c>
      <c r="H44" s="19">
        <v>1050000</v>
      </c>
    </row>
    <row r="45" spans="1:8" x14ac:dyDescent="0.25">
      <c r="A45" s="22">
        <v>44344</v>
      </c>
      <c r="B45" s="20" t="s">
        <v>185</v>
      </c>
      <c r="C45" s="20" t="s">
        <v>200</v>
      </c>
      <c r="D45" s="20" t="s">
        <v>187</v>
      </c>
      <c r="E45" s="20" t="s">
        <v>209</v>
      </c>
      <c r="F45" s="20">
        <v>16</v>
      </c>
      <c r="G45" s="20">
        <v>4500000</v>
      </c>
      <c r="H45" s="20">
        <v>3494850</v>
      </c>
    </row>
    <row r="46" spans="1:8" x14ac:dyDescent="0.25">
      <c r="A46" s="21">
        <v>44349</v>
      </c>
      <c r="B46" s="19" t="s">
        <v>196</v>
      </c>
      <c r="C46" s="19" t="s">
        <v>190</v>
      </c>
      <c r="D46" s="19" t="s">
        <v>197</v>
      </c>
      <c r="E46" s="19" t="s">
        <v>192</v>
      </c>
      <c r="F46" s="19">
        <v>23</v>
      </c>
      <c r="G46" s="19">
        <v>7253700</v>
      </c>
      <c r="H46" s="19">
        <v>3203550</v>
      </c>
    </row>
    <row r="47" spans="1:8" x14ac:dyDescent="0.25">
      <c r="A47" s="22">
        <v>44352</v>
      </c>
      <c r="B47" s="20" t="s">
        <v>199</v>
      </c>
      <c r="C47" s="20" t="s">
        <v>204</v>
      </c>
      <c r="D47" s="20" t="s">
        <v>194</v>
      </c>
      <c r="E47" s="20" t="s">
        <v>222</v>
      </c>
      <c r="F47" s="20">
        <v>8</v>
      </c>
      <c r="G47" s="20">
        <v>2291400</v>
      </c>
      <c r="H47" s="20">
        <v>961800.00000000012</v>
      </c>
    </row>
    <row r="48" spans="1:8" x14ac:dyDescent="0.25">
      <c r="A48" s="21">
        <v>44352</v>
      </c>
      <c r="B48" s="19" t="s">
        <v>193</v>
      </c>
      <c r="C48" s="19" t="s">
        <v>186</v>
      </c>
      <c r="D48" s="19" t="s">
        <v>205</v>
      </c>
      <c r="E48" s="19" t="s">
        <v>211</v>
      </c>
      <c r="F48" s="19">
        <v>10</v>
      </c>
      <c r="G48" s="19">
        <v>3453750</v>
      </c>
      <c r="H48" s="19">
        <v>1656450</v>
      </c>
    </row>
    <row r="49" spans="1:8" x14ac:dyDescent="0.25">
      <c r="A49" s="22">
        <v>44356</v>
      </c>
      <c r="B49" s="20" t="s">
        <v>196</v>
      </c>
      <c r="C49" s="20" t="s">
        <v>200</v>
      </c>
      <c r="D49" s="20" t="s">
        <v>205</v>
      </c>
      <c r="E49" s="20" t="s">
        <v>203</v>
      </c>
      <c r="F49" s="20">
        <v>27</v>
      </c>
      <c r="G49" s="20">
        <v>8507700</v>
      </c>
      <c r="H49" s="20">
        <v>3759900</v>
      </c>
    </row>
    <row r="50" spans="1:8" x14ac:dyDescent="0.25">
      <c r="A50" s="21">
        <v>44357</v>
      </c>
      <c r="B50" s="19" t="s">
        <v>196</v>
      </c>
      <c r="C50" s="19" t="s">
        <v>200</v>
      </c>
      <c r="D50" s="19" t="s">
        <v>194</v>
      </c>
      <c r="E50" s="19" t="s">
        <v>224</v>
      </c>
      <c r="F50" s="19">
        <v>17</v>
      </c>
      <c r="G50" s="19">
        <v>5363250</v>
      </c>
      <c r="H50" s="19">
        <v>2369250</v>
      </c>
    </row>
    <row r="51" spans="1:8" x14ac:dyDescent="0.25">
      <c r="A51" s="22">
        <v>44359</v>
      </c>
      <c r="B51" s="20" t="s">
        <v>193</v>
      </c>
      <c r="C51" s="20" t="s">
        <v>186</v>
      </c>
      <c r="D51" s="20" t="s">
        <v>187</v>
      </c>
      <c r="E51" s="20" t="s">
        <v>225</v>
      </c>
      <c r="F51" s="20">
        <v>18</v>
      </c>
      <c r="G51" s="20">
        <v>6211650</v>
      </c>
      <c r="H51" s="20">
        <v>2980650</v>
      </c>
    </row>
    <row r="52" spans="1:8" x14ac:dyDescent="0.25">
      <c r="A52" s="21">
        <v>44362</v>
      </c>
      <c r="B52" s="19" t="s">
        <v>185</v>
      </c>
      <c r="C52" s="19" t="s">
        <v>200</v>
      </c>
      <c r="D52" s="19" t="s">
        <v>191</v>
      </c>
      <c r="E52" s="19" t="s">
        <v>195</v>
      </c>
      <c r="F52" s="19">
        <v>58</v>
      </c>
      <c r="G52" s="19">
        <v>23502450</v>
      </c>
      <c r="H52" s="19">
        <v>12621450</v>
      </c>
    </row>
    <row r="53" spans="1:8" x14ac:dyDescent="0.25">
      <c r="A53" s="22">
        <v>44368</v>
      </c>
      <c r="B53" s="20" t="s">
        <v>189</v>
      </c>
      <c r="C53" s="20" t="s">
        <v>200</v>
      </c>
      <c r="D53" s="20" t="s">
        <v>197</v>
      </c>
      <c r="E53" s="20" t="s">
        <v>226</v>
      </c>
      <c r="F53" s="20">
        <v>59</v>
      </c>
      <c r="G53" s="20">
        <v>19483800</v>
      </c>
      <c r="H53" s="20">
        <v>8861250</v>
      </c>
    </row>
    <row r="54" spans="1:8" x14ac:dyDescent="0.25">
      <c r="A54" s="21">
        <v>44369</v>
      </c>
      <c r="B54" s="19" t="s">
        <v>199</v>
      </c>
      <c r="C54" s="19" t="s">
        <v>204</v>
      </c>
      <c r="D54" s="19" t="s">
        <v>191</v>
      </c>
      <c r="E54" s="19" t="s">
        <v>188</v>
      </c>
      <c r="F54" s="19">
        <v>62</v>
      </c>
      <c r="G54" s="19">
        <v>17671050</v>
      </c>
      <c r="H54" s="19">
        <v>7453800</v>
      </c>
    </row>
    <row r="55" spans="1:8" x14ac:dyDescent="0.25">
      <c r="A55" s="22">
        <v>44372</v>
      </c>
      <c r="B55" s="20" t="s">
        <v>189</v>
      </c>
      <c r="C55" s="20" t="s">
        <v>190</v>
      </c>
      <c r="D55" s="20" t="s">
        <v>187</v>
      </c>
      <c r="E55" s="20" t="s">
        <v>221</v>
      </c>
      <c r="F55" s="20">
        <v>35</v>
      </c>
      <c r="G55" s="20">
        <v>11562000</v>
      </c>
      <c r="H55" s="20">
        <v>5257950</v>
      </c>
    </row>
    <row r="56" spans="1:8" x14ac:dyDescent="0.25">
      <c r="A56" s="21">
        <v>44376</v>
      </c>
      <c r="B56" s="19" t="s">
        <v>196</v>
      </c>
      <c r="C56" s="19" t="s">
        <v>204</v>
      </c>
      <c r="D56" s="19" t="s">
        <v>187</v>
      </c>
      <c r="E56" s="19" t="s">
        <v>188</v>
      </c>
      <c r="F56" s="19">
        <v>22</v>
      </c>
      <c r="G56" s="19">
        <v>6933300</v>
      </c>
      <c r="H56" s="19">
        <v>3053550</v>
      </c>
    </row>
    <row r="57" spans="1:8" x14ac:dyDescent="0.25">
      <c r="A57" s="22">
        <v>44377</v>
      </c>
      <c r="B57" s="20" t="s">
        <v>185</v>
      </c>
      <c r="C57" s="20" t="s">
        <v>204</v>
      </c>
      <c r="D57" s="20" t="s">
        <v>194</v>
      </c>
      <c r="E57" s="20" t="s">
        <v>217</v>
      </c>
      <c r="F57" s="20">
        <v>42</v>
      </c>
      <c r="G57" s="20">
        <v>17024100</v>
      </c>
      <c r="H57" s="20">
        <v>9143100</v>
      </c>
    </row>
    <row r="58" spans="1:8" x14ac:dyDescent="0.25">
      <c r="A58" s="21">
        <v>44378</v>
      </c>
      <c r="B58" s="19" t="s">
        <v>189</v>
      </c>
      <c r="C58" s="19" t="s">
        <v>186</v>
      </c>
      <c r="D58" s="19" t="s">
        <v>197</v>
      </c>
      <c r="E58" s="19" t="s">
        <v>210</v>
      </c>
      <c r="F58" s="19">
        <v>19</v>
      </c>
      <c r="G58" s="19">
        <v>6278100</v>
      </c>
      <c r="H58" s="19">
        <v>2850750</v>
      </c>
    </row>
    <row r="59" spans="1:8" x14ac:dyDescent="0.25">
      <c r="A59" s="22">
        <v>44378</v>
      </c>
      <c r="B59" s="20" t="s">
        <v>189</v>
      </c>
      <c r="C59" s="20" t="s">
        <v>200</v>
      </c>
      <c r="D59" s="20" t="s">
        <v>197</v>
      </c>
      <c r="E59" s="20" t="s">
        <v>220</v>
      </c>
      <c r="F59" s="20">
        <v>40</v>
      </c>
      <c r="G59" s="20">
        <v>13205700</v>
      </c>
      <c r="H59" s="20">
        <v>6013350</v>
      </c>
    </row>
    <row r="60" spans="1:8" x14ac:dyDescent="0.25">
      <c r="A60" s="21">
        <v>44380</v>
      </c>
      <c r="B60" s="19" t="s">
        <v>196</v>
      </c>
      <c r="C60" s="19" t="s">
        <v>186</v>
      </c>
      <c r="D60" s="19" t="s">
        <v>191</v>
      </c>
      <c r="E60" s="19" t="s">
        <v>195</v>
      </c>
      <c r="F60" s="19">
        <v>62</v>
      </c>
      <c r="G60" s="19">
        <v>19542900</v>
      </c>
      <c r="H60" s="19">
        <v>8613750</v>
      </c>
    </row>
    <row r="61" spans="1:8" x14ac:dyDescent="0.25">
      <c r="A61" s="22">
        <v>44383</v>
      </c>
      <c r="B61" s="20" t="s">
        <v>189</v>
      </c>
      <c r="C61" s="20" t="s">
        <v>200</v>
      </c>
      <c r="D61" s="20" t="s">
        <v>205</v>
      </c>
      <c r="E61" s="20" t="s">
        <v>227</v>
      </c>
      <c r="F61" s="20">
        <v>9</v>
      </c>
      <c r="G61" s="20">
        <v>2970900</v>
      </c>
      <c r="H61" s="20">
        <v>1356750</v>
      </c>
    </row>
    <row r="62" spans="1:8" x14ac:dyDescent="0.25">
      <c r="A62" s="21">
        <v>44386</v>
      </c>
      <c r="B62" s="19" t="s">
        <v>193</v>
      </c>
      <c r="C62" s="19" t="s">
        <v>204</v>
      </c>
      <c r="D62" s="19" t="s">
        <v>201</v>
      </c>
      <c r="E62" s="19" t="s">
        <v>198</v>
      </c>
      <c r="F62" s="19">
        <v>12</v>
      </c>
      <c r="G62" s="19">
        <v>4140900</v>
      </c>
      <c r="H62" s="19">
        <v>1988400</v>
      </c>
    </row>
    <row r="63" spans="1:8" x14ac:dyDescent="0.25">
      <c r="A63" s="22">
        <v>44391</v>
      </c>
      <c r="B63" s="20" t="s">
        <v>193</v>
      </c>
      <c r="C63" s="20" t="s">
        <v>204</v>
      </c>
      <c r="D63" s="20" t="s">
        <v>191</v>
      </c>
      <c r="E63" s="20" t="s">
        <v>195</v>
      </c>
      <c r="F63" s="20">
        <v>20</v>
      </c>
      <c r="G63" s="20">
        <v>6904200</v>
      </c>
      <c r="H63" s="20">
        <v>3309450</v>
      </c>
    </row>
    <row r="64" spans="1:8" x14ac:dyDescent="0.25">
      <c r="A64" s="21">
        <v>44395</v>
      </c>
      <c r="B64" s="19" t="s">
        <v>196</v>
      </c>
      <c r="C64" s="19" t="s">
        <v>190</v>
      </c>
      <c r="D64" s="19" t="s">
        <v>197</v>
      </c>
      <c r="E64" s="19" t="s">
        <v>222</v>
      </c>
      <c r="F64" s="19">
        <v>57</v>
      </c>
      <c r="G64" s="19">
        <v>17968500</v>
      </c>
      <c r="H64" s="19">
        <v>7919700</v>
      </c>
    </row>
    <row r="65" spans="1:8" x14ac:dyDescent="0.25">
      <c r="A65" s="22">
        <v>44397</v>
      </c>
      <c r="B65" s="20" t="s">
        <v>189</v>
      </c>
      <c r="C65" s="20" t="s">
        <v>186</v>
      </c>
      <c r="D65" s="20" t="s">
        <v>194</v>
      </c>
      <c r="E65" s="20" t="s">
        <v>215</v>
      </c>
      <c r="F65" s="20">
        <v>6</v>
      </c>
      <c r="G65" s="20">
        <v>1985100</v>
      </c>
      <c r="H65" s="20">
        <v>908700</v>
      </c>
    </row>
    <row r="66" spans="1:8" x14ac:dyDescent="0.25">
      <c r="A66" s="21">
        <v>44411</v>
      </c>
      <c r="B66" s="19" t="s">
        <v>189</v>
      </c>
      <c r="C66" s="19" t="s">
        <v>186</v>
      </c>
      <c r="D66" s="19" t="s">
        <v>187</v>
      </c>
      <c r="E66" s="19" t="s">
        <v>217</v>
      </c>
      <c r="F66" s="19">
        <v>35</v>
      </c>
      <c r="G66" s="19">
        <v>11552700</v>
      </c>
      <c r="H66" s="19">
        <v>5259900</v>
      </c>
    </row>
    <row r="67" spans="1:8" x14ac:dyDescent="0.25">
      <c r="A67" s="22">
        <v>44419</v>
      </c>
      <c r="B67" s="20" t="s">
        <v>199</v>
      </c>
      <c r="C67" s="20" t="s">
        <v>204</v>
      </c>
      <c r="D67" s="20" t="s">
        <v>201</v>
      </c>
      <c r="E67" s="20" t="s">
        <v>198</v>
      </c>
      <c r="F67" s="20">
        <v>59</v>
      </c>
      <c r="G67" s="20">
        <v>16829400</v>
      </c>
      <c r="H67" s="20">
        <v>7085700</v>
      </c>
    </row>
    <row r="68" spans="1:8" x14ac:dyDescent="0.25">
      <c r="A68" s="21">
        <v>44419</v>
      </c>
      <c r="B68" s="19" t="s">
        <v>185</v>
      </c>
      <c r="C68" s="19" t="s">
        <v>200</v>
      </c>
      <c r="D68" s="19" t="s">
        <v>197</v>
      </c>
      <c r="E68" s="19" t="s">
        <v>215</v>
      </c>
      <c r="F68" s="19">
        <v>22</v>
      </c>
      <c r="G68" s="19">
        <v>8912550</v>
      </c>
      <c r="H68" s="19">
        <v>4791150</v>
      </c>
    </row>
    <row r="69" spans="1:8" x14ac:dyDescent="0.25">
      <c r="A69" s="22">
        <v>44423</v>
      </c>
      <c r="B69" s="20" t="s">
        <v>189</v>
      </c>
      <c r="C69" s="20" t="s">
        <v>186</v>
      </c>
      <c r="D69" s="20" t="s">
        <v>197</v>
      </c>
      <c r="E69" s="20" t="s">
        <v>228</v>
      </c>
      <c r="F69" s="20">
        <v>61</v>
      </c>
      <c r="G69" s="20">
        <v>75009000</v>
      </c>
      <c r="H69" s="20">
        <v>9152400</v>
      </c>
    </row>
    <row r="70" spans="1:8" x14ac:dyDescent="0.25">
      <c r="A70" s="21">
        <v>44424</v>
      </c>
      <c r="B70" s="19" t="s">
        <v>199</v>
      </c>
      <c r="C70" s="19" t="s">
        <v>200</v>
      </c>
      <c r="D70" s="19" t="s">
        <v>194</v>
      </c>
      <c r="E70" s="19" t="s">
        <v>188</v>
      </c>
      <c r="F70" s="19">
        <v>42</v>
      </c>
      <c r="G70" s="19">
        <v>11977950</v>
      </c>
      <c r="H70" s="19">
        <v>5042400</v>
      </c>
    </row>
    <row r="71" spans="1:8" x14ac:dyDescent="0.25">
      <c r="A71" s="22">
        <v>44429</v>
      </c>
      <c r="B71" s="20" t="s">
        <v>185</v>
      </c>
      <c r="C71" s="20" t="s">
        <v>186</v>
      </c>
      <c r="D71" s="20" t="s">
        <v>197</v>
      </c>
      <c r="E71" s="20" t="s">
        <v>208</v>
      </c>
      <c r="F71" s="20">
        <v>30</v>
      </c>
      <c r="G71" s="20">
        <v>12160650</v>
      </c>
      <c r="H71" s="20">
        <v>6534600</v>
      </c>
    </row>
    <row r="72" spans="1:8" x14ac:dyDescent="0.25">
      <c r="A72" s="21">
        <v>44433</v>
      </c>
      <c r="B72" s="19" t="s">
        <v>193</v>
      </c>
      <c r="C72" s="19" t="s">
        <v>186</v>
      </c>
      <c r="D72" s="19" t="s">
        <v>201</v>
      </c>
      <c r="E72" s="19" t="s">
        <v>229</v>
      </c>
      <c r="F72" s="19">
        <v>60</v>
      </c>
      <c r="G72" s="19">
        <v>20701050</v>
      </c>
      <c r="H72" s="19">
        <v>9906000</v>
      </c>
    </row>
    <row r="73" spans="1:8" x14ac:dyDescent="0.25">
      <c r="A73" s="22">
        <v>44434</v>
      </c>
      <c r="B73" s="20" t="s">
        <v>185</v>
      </c>
      <c r="C73" s="20" t="s">
        <v>200</v>
      </c>
      <c r="D73" s="20" t="s">
        <v>201</v>
      </c>
      <c r="E73" s="20" t="s">
        <v>223</v>
      </c>
      <c r="F73" s="20">
        <v>62</v>
      </c>
      <c r="G73" s="20">
        <v>25122300</v>
      </c>
      <c r="H73" s="20">
        <v>13493400</v>
      </c>
    </row>
    <row r="74" spans="1:8" x14ac:dyDescent="0.25">
      <c r="A74" s="21">
        <v>44438</v>
      </c>
      <c r="B74" s="19" t="s">
        <v>189</v>
      </c>
      <c r="C74" s="19" t="s">
        <v>200</v>
      </c>
      <c r="D74" s="19" t="s">
        <v>191</v>
      </c>
      <c r="E74" s="19" t="s">
        <v>225</v>
      </c>
      <c r="F74" s="19">
        <v>17</v>
      </c>
      <c r="G74" s="19">
        <v>5622150</v>
      </c>
      <c r="H74" s="19">
        <v>2555550</v>
      </c>
    </row>
    <row r="75" spans="1:8" x14ac:dyDescent="0.25">
      <c r="A75" s="22">
        <v>44440</v>
      </c>
      <c r="B75" s="20" t="s">
        <v>199</v>
      </c>
      <c r="C75" s="20" t="s">
        <v>204</v>
      </c>
      <c r="D75" s="20" t="s">
        <v>191</v>
      </c>
      <c r="E75" s="20" t="s">
        <v>217</v>
      </c>
      <c r="F75" s="20">
        <v>11</v>
      </c>
      <c r="G75" s="20">
        <v>3148800</v>
      </c>
      <c r="H75" s="20">
        <v>1330950</v>
      </c>
    </row>
    <row r="76" spans="1:8" x14ac:dyDescent="0.25">
      <c r="A76" s="21">
        <v>44446</v>
      </c>
      <c r="B76" s="19" t="s">
        <v>189</v>
      </c>
      <c r="C76" s="19" t="s">
        <v>190</v>
      </c>
      <c r="D76" s="19" t="s">
        <v>194</v>
      </c>
      <c r="E76" s="19" t="s">
        <v>203</v>
      </c>
      <c r="F76" s="19">
        <v>11</v>
      </c>
      <c r="G76" s="19">
        <v>3633900</v>
      </c>
      <c r="H76" s="19">
        <v>1663650</v>
      </c>
    </row>
    <row r="77" spans="1:8" x14ac:dyDescent="0.25">
      <c r="A77" s="22">
        <v>44451</v>
      </c>
      <c r="B77" s="20" t="s">
        <v>189</v>
      </c>
      <c r="C77" s="20" t="s">
        <v>190</v>
      </c>
      <c r="D77" s="20" t="s">
        <v>187</v>
      </c>
      <c r="E77" s="20" t="s">
        <v>211</v>
      </c>
      <c r="F77" s="20">
        <v>15</v>
      </c>
      <c r="G77" s="20">
        <v>4959150</v>
      </c>
      <c r="H77" s="20">
        <v>2256450</v>
      </c>
    </row>
    <row r="78" spans="1:8" x14ac:dyDescent="0.25">
      <c r="A78" s="21">
        <v>44455</v>
      </c>
      <c r="B78" s="19" t="s">
        <v>185</v>
      </c>
      <c r="C78" s="19" t="s">
        <v>200</v>
      </c>
      <c r="D78" s="19" t="s">
        <v>194</v>
      </c>
      <c r="E78" s="19" t="s">
        <v>218</v>
      </c>
      <c r="F78" s="19">
        <v>49</v>
      </c>
      <c r="G78" s="19">
        <v>19857150</v>
      </c>
      <c r="H78" s="19">
        <v>10672350</v>
      </c>
    </row>
    <row r="79" spans="1:8" x14ac:dyDescent="0.25">
      <c r="A79" s="22">
        <v>44455</v>
      </c>
      <c r="B79" s="20" t="s">
        <v>199</v>
      </c>
      <c r="C79" s="20" t="s">
        <v>204</v>
      </c>
      <c r="D79" s="20" t="s">
        <v>197</v>
      </c>
      <c r="E79" s="20" t="s">
        <v>226</v>
      </c>
      <c r="F79" s="20">
        <v>23</v>
      </c>
      <c r="G79" s="20">
        <v>6568800</v>
      </c>
      <c r="H79" s="20">
        <v>2764950</v>
      </c>
    </row>
    <row r="80" spans="1:8" x14ac:dyDescent="0.25">
      <c r="A80" s="21">
        <v>44463</v>
      </c>
      <c r="B80" s="19" t="s">
        <v>185</v>
      </c>
      <c r="C80" s="19" t="s">
        <v>200</v>
      </c>
      <c r="D80" s="19" t="s">
        <v>194</v>
      </c>
      <c r="E80" s="19" t="s">
        <v>226</v>
      </c>
      <c r="F80" s="19">
        <v>17</v>
      </c>
      <c r="G80" s="19">
        <v>6889350</v>
      </c>
      <c r="H80" s="19">
        <v>3701250</v>
      </c>
    </row>
    <row r="81" spans="1:8" x14ac:dyDescent="0.25">
      <c r="A81" s="22">
        <v>44466</v>
      </c>
      <c r="B81" s="20" t="s">
        <v>189</v>
      </c>
      <c r="C81" s="20" t="s">
        <v>200</v>
      </c>
      <c r="D81" s="20" t="s">
        <v>201</v>
      </c>
      <c r="E81" s="20" t="s">
        <v>227</v>
      </c>
      <c r="F81" s="20">
        <v>20</v>
      </c>
      <c r="G81" s="20">
        <v>6615000</v>
      </c>
      <c r="H81" s="20">
        <v>3008100</v>
      </c>
    </row>
    <row r="82" spans="1:8" x14ac:dyDescent="0.25">
      <c r="A82" s="21">
        <v>44469</v>
      </c>
      <c r="B82" s="19" t="s">
        <v>196</v>
      </c>
      <c r="C82" s="19" t="s">
        <v>190</v>
      </c>
      <c r="D82" s="19" t="s">
        <v>187</v>
      </c>
      <c r="E82" s="19" t="s">
        <v>227</v>
      </c>
      <c r="F82" s="19">
        <v>44</v>
      </c>
      <c r="G82" s="19">
        <v>13864350</v>
      </c>
      <c r="H82" s="19">
        <v>6109650</v>
      </c>
    </row>
    <row r="83" spans="1:8" x14ac:dyDescent="0.25">
      <c r="A83" s="22">
        <v>44470</v>
      </c>
      <c r="B83" s="20" t="s">
        <v>185</v>
      </c>
      <c r="C83" s="20" t="s">
        <v>186</v>
      </c>
      <c r="D83" s="20" t="s">
        <v>205</v>
      </c>
      <c r="E83" s="20" t="s">
        <v>223</v>
      </c>
      <c r="F83" s="20">
        <v>63</v>
      </c>
      <c r="G83" s="20">
        <v>25525200</v>
      </c>
      <c r="H83" s="20">
        <v>13706100</v>
      </c>
    </row>
    <row r="84" spans="1:8" x14ac:dyDescent="0.25">
      <c r="A84" s="21">
        <v>44472</v>
      </c>
      <c r="B84" s="19" t="s">
        <v>196</v>
      </c>
      <c r="C84" s="19" t="s">
        <v>200</v>
      </c>
      <c r="D84" s="19" t="s">
        <v>205</v>
      </c>
      <c r="E84" s="19" t="s">
        <v>208</v>
      </c>
      <c r="F84" s="19">
        <v>63</v>
      </c>
      <c r="G84" s="19">
        <v>19850250</v>
      </c>
      <c r="H84" s="19">
        <v>8750400</v>
      </c>
    </row>
    <row r="85" spans="1:8" x14ac:dyDescent="0.25">
      <c r="A85" s="22">
        <v>44472</v>
      </c>
      <c r="B85" s="20" t="s">
        <v>193</v>
      </c>
      <c r="C85" s="20" t="s">
        <v>186</v>
      </c>
      <c r="D85" s="20" t="s">
        <v>194</v>
      </c>
      <c r="E85" s="20" t="s">
        <v>230</v>
      </c>
      <c r="F85" s="20">
        <v>15</v>
      </c>
      <c r="G85" s="20">
        <v>5188200</v>
      </c>
      <c r="H85" s="20">
        <v>2486100</v>
      </c>
    </row>
    <row r="86" spans="1:8" x14ac:dyDescent="0.25">
      <c r="A86" s="21">
        <v>44473</v>
      </c>
      <c r="B86" s="19" t="s">
        <v>199</v>
      </c>
      <c r="C86" s="19" t="s">
        <v>190</v>
      </c>
      <c r="D86" s="19" t="s">
        <v>194</v>
      </c>
      <c r="E86" s="19" t="s">
        <v>211</v>
      </c>
      <c r="F86" s="19">
        <v>40</v>
      </c>
      <c r="G86" s="19">
        <v>11403600</v>
      </c>
      <c r="H86" s="19">
        <v>4803000</v>
      </c>
    </row>
    <row r="87" spans="1:8" x14ac:dyDescent="0.25">
      <c r="A87" s="22">
        <v>44475</v>
      </c>
      <c r="B87" s="20" t="s">
        <v>196</v>
      </c>
      <c r="C87" s="20" t="s">
        <v>190</v>
      </c>
      <c r="D87" s="20" t="s">
        <v>187</v>
      </c>
      <c r="E87" s="20" t="s">
        <v>224</v>
      </c>
      <c r="F87" s="20">
        <v>47</v>
      </c>
      <c r="G87" s="20">
        <v>14814300</v>
      </c>
      <c r="H87" s="20">
        <v>6527250</v>
      </c>
    </row>
    <row r="88" spans="1:8" x14ac:dyDescent="0.25">
      <c r="A88" s="21">
        <v>44476</v>
      </c>
      <c r="B88" s="19" t="s">
        <v>199</v>
      </c>
      <c r="C88" s="19" t="s">
        <v>204</v>
      </c>
      <c r="D88" s="19" t="s">
        <v>194</v>
      </c>
      <c r="E88" s="19" t="s">
        <v>211</v>
      </c>
      <c r="F88" s="19">
        <v>64</v>
      </c>
      <c r="G88" s="19">
        <v>18241800</v>
      </c>
      <c r="H88" s="19">
        <v>7692900</v>
      </c>
    </row>
    <row r="89" spans="1:8" x14ac:dyDescent="0.25">
      <c r="A89" s="22">
        <v>44478</v>
      </c>
      <c r="B89" s="20" t="s">
        <v>199</v>
      </c>
      <c r="C89" s="20" t="s">
        <v>190</v>
      </c>
      <c r="D89" s="20" t="s">
        <v>191</v>
      </c>
      <c r="E89" s="20" t="s">
        <v>221</v>
      </c>
      <c r="F89" s="20">
        <v>49</v>
      </c>
      <c r="G89" s="20">
        <v>13966350</v>
      </c>
      <c r="H89" s="20">
        <v>5893650</v>
      </c>
    </row>
    <row r="90" spans="1:8" x14ac:dyDescent="0.25">
      <c r="A90" s="21">
        <v>44485</v>
      </c>
      <c r="B90" s="19" t="s">
        <v>189</v>
      </c>
      <c r="C90" s="19" t="s">
        <v>204</v>
      </c>
      <c r="D90" s="19" t="s">
        <v>187</v>
      </c>
      <c r="E90" s="19" t="s">
        <v>217</v>
      </c>
      <c r="F90" s="19">
        <v>56</v>
      </c>
      <c r="G90" s="19">
        <v>18480750</v>
      </c>
      <c r="H90" s="19">
        <v>8404350</v>
      </c>
    </row>
    <row r="91" spans="1:8" x14ac:dyDescent="0.25">
      <c r="A91" s="22">
        <v>44486</v>
      </c>
      <c r="B91" s="20" t="s">
        <v>189</v>
      </c>
      <c r="C91" s="20" t="s">
        <v>204</v>
      </c>
      <c r="D91" s="20" t="s">
        <v>205</v>
      </c>
      <c r="E91" s="20" t="s">
        <v>202</v>
      </c>
      <c r="F91" s="20">
        <v>21</v>
      </c>
      <c r="G91" s="20">
        <v>6932550</v>
      </c>
      <c r="H91" s="20">
        <v>3162150</v>
      </c>
    </row>
    <row r="92" spans="1:8" x14ac:dyDescent="0.25">
      <c r="A92" s="21">
        <v>44490</v>
      </c>
      <c r="B92" s="19" t="s">
        <v>185</v>
      </c>
      <c r="C92" s="19" t="s">
        <v>190</v>
      </c>
      <c r="D92" s="19" t="s">
        <v>187</v>
      </c>
      <c r="E92" s="19" t="s">
        <v>222</v>
      </c>
      <c r="F92" s="19">
        <v>25</v>
      </c>
      <c r="G92" s="19">
        <v>10136250</v>
      </c>
      <c r="H92" s="19">
        <v>5443350</v>
      </c>
    </row>
    <row r="93" spans="1:8" x14ac:dyDescent="0.25">
      <c r="A93" s="22">
        <v>44498</v>
      </c>
      <c r="B93" s="20" t="s">
        <v>185</v>
      </c>
      <c r="C93" s="20" t="s">
        <v>204</v>
      </c>
      <c r="D93" s="20" t="s">
        <v>205</v>
      </c>
      <c r="E93" s="20" t="s">
        <v>219</v>
      </c>
      <c r="F93" s="20">
        <v>10</v>
      </c>
      <c r="G93" s="20">
        <v>4057500</v>
      </c>
      <c r="H93" s="20">
        <v>2183550</v>
      </c>
    </row>
    <row r="94" spans="1:8" x14ac:dyDescent="0.25">
      <c r="A94" s="21">
        <v>44499</v>
      </c>
      <c r="B94" s="19" t="s">
        <v>185</v>
      </c>
      <c r="C94" s="19" t="s">
        <v>190</v>
      </c>
      <c r="D94" s="19" t="s">
        <v>201</v>
      </c>
      <c r="E94" s="19" t="s">
        <v>195</v>
      </c>
      <c r="F94" s="19">
        <v>29</v>
      </c>
      <c r="G94" s="19">
        <v>11756250</v>
      </c>
      <c r="H94" s="19">
        <v>6318000</v>
      </c>
    </row>
    <row r="95" spans="1:8" x14ac:dyDescent="0.25">
      <c r="A95" s="22">
        <v>44503</v>
      </c>
      <c r="B95" s="20" t="s">
        <v>193</v>
      </c>
      <c r="C95" s="20" t="s">
        <v>190</v>
      </c>
      <c r="D95" s="20" t="s">
        <v>194</v>
      </c>
      <c r="E95" s="20" t="s">
        <v>217</v>
      </c>
      <c r="F95" s="20">
        <v>53</v>
      </c>
      <c r="G95" s="20">
        <v>18295500</v>
      </c>
      <c r="H95" s="20">
        <v>8755200</v>
      </c>
    </row>
    <row r="96" spans="1:8" x14ac:dyDescent="0.25">
      <c r="A96" s="21">
        <v>44507</v>
      </c>
      <c r="B96" s="19" t="s">
        <v>199</v>
      </c>
      <c r="C96" s="19" t="s">
        <v>186</v>
      </c>
      <c r="D96" s="19" t="s">
        <v>205</v>
      </c>
      <c r="E96" s="19" t="s">
        <v>226</v>
      </c>
      <c r="F96" s="19">
        <v>49</v>
      </c>
      <c r="G96" s="19">
        <v>13972350</v>
      </c>
      <c r="H96" s="19">
        <v>5892600</v>
      </c>
    </row>
    <row r="97" spans="1:8" x14ac:dyDescent="0.25">
      <c r="A97" s="22">
        <v>44515</v>
      </c>
      <c r="B97" s="20" t="s">
        <v>196</v>
      </c>
      <c r="C97" s="20" t="s">
        <v>204</v>
      </c>
      <c r="D97" s="20" t="s">
        <v>187</v>
      </c>
      <c r="E97" s="20" t="s">
        <v>218</v>
      </c>
      <c r="F97" s="20">
        <v>29</v>
      </c>
      <c r="G97" s="20">
        <v>9136800</v>
      </c>
      <c r="H97" s="20">
        <v>4037400.0000000005</v>
      </c>
    </row>
    <row r="98" spans="1:8" x14ac:dyDescent="0.25">
      <c r="A98" s="21">
        <v>44519</v>
      </c>
      <c r="B98" s="19" t="s">
        <v>196</v>
      </c>
      <c r="C98" s="19" t="s">
        <v>204</v>
      </c>
      <c r="D98" s="19" t="s">
        <v>205</v>
      </c>
      <c r="E98" s="19" t="s">
        <v>206</v>
      </c>
      <c r="F98" s="19">
        <v>19</v>
      </c>
      <c r="G98" s="19">
        <v>5985300</v>
      </c>
      <c r="H98" s="19">
        <v>2648250</v>
      </c>
    </row>
    <row r="99" spans="1:8" x14ac:dyDescent="0.25">
      <c r="A99" s="22">
        <v>44522</v>
      </c>
      <c r="B99" s="20" t="s">
        <v>185</v>
      </c>
      <c r="C99" s="20" t="s">
        <v>204</v>
      </c>
      <c r="D99" s="20" t="s">
        <v>194</v>
      </c>
      <c r="E99" s="20" t="s">
        <v>219</v>
      </c>
      <c r="F99" s="20">
        <v>17</v>
      </c>
      <c r="G99" s="20">
        <v>6899250</v>
      </c>
      <c r="H99" s="20">
        <v>3708450</v>
      </c>
    </row>
    <row r="100" spans="1:8" x14ac:dyDescent="0.25">
      <c r="A100" s="21">
        <v>44525</v>
      </c>
      <c r="B100" s="19" t="s">
        <v>189</v>
      </c>
      <c r="C100" s="19" t="s">
        <v>186</v>
      </c>
      <c r="D100" s="19" t="s">
        <v>197</v>
      </c>
      <c r="E100" s="19" t="s">
        <v>208</v>
      </c>
      <c r="F100" s="19">
        <v>53</v>
      </c>
      <c r="G100" s="19">
        <v>17494650</v>
      </c>
      <c r="H100" s="19">
        <v>7953600</v>
      </c>
    </row>
    <row r="101" spans="1:8" x14ac:dyDescent="0.25">
      <c r="A101" s="22">
        <v>44526</v>
      </c>
      <c r="B101" s="20" t="s">
        <v>193</v>
      </c>
      <c r="C101" s="20" t="s">
        <v>190</v>
      </c>
      <c r="D101" s="20" t="s">
        <v>194</v>
      </c>
      <c r="E101" s="20" t="s">
        <v>207</v>
      </c>
      <c r="F101" s="20">
        <v>29</v>
      </c>
      <c r="G101" s="20">
        <v>10019850</v>
      </c>
      <c r="H101" s="20">
        <v>4791750</v>
      </c>
    </row>
    <row r="102" spans="1:8" x14ac:dyDescent="0.25">
      <c r="A102" s="21">
        <v>44529</v>
      </c>
      <c r="B102" s="19" t="s">
        <v>189</v>
      </c>
      <c r="C102" s="19" t="s">
        <v>204</v>
      </c>
      <c r="D102" s="19" t="s">
        <v>194</v>
      </c>
      <c r="E102" s="19" t="s">
        <v>188</v>
      </c>
      <c r="F102" s="19">
        <v>16</v>
      </c>
      <c r="G102" s="19">
        <v>5283000</v>
      </c>
      <c r="H102" s="19">
        <v>2409900</v>
      </c>
    </row>
    <row r="103" spans="1:8" x14ac:dyDescent="0.25">
      <c r="A103" s="22">
        <v>44533</v>
      </c>
      <c r="B103" s="20" t="s">
        <v>189</v>
      </c>
      <c r="C103" s="20" t="s">
        <v>186</v>
      </c>
      <c r="D103" s="20" t="s">
        <v>194</v>
      </c>
      <c r="E103" s="20" t="s">
        <v>221</v>
      </c>
      <c r="F103" s="20">
        <v>27</v>
      </c>
      <c r="G103" s="20">
        <v>8911350</v>
      </c>
      <c r="H103" s="20">
        <v>4056300.0000000005</v>
      </c>
    </row>
    <row r="104" spans="1:8" x14ac:dyDescent="0.25">
      <c r="A104" s="21">
        <v>44538</v>
      </c>
      <c r="B104" s="19" t="s">
        <v>189</v>
      </c>
      <c r="C104" s="19" t="s">
        <v>200</v>
      </c>
      <c r="D104" s="19" t="s">
        <v>205</v>
      </c>
      <c r="E104" s="19" t="s">
        <v>202</v>
      </c>
      <c r="F104" s="19">
        <v>10</v>
      </c>
      <c r="G104" s="19">
        <v>3302700</v>
      </c>
      <c r="H104" s="19">
        <v>1512600</v>
      </c>
    </row>
    <row r="105" spans="1:8" x14ac:dyDescent="0.25">
      <c r="A105" s="22">
        <v>44551</v>
      </c>
      <c r="B105" s="20" t="s">
        <v>189</v>
      </c>
      <c r="C105" s="20" t="s">
        <v>200</v>
      </c>
      <c r="D105" s="20" t="s">
        <v>191</v>
      </c>
      <c r="E105" s="20" t="s">
        <v>208</v>
      </c>
      <c r="F105" s="20">
        <v>50</v>
      </c>
      <c r="G105" s="20">
        <v>16502100.000000002</v>
      </c>
      <c r="H105" s="20">
        <v>7502400</v>
      </c>
    </row>
    <row r="106" spans="1:8" x14ac:dyDescent="0.25">
      <c r="A106" s="21">
        <v>44553</v>
      </c>
      <c r="B106" s="19" t="s">
        <v>199</v>
      </c>
      <c r="C106" s="19" t="s">
        <v>190</v>
      </c>
      <c r="D106" s="19" t="s">
        <v>194</v>
      </c>
      <c r="E106" s="19" t="s">
        <v>228</v>
      </c>
      <c r="F106" s="19">
        <v>51</v>
      </c>
      <c r="G106" s="19">
        <v>14545800</v>
      </c>
      <c r="H106" s="19">
        <v>6121200</v>
      </c>
    </row>
    <row r="107" spans="1:8" x14ac:dyDescent="0.25">
      <c r="A107" s="22">
        <v>44580</v>
      </c>
      <c r="B107" s="20" t="s">
        <v>189</v>
      </c>
      <c r="C107" s="20" t="s">
        <v>186</v>
      </c>
      <c r="D107" s="20" t="s">
        <v>197</v>
      </c>
      <c r="E107" s="20" t="s">
        <v>228</v>
      </c>
      <c r="F107" s="20">
        <v>61</v>
      </c>
      <c r="G107" s="20">
        <v>75009000</v>
      </c>
      <c r="H107" s="20">
        <v>9152400</v>
      </c>
    </row>
    <row r="108" spans="1:8" x14ac:dyDescent="0.25">
      <c r="A108" s="21">
        <v>44629</v>
      </c>
      <c r="B108" s="19" t="s">
        <v>199</v>
      </c>
      <c r="C108" s="19" t="s">
        <v>200</v>
      </c>
      <c r="D108" s="19" t="s">
        <v>194</v>
      </c>
      <c r="E108" s="19" t="s">
        <v>188</v>
      </c>
      <c r="F108" s="19">
        <v>42</v>
      </c>
      <c r="G108" s="19">
        <v>11977950</v>
      </c>
      <c r="H108" s="19">
        <v>5042400</v>
      </c>
    </row>
    <row r="109" spans="1:8" x14ac:dyDescent="0.25">
      <c r="A109" s="22">
        <v>44596</v>
      </c>
      <c r="B109" s="20" t="s">
        <v>185</v>
      </c>
      <c r="C109" s="20" t="s">
        <v>186</v>
      </c>
      <c r="D109" s="20" t="s">
        <v>197</v>
      </c>
      <c r="E109" s="20" t="s">
        <v>208</v>
      </c>
      <c r="F109" s="20">
        <v>30</v>
      </c>
      <c r="G109" s="20">
        <v>12160650</v>
      </c>
      <c r="H109" s="20">
        <v>6534600</v>
      </c>
    </row>
    <row r="110" spans="1:8" x14ac:dyDescent="0.25">
      <c r="A110" s="21">
        <v>44612</v>
      </c>
      <c r="B110" s="19" t="s">
        <v>193</v>
      </c>
      <c r="C110" s="19" t="s">
        <v>186</v>
      </c>
      <c r="D110" s="19" t="s">
        <v>201</v>
      </c>
      <c r="E110" s="19" t="s">
        <v>229</v>
      </c>
      <c r="F110" s="19">
        <v>60</v>
      </c>
      <c r="G110" s="19">
        <v>20701050</v>
      </c>
      <c r="H110" s="19">
        <v>9906000</v>
      </c>
    </row>
    <row r="111" spans="1:8" x14ac:dyDescent="0.25">
      <c r="A111" s="22">
        <v>44639</v>
      </c>
      <c r="B111" s="20" t="s">
        <v>185</v>
      </c>
      <c r="C111" s="20" t="s">
        <v>200</v>
      </c>
      <c r="D111" s="20" t="s">
        <v>201</v>
      </c>
      <c r="E111" s="20" t="s">
        <v>223</v>
      </c>
      <c r="F111" s="20">
        <v>62</v>
      </c>
      <c r="G111" s="20">
        <v>25122300</v>
      </c>
      <c r="H111" s="20">
        <v>13493400</v>
      </c>
    </row>
    <row r="112" spans="1:8" x14ac:dyDescent="0.25">
      <c r="A112" s="21">
        <v>44632</v>
      </c>
      <c r="B112" s="19" t="s">
        <v>189</v>
      </c>
      <c r="C112" s="19" t="s">
        <v>200</v>
      </c>
      <c r="D112" s="19" t="s">
        <v>191</v>
      </c>
      <c r="E112" s="19" t="s">
        <v>225</v>
      </c>
      <c r="F112" s="19">
        <v>17</v>
      </c>
      <c r="G112" s="19">
        <v>5622150</v>
      </c>
      <c r="H112" s="19">
        <v>2555550</v>
      </c>
    </row>
    <row r="113" spans="1:8" x14ac:dyDescent="0.25">
      <c r="A113" s="22">
        <v>44600</v>
      </c>
      <c r="B113" s="20" t="s">
        <v>199</v>
      </c>
      <c r="C113" s="20" t="s">
        <v>204</v>
      </c>
      <c r="D113" s="20" t="s">
        <v>191</v>
      </c>
      <c r="E113" s="20" t="s">
        <v>217</v>
      </c>
      <c r="F113" s="20">
        <v>11</v>
      </c>
      <c r="G113" s="20">
        <v>3148800</v>
      </c>
      <c r="H113" s="20">
        <v>1330950</v>
      </c>
    </row>
    <row r="114" spans="1:8" x14ac:dyDescent="0.25">
      <c r="A114" s="21">
        <v>44619</v>
      </c>
      <c r="B114" s="19" t="s">
        <v>189</v>
      </c>
      <c r="C114" s="19" t="s">
        <v>190</v>
      </c>
      <c r="D114" s="19" t="s">
        <v>194</v>
      </c>
      <c r="E114" s="19" t="s">
        <v>203</v>
      </c>
      <c r="F114" s="19">
        <v>11</v>
      </c>
      <c r="G114" s="19">
        <v>3633900</v>
      </c>
      <c r="H114" s="19">
        <v>1663650</v>
      </c>
    </row>
    <row r="115" spans="1:8" x14ac:dyDescent="0.25">
      <c r="A115" s="22">
        <v>44643</v>
      </c>
      <c r="B115" s="20" t="s">
        <v>189</v>
      </c>
      <c r="C115" s="20" t="s">
        <v>190</v>
      </c>
      <c r="D115" s="20" t="s">
        <v>187</v>
      </c>
      <c r="E115" s="20" t="s">
        <v>211</v>
      </c>
      <c r="F115" s="20">
        <v>15</v>
      </c>
      <c r="G115" s="20">
        <v>4959150</v>
      </c>
      <c r="H115" s="20">
        <v>2256450</v>
      </c>
    </row>
    <row r="116" spans="1:8" x14ac:dyDescent="0.25">
      <c r="A116" s="21">
        <v>44612</v>
      </c>
      <c r="B116" s="19" t="s">
        <v>185</v>
      </c>
      <c r="C116" s="19" t="s">
        <v>200</v>
      </c>
      <c r="D116" s="19" t="s">
        <v>194</v>
      </c>
      <c r="E116" s="19" t="s">
        <v>218</v>
      </c>
      <c r="F116" s="19">
        <v>49</v>
      </c>
      <c r="G116" s="19">
        <v>19857150</v>
      </c>
      <c r="H116" s="19">
        <v>10672350</v>
      </c>
    </row>
    <row r="117" spans="1:8" x14ac:dyDescent="0.25">
      <c r="A117" s="22">
        <v>44608</v>
      </c>
      <c r="B117" s="20" t="s">
        <v>199</v>
      </c>
      <c r="C117" s="20" t="s">
        <v>204</v>
      </c>
      <c r="D117" s="20" t="s">
        <v>197</v>
      </c>
      <c r="E117" s="20" t="s">
        <v>226</v>
      </c>
      <c r="F117" s="20">
        <v>23</v>
      </c>
      <c r="G117" s="20">
        <v>6568800</v>
      </c>
      <c r="H117" s="20">
        <v>2764950</v>
      </c>
    </row>
    <row r="118" spans="1:8" x14ac:dyDescent="0.25">
      <c r="A118" s="21">
        <v>44645</v>
      </c>
      <c r="B118" s="19" t="s">
        <v>185</v>
      </c>
      <c r="C118" s="19" t="s">
        <v>200</v>
      </c>
      <c r="D118" s="19" t="s">
        <v>194</v>
      </c>
      <c r="E118" s="19" t="s">
        <v>226</v>
      </c>
      <c r="F118" s="19">
        <v>17</v>
      </c>
      <c r="G118" s="19">
        <v>6889350</v>
      </c>
      <c r="H118" s="19">
        <v>3701250</v>
      </c>
    </row>
    <row r="119" spans="1:8" x14ac:dyDescent="0.25">
      <c r="A119" s="22">
        <v>44577</v>
      </c>
      <c r="B119" s="20" t="s">
        <v>189</v>
      </c>
      <c r="C119" s="20" t="s">
        <v>200</v>
      </c>
      <c r="D119" s="20" t="s">
        <v>201</v>
      </c>
      <c r="E119" s="20" t="s">
        <v>227</v>
      </c>
      <c r="F119" s="20">
        <v>20</v>
      </c>
      <c r="G119" s="20">
        <v>6615000</v>
      </c>
      <c r="H119" s="20">
        <v>3008100</v>
      </c>
    </row>
    <row r="120" spans="1:8" x14ac:dyDescent="0.25">
      <c r="A120" s="21">
        <v>44592</v>
      </c>
      <c r="B120" s="19" t="s">
        <v>196</v>
      </c>
      <c r="C120" s="19" t="s">
        <v>190</v>
      </c>
      <c r="D120" s="19" t="s">
        <v>187</v>
      </c>
      <c r="E120" s="19" t="s">
        <v>227</v>
      </c>
      <c r="F120" s="19">
        <v>44</v>
      </c>
      <c r="G120" s="19">
        <v>13864350</v>
      </c>
      <c r="H120" s="19">
        <v>6109650</v>
      </c>
    </row>
    <row r="121" spans="1:8" x14ac:dyDescent="0.25">
      <c r="A121" s="22">
        <v>44646</v>
      </c>
      <c r="B121" s="20" t="s">
        <v>185</v>
      </c>
      <c r="C121" s="20" t="s">
        <v>186</v>
      </c>
      <c r="D121" s="20" t="s">
        <v>205</v>
      </c>
      <c r="E121" s="20" t="s">
        <v>223</v>
      </c>
      <c r="F121" s="20">
        <v>63</v>
      </c>
      <c r="G121" s="20">
        <v>25525200</v>
      </c>
      <c r="H121" s="20">
        <v>13706100</v>
      </c>
    </row>
    <row r="122" spans="1:8" x14ac:dyDescent="0.25">
      <c r="A122" s="21">
        <v>44586</v>
      </c>
      <c r="B122" s="19" t="s">
        <v>196</v>
      </c>
      <c r="C122" s="19" t="s">
        <v>200</v>
      </c>
      <c r="D122" s="19" t="s">
        <v>205</v>
      </c>
      <c r="E122" s="19" t="s">
        <v>208</v>
      </c>
      <c r="F122" s="19">
        <v>63</v>
      </c>
      <c r="G122" s="19">
        <v>19850250</v>
      </c>
      <c r="H122" s="19">
        <v>8750400</v>
      </c>
    </row>
    <row r="123" spans="1:8" x14ac:dyDescent="0.25">
      <c r="A123" s="22">
        <v>44631</v>
      </c>
      <c r="B123" s="20" t="s">
        <v>193</v>
      </c>
      <c r="C123" s="20" t="s">
        <v>186</v>
      </c>
      <c r="D123" s="20" t="s">
        <v>194</v>
      </c>
      <c r="E123" s="20" t="s">
        <v>230</v>
      </c>
      <c r="F123" s="20">
        <v>15</v>
      </c>
      <c r="G123" s="20">
        <v>5188200</v>
      </c>
      <c r="H123" s="20">
        <v>2486100</v>
      </c>
    </row>
    <row r="124" spans="1:8" x14ac:dyDescent="0.25">
      <c r="A124" s="21">
        <v>44615</v>
      </c>
      <c r="B124" s="19" t="s">
        <v>199</v>
      </c>
      <c r="C124" s="19" t="s">
        <v>190</v>
      </c>
      <c r="D124" s="19" t="s">
        <v>194</v>
      </c>
      <c r="E124" s="19" t="s">
        <v>211</v>
      </c>
      <c r="F124" s="19">
        <v>40</v>
      </c>
      <c r="G124" s="19">
        <v>11403600</v>
      </c>
      <c r="H124" s="19">
        <v>4803000</v>
      </c>
    </row>
    <row r="125" spans="1:8" x14ac:dyDescent="0.25">
      <c r="A125" s="22">
        <v>44564</v>
      </c>
      <c r="B125" s="20" t="s">
        <v>196</v>
      </c>
      <c r="C125" s="20" t="s">
        <v>190</v>
      </c>
      <c r="D125" s="20" t="s">
        <v>187</v>
      </c>
      <c r="E125" s="20" t="s">
        <v>224</v>
      </c>
      <c r="F125" s="20">
        <v>47</v>
      </c>
      <c r="G125" s="20">
        <v>14814300</v>
      </c>
      <c r="H125" s="20">
        <v>6527250</v>
      </c>
    </row>
    <row r="126" spans="1:8" x14ac:dyDescent="0.25">
      <c r="A126" s="21">
        <v>44578</v>
      </c>
      <c r="B126" s="19" t="s">
        <v>199</v>
      </c>
      <c r="C126" s="19" t="s">
        <v>204</v>
      </c>
      <c r="D126" s="19" t="s">
        <v>194</v>
      </c>
      <c r="E126" s="19" t="s">
        <v>211</v>
      </c>
      <c r="F126" s="19">
        <v>64</v>
      </c>
      <c r="G126" s="19">
        <v>18241800</v>
      </c>
      <c r="H126" s="19">
        <v>7692900</v>
      </c>
    </row>
    <row r="127" spans="1:8" x14ac:dyDescent="0.25">
      <c r="A127" s="22">
        <v>44575</v>
      </c>
      <c r="B127" s="20" t="s">
        <v>199</v>
      </c>
      <c r="C127" s="20" t="s">
        <v>190</v>
      </c>
      <c r="D127" s="20" t="s">
        <v>191</v>
      </c>
      <c r="E127" s="20" t="s">
        <v>221</v>
      </c>
      <c r="F127" s="20">
        <v>49</v>
      </c>
      <c r="G127" s="20">
        <v>13966350</v>
      </c>
      <c r="H127" s="20">
        <v>5893650</v>
      </c>
    </row>
    <row r="128" spans="1:8" x14ac:dyDescent="0.25">
      <c r="A128" s="21">
        <v>44569</v>
      </c>
      <c r="B128" s="19" t="s">
        <v>189</v>
      </c>
      <c r="C128" s="19" t="s">
        <v>204</v>
      </c>
      <c r="D128" s="19" t="s">
        <v>187</v>
      </c>
      <c r="E128" s="19" t="s">
        <v>217</v>
      </c>
      <c r="F128" s="19">
        <v>56</v>
      </c>
      <c r="G128" s="19">
        <v>18480750</v>
      </c>
      <c r="H128" s="19">
        <v>8404350</v>
      </c>
    </row>
    <row r="129" spans="1:8" x14ac:dyDescent="0.25">
      <c r="A129" s="22">
        <v>44626</v>
      </c>
      <c r="B129" s="20" t="s">
        <v>189</v>
      </c>
      <c r="C129" s="20" t="s">
        <v>204</v>
      </c>
      <c r="D129" s="20" t="s">
        <v>205</v>
      </c>
      <c r="E129" s="20" t="s">
        <v>202</v>
      </c>
      <c r="F129" s="20">
        <v>21</v>
      </c>
      <c r="G129" s="20">
        <v>6932550</v>
      </c>
      <c r="H129" s="20">
        <v>3162150</v>
      </c>
    </row>
    <row r="130" spans="1:8" x14ac:dyDescent="0.25">
      <c r="A130" s="21">
        <v>44636</v>
      </c>
      <c r="B130" s="19" t="s">
        <v>185</v>
      </c>
      <c r="C130" s="19" t="s">
        <v>190</v>
      </c>
      <c r="D130" s="19" t="s">
        <v>187</v>
      </c>
      <c r="E130" s="19" t="s">
        <v>222</v>
      </c>
      <c r="F130" s="19">
        <v>25</v>
      </c>
      <c r="G130" s="19">
        <v>10136250</v>
      </c>
      <c r="H130" s="19">
        <v>5443350</v>
      </c>
    </row>
    <row r="131" spans="1:8" x14ac:dyDescent="0.25">
      <c r="A131" s="22">
        <v>44612</v>
      </c>
      <c r="B131" s="20" t="s">
        <v>185</v>
      </c>
      <c r="C131" s="20" t="s">
        <v>204</v>
      </c>
      <c r="D131" s="20" t="s">
        <v>205</v>
      </c>
      <c r="E131" s="20" t="s">
        <v>219</v>
      </c>
      <c r="F131" s="20">
        <v>10</v>
      </c>
      <c r="G131" s="20">
        <v>4057500</v>
      </c>
      <c r="H131" s="20">
        <v>2183550</v>
      </c>
    </row>
    <row r="132" spans="1:8" x14ac:dyDescent="0.25">
      <c r="A132" s="21">
        <v>44647</v>
      </c>
      <c r="B132" s="19" t="s">
        <v>185</v>
      </c>
      <c r="C132" s="19" t="s">
        <v>190</v>
      </c>
      <c r="D132" s="19" t="s">
        <v>201</v>
      </c>
      <c r="E132" s="19" t="s">
        <v>195</v>
      </c>
      <c r="F132" s="19">
        <v>29</v>
      </c>
      <c r="G132" s="19">
        <v>11756250</v>
      </c>
      <c r="H132" s="19">
        <v>6318000</v>
      </c>
    </row>
    <row r="133" spans="1:8" x14ac:dyDescent="0.25">
      <c r="A133" s="22">
        <v>44592</v>
      </c>
      <c r="B133" s="20" t="s">
        <v>193</v>
      </c>
      <c r="C133" s="20" t="s">
        <v>190</v>
      </c>
      <c r="D133" s="20" t="s">
        <v>194</v>
      </c>
      <c r="E133" s="20" t="s">
        <v>217</v>
      </c>
      <c r="F133" s="20">
        <v>53</v>
      </c>
      <c r="G133" s="20">
        <v>18295500</v>
      </c>
      <c r="H133" s="20">
        <v>8755200</v>
      </c>
    </row>
    <row r="134" spans="1:8" x14ac:dyDescent="0.25">
      <c r="A134" s="21">
        <v>44587</v>
      </c>
      <c r="B134" s="19" t="s">
        <v>199</v>
      </c>
      <c r="C134" s="19" t="s">
        <v>186</v>
      </c>
      <c r="D134" s="19" t="s">
        <v>205</v>
      </c>
      <c r="E134" s="19" t="s">
        <v>226</v>
      </c>
      <c r="F134" s="19">
        <v>49</v>
      </c>
      <c r="G134" s="19">
        <v>13972350</v>
      </c>
      <c r="H134" s="19">
        <v>5892600</v>
      </c>
    </row>
    <row r="135" spans="1:8" x14ac:dyDescent="0.25">
      <c r="A135" s="22">
        <v>44597</v>
      </c>
      <c r="B135" s="20" t="s">
        <v>196</v>
      </c>
      <c r="C135" s="20" t="s">
        <v>204</v>
      </c>
      <c r="D135" s="20" t="s">
        <v>187</v>
      </c>
      <c r="E135" s="20" t="s">
        <v>218</v>
      </c>
      <c r="F135" s="20">
        <v>29</v>
      </c>
      <c r="G135" s="20">
        <v>9136800</v>
      </c>
      <c r="H135" s="20">
        <v>4037400.0000000005</v>
      </c>
    </row>
    <row r="136" spans="1:8" x14ac:dyDescent="0.25">
      <c r="A136" s="21">
        <v>44563</v>
      </c>
      <c r="B136" s="19" t="s">
        <v>196</v>
      </c>
      <c r="C136" s="19" t="s">
        <v>204</v>
      </c>
      <c r="D136" s="19" t="s">
        <v>205</v>
      </c>
      <c r="E136" s="19" t="s">
        <v>206</v>
      </c>
      <c r="F136" s="19">
        <v>19</v>
      </c>
      <c r="G136" s="19">
        <v>5985300</v>
      </c>
      <c r="H136" s="19">
        <v>2648250</v>
      </c>
    </row>
    <row r="137" spans="1:8" x14ac:dyDescent="0.25">
      <c r="A137" s="22">
        <v>44603</v>
      </c>
      <c r="B137" s="20" t="s">
        <v>185</v>
      </c>
      <c r="C137" s="20" t="s">
        <v>204</v>
      </c>
      <c r="D137" s="20" t="s">
        <v>194</v>
      </c>
      <c r="E137" s="20" t="s">
        <v>219</v>
      </c>
      <c r="F137" s="20">
        <v>17</v>
      </c>
      <c r="G137" s="20">
        <v>6899250</v>
      </c>
      <c r="H137" s="20">
        <v>3708450</v>
      </c>
    </row>
    <row r="138" spans="1:8" x14ac:dyDescent="0.25">
      <c r="A138" s="21">
        <v>44630</v>
      </c>
      <c r="B138" s="19" t="s">
        <v>189</v>
      </c>
      <c r="C138" s="19" t="s">
        <v>186</v>
      </c>
      <c r="D138" s="19" t="s">
        <v>197</v>
      </c>
      <c r="E138" s="19" t="s">
        <v>208</v>
      </c>
      <c r="F138" s="19">
        <v>53</v>
      </c>
      <c r="G138" s="19">
        <v>17494650</v>
      </c>
      <c r="H138" s="19">
        <v>7953600</v>
      </c>
    </row>
    <row r="139" spans="1:8" x14ac:dyDescent="0.25">
      <c r="A139" s="22">
        <v>44638</v>
      </c>
      <c r="B139" s="20" t="s">
        <v>193</v>
      </c>
      <c r="C139" s="20" t="s">
        <v>190</v>
      </c>
      <c r="D139" s="20" t="s">
        <v>194</v>
      </c>
      <c r="E139" s="20" t="s">
        <v>207</v>
      </c>
      <c r="F139" s="20">
        <v>29</v>
      </c>
      <c r="G139" s="20">
        <v>10019850</v>
      </c>
      <c r="H139" s="20">
        <v>4791750</v>
      </c>
    </row>
    <row r="140" spans="1:8" x14ac:dyDescent="0.25">
      <c r="A140" s="21">
        <v>44568</v>
      </c>
      <c r="B140" s="19" t="s">
        <v>189</v>
      </c>
      <c r="C140" s="19" t="s">
        <v>204</v>
      </c>
      <c r="D140" s="19" t="s">
        <v>194</v>
      </c>
      <c r="E140" s="19" t="s">
        <v>188</v>
      </c>
      <c r="F140" s="19">
        <v>16</v>
      </c>
      <c r="G140" s="19">
        <v>5283000</v>
      </c>
      <c r="H140" s="19">
        <v>2409900</v>
      </c>
    </row>
    <row r="141" spans="1:8" x14ac:dyDescent="0.25">
      <c r="A141" s="22">
        <v>44582</v>
      </c>
      <c r="B141" s="20" t="s">
        <v>189</v>
      </c>
      <c r="C141" s="20" t="s">
        <v>186</v>
      </c>
      <c r="D141" s="20" t="s">
        <v>194</v>
      </c>
      <c r="E141" s="20" t="s">
        <v>221</v>
      </c>
      <c r="F141" s="20">
        <v>27</v>
      </c>
      <c r="G141" s="20">
        <v>8911350</v>
      </c>
      <c r="H141" s="20">
        <v>4056300.0000000005</v>
      </c>
    </row>
    <row r="142" spans="1:8" x14ac:dyDescent="0.25">
      <c r="A142" s="21">
        <v>44639</v>
      </c>
      <c r="B142" s="19" t="s">
        <v>189</v>
      </c>
      <c r="C142" s="19" t="s">
        <v>200</v>
      </c>
      <c r="D142" s="19" t="s">
        <v>205</v>
      </c>
      <c r="E142" s="19" t="s">
        <v>202</v>
      </c>
      <c r="F142" s="19">
        <v>10</v>
      </c>
      <c r="G142" s="19">
        <v>3302700</v>
      </c>
      <c r="H142" s="19">
        <v>1512600</v>
      </c>
    </row>
    <row r="143" spans="1:8" x14ac:dyDescent="0.25">
      <c r="A143" s="22">
        <v>44587</v>
      </c>
      <c r="B143" s="20" t="s">
        <v>189</v>
      </c>
      <c r="C143" s="20" t="s">
        <v>200</v>
      </c>
      <c r="D143" s="20" t="s">
        <v>191</v>
      </c>
      <c r="E143" s="20" t="s">
        <v>208</v>
      </c>
      <c r="F143" s="20">
        <v>50</v>
      </c>
      <c r="G143" s="20">
        <v>16502100.000000002</v>
      </c>
      <c r="H143" s="20">
        <v>7502400</v>
      </c>
    </row>
    <row r="144" spans="1:8" x14ac:dyDescent="0.25">
      <c r="A144" s="24">
        <v>44619</v>
      </c>
      <c r="B144" s="25" t="s">
        <v>199</v>
      </c>
      <c r="C144" s="25" t="s">
        <v>190</v>
      </c>
      <c r="D144" s="25" t="s">
        <v>194</v>
      </c>
      <c r="E144" s="25" t="s">
        <v>228</v>
      </c>
      <c r="F144" s="25">
        <v>51</v>
      </c>
      <c r="G144" s="25">
        <v>14545800</v>
      </c>
      <c r="H144" s="25">
        <v>6121200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229-1512-486E-AC65-55F40565F365}">
  <dimension ref="B7:T44"/>
  <sheetViews>
    <sheetView tabSelected="1" topLeftCell="A32" zoomScale="85" zoomScaleNormal="85" workbookViewId="0">
      <selection activeCell="P43" sqref="P43"/>
    </sheetView>
  </sheetViews>
  <sheetFormatPr defaultRowHeight="15" x14ac:dyDescent="0.25"/>
  <cols>
    <col min="2" max="2" width="16.5703125" bestFit="1" customWidth="1"/>
    <col min="3" max="3" width="16.28515625" bestFit="1" customWidth="1"/>
    <col min="4" max="6" width="9.28515625" bestFit="1" customWidth="1"/>
    <col min="7" max="8" width="10.28515625" bestFit="1" customWidth="1"/>
    <col min="9" max="9" width="9.28515625" bestFit="1" customWidth="1"/>
    <col min="10" max="10" width="10.28515625" bestFit="1" customWidth="1"/>
    <col min="11" max="11" width="9.28515625" bestFit="1" customWidth="1"/>
    <col min="12" max="12" width="10.28515625" bestFit="1" customWidth="1"/>
    <col min="13" max="14" width="9.28515625" bestFit="1" customWidth="1"/>
    <col min="15" max="17" width="10.28515625" bestFit="1" customWidth="1"/>
    <col min="18" max="18" width="11.28515625" bestFit="1" customWidth="1"/>
    <col min="19" max="21" width="15" bestFit="1" customWidth="1"/>
    <col min="22" max="29" width="14" bestFit="1" customWidth="1"/>
    <col min="30" max="30" width="15" bestFit="1" customWidth="1"/>
    <col min="31" max="131" width="10.7109375" bestFit="1" customWidth="1"/>
    <col min="132" max="132" width="11.28515625" bestFit="1" customWidth="1"/>
  </cols>
  <sheetData>
    <row r="7" spans="2:20" x14ac:dyDescent="0.25">
      <c r="B7" s="13"/>
      <c r="C7" s="13"/>
    </row>
    <row r="8" spans="2:20" x14ac:dyDescent="0.25">
      <c r="B8" s="10" t="s">
        <v>235</v>
      </c>
      <c r="C8" s="10" t="s">
        <v>11</v>
      </c>
    </row>
    <row r="9" spans="2:20" x14ac:dyDescent="0.25">
      <c r="C9" t="s">
        <v>236</v>
      </c>
      <c r="O9" t="s">
        <v>237</v>
      </c>
      <c r="P9" t="s">
        <v>238</v>
      </c>
      <c r="S9" t="s">
        <v>239</v>
      </c>
      <c r="T9" t="s">
        <v>9</v>
      </c>
    </row>
    <row r="10" spans="2:20" x14ac:dyDescent="0.25">
      <c r="B10" s="10" t="s">
        <v>12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1" t="s">
        <v>26</v>
      </c>
      <c r="N10" s="1" t="s">
        <v>27</v>
      </c>
      <c r="P10" s="1" t="s">
        <v>16</v>
      </c>
      <c r="Q10" s="1" t="s">
        <v>17</v>
      </c>
      <c r="R10" s="1" t="s">
        <v>18</v>
      </c>
    </row>
    <row r="11" spans="2:20" x14ac:dyDescent="0.25">
      <c r="B11" s="11" t="s">
        <v>200</v>
      </c>
      <c r="C11" s="29">
        <v>53133750</v>
      </c>
      <c r="D11" s="29">
        <v>33085050</v>
      </c>
      <c r="E11" s="29">
        <v>29566950</v>
      </c>
      <c r="F11" s="29">
        <v>14619900</v>
      </c>
      <c r="G11" s="29">
        <v>43649550</v>
      </c>
      <c r="H11" s="29">
        <v>56857200</v>
      </c>
      <c r="I11" s="29">
        <v>16176600</v>
      </c>
      <c r="J11" s="29">
        <v>51634950</v>
      </c>
      <c r="K11" s="29">
        <v>33361500</v>
      </c>
      <c r="L11" s="29">
        <v>19850250</v>
      </c>
      <c r="M11" s="29"/>
      <c r="N11" s="29">
        <v>19804800</v>
      </c>
      <c r="O11" s="29">
        <v>371740500</v>
      </c>
      <c r="P11" s="29">
        <v>42967350</v>
      </c>
      <c r="Q11" s="29">
        <v>19857150</v>
      </c>
      <c r="R11" s="29">
        <v>52914450</v>
      </c>
      <c r="S11" s="29">
        <v>115738950</v>
      </c>
      <c r="T11" s="29">
        <v>487479450</v>
      </c>
    </row>
    <row r="12" spans="2:20" x14ac:dyDescent="0.25">
      <c r="B12" s="11" t="s">
        <v>190</v>
      </c>
      <c r="C12" s="29">
        <v>70115250</v>
      </c>
      <c r="D12" s="29">
        <v>28893600</v>
      </c>
      <c r="E12" s="29">
        <v>1717950</v>
      </c>
      <c r="F12" s="29">
        <v>17823300</v>
      </c>
      <c r="G12" s="29">
        <v>14494650</v>
      </c>
      <c r="H12" s="29">
        <v>18815700</v>
      </c>
      <c r="I12" s="29">
        <v>17968500</v>
      </c>
      <c r="J12" s="29"/>
      <c r="K12" s="29">
        <v>22457400</v>
      </c>
      <c r="L12" s="29">
        <v>62076750</v>
      </c>
      <c r="M12" s="29">
        <v>28315350</v>
      </c>
      <c r="N12" s="29">
        <v>14545800</v>
      </c>
      <c r="O12" s="29">
        <v>297224250</v>
      </c>
      <c r="P12" s="29">
        <v>60940500</v>
      </c>
      <c r="Q12" s="29">
        <v>29583300</v>
      </c>
      <c r="R12" s="29">
        <v>36871500</v>
      </c>
      <c r="S12" s="29">
        <v>127395300</v>
      </c>
      <c r="T12" s="29">
        <v>424619550</v>
      </c>
    </row>
    <row r="13" spans="2:20" x14ac:dyDescent="0.25">
      <c r="B13" s="11" t="s">
        <v>186</v>
      </c>
      <c r="C13" s="29">
        <v>50904750</v>
      </c>
      <c r="D13" s="29"/>
      <c r="E13" s="29">
        <v>19975500</v>
      </c>
      <c r="F13" s="29">
        <v>20767200</v>
      </c>
      <c r="G13" s="29">
        <v>52042200</v>
      </c>
      <c r="H13" s="29">
        <v>9665400</v>
      </c>
      <c r="I13" s="29">
        <v>27806100</v>
      </c>
      <c r="J13" s="29">
        <v>119423400</v>
      </c>
      <c r="K13" s="29"/>
      <c r="L13" s="29">
        <v>30713400</v>
      </c>
      <c r="M13" s="29">
        <v>31467000</v>
      </c>
      <c r="N13" s="29">
        <v>8911350</v>
      </c>
      <c r="O13" s="29">
        <v>371676300</v>
      </c>
      <c r="P13" s="29">
        <v>97892700</v>
      </c>
      <c r="Q13" s="29">
        <v>32861700</v>
      </c>
      <c r="R13" s="29">
        <v>48208050</v>
      </c>
      <c r="S13" s="29">
        <v>178962450</v>
      </c>
      <c r="T13" s="29">
        <v>550638750</v>
      </c>
    </row>
    <row r="14" spans="2:20" x14ac:dyDescent="0.25">
      <c r="B14" s="11" t="s">
        <v>204</v>
      </c>
      <c r="C14" s="29">
        <v>9409800</v>
      </c>
      <c r="D14" s="29">
        <v>5987250</v>
      </c>
      <c r="E14" s="29"/>
      <c r="F14" s="29">
        <v>23313150</v>
      </c>
      <c r="G14" s="29">
        <v>40233000</v>
      </c>
      <c r="H14" s="29">
        <v>43919850</v>
      </c>
      <c r="I14" s="29">
        <v>11045100</v>
      </c>
      <c r="J14" s="29">
        <v>16829400</v>
      </c>
      <c r="K14" s="29">
        <v>9717600</v>
      </c>
      <c r="L14" s="29">
        <v>47712600</v>
      </c>
      <c r="M14" s="29">
        <v>27304350</v>
      </c>
      <c r="N14" s="29"/>
      <c r="O14" s="29">
        <v>235472100</v>
      </c>
      <c r="P14" s="29">
        <v>47990850</v>
      </c>
      <c r="Q14" s="29">
        <v>29811150</v>
      </c>
      <c r="R14" s="29">
        <v>6932550</v>
      </c>
      <c r="S14" s="29">
        <v>84734550</v>
      </c>
      <c r="T14" s="29">
        <v>320206650</v>
      </c>
    </row>
    <row r="15" spans="2:20" x14ac:dyDescent="0.25">
      <c r="B15" s="11" t="s">
        <v>9</v>
      </c>
      <c r="C15" s="26">
        <v>183563550</v>
      </c>
      <c r="D15" s="26">
        <v>67965900</v>
      </c>
      <c r="E15" s="26">
        <v>51260400</v>
      </c>
      <c r="F15" s="26">
        <v>76523550</v>
      </c>
      <c r="G15" s="26">
        <v>150419400</v>
      </c>
      <c r="H15" s="26">
        <v>129258150</v>
      </c>
      <c r="I15" s="26">
        <v>72996300</v>
      </c>
      <c r="J15" s="26">
        <v>187887750</v>
      </c>
      <c r="K15" s="26">
        <v>65536500</v>
      </c>
      <c r="L15" s="26">
        <v>160353000</v>
      </c>
      <c r="M15" s="26">
        <v>87086700</v>
      </c>
      <c r="N15" s="26">
        <v>43261950</v>
      </c>
      <c r="O15" s="26">
        <v>1276113150</v>
      </c>
      <c r="P15" s="26">
        <v>249791400</v>
      </c>
      <c r="Q15" s="26">
        <v>112113300</v>
      </c>
      <c r="R15" s="26">
        <v>144926550</v>
      </c>
      <c r="S15" s="26">
        <v>506831250</v>
      </c>
      <c r="T15" s="26">
        <v>1782944400</v>
      </c>
    </row>
    <row r="34" spans="2:18" x14ac:dyDescent="0.25">
      <c r="B34" s="10" t="s">
        <v>235</v>
      </c>
      <c r="C34" s="10" t="s">
        <v>11</v>
      </c>
    </row>
    <row r="35" spans="2:18" x14ac:dyDescent="0.25">
      <c r="C35" t="s">
        <v>236</v>
      </c>
      <c r="O35" t="s">
        <v>238</v>
      </c>
      <c r="R35" t="s">
        <v>9</v>
      </c>
    </row>
    <row r="36" spans="2:18" x14ac:dyDescent="0.25">
      <c r="B36" s="10" t="s">
        <v>12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21</v>
      </c>
      <c r="I36" s="1" t="s">
        <v>22</v>
      </c>
      <c r="J36" s="1" t="s">
        <v>23</v>
      </c>
      <c r="K36" s="1" t="s">
        <v>24</v>
      </c>
      <c r="L36" s="1" t="s">
        <v>25</v>
      </c>
      <c r="M36" s="1" t="s">
        <v>26</v>
      </c>
      <c r="N36" s="1" t="s">
        <v>27</v>
      </c>
      <c r="O36" s="1" t="s">
        <v>16</v>
      </c>
      <c r="P36" s="1" t="s">
        <v>17</v>
      </c>
      <c r="Q36" s="1" t="s">
        <v>18</v>
      </c>
    </row>
    <row r="37" spans="2:18" x14ac:dyDescent="0.25">
      <c r="B37" s="11" t="s">
        <v>200</v>
      </c>
      <c r="C37" s="26">
        <v>53133750</v>
      </c>
      <c r="D37" s="26">
        <v>33085050</v>
      </c>
      <c r="E37" s="26">
        <v>29566950</v>
      </c>
      <c r="F37" s="26">
        <v>14619900</v>
      </c>
      <c r="G37" s="26">
        <v>43649550</v>
      </c>
      <c r="H37" s="26">
        <v>56857200</v>
      </c>
      <c r="I37" s="26">
        <v>16176600</v>
      </c>
      <c r="J37" s="26">
        <v>51634950</v>
      </c>
      <c r="K37" s="26">
        <v>33361500</v>
      </c>
      <c r="L37" s="26">
        <v>19850250</v>
      </c>
      <c r="M37" s="26"/>
      <c r="N37" s="26">
        <v>19804800</v>
      </c>
      <c r="O37" s="26">
        <v>42967350</v>
      </c>
      <c r="P37" s="26">
        <v>19857150</v>
      </c>
      <c r="Q37" s="26">
        <v>52914450</v>
      </c>
      <c r="R37" s="26">
        <v>487479450</v>
      </c>
    </row>
    <row r="38" spans="2:18" x14ac:dyDescent="0.25">
      <c r="B38" s="11" t="s">
        <v>190</v>
      </c>
      <c r="C38" s="26">
        <v>70115250</v>
      </c>
      <c r="D38" s="26">
        <v>28893600</v>
      </c>
      <c r="E38" s="26">
        <v>1717950</v>
      </c>
      <c r="F38" s="26">
        <v>17823300</v>
      </c>
      <c r="G38" s="26">
        <v>14494650</v>
      </c>
      <c r="H38" s="26">
        <v>18815700</v>
      </c>
      <c r="I38" s="26">
        <v>17968500</v>
      </c>
      <c r="J38" s="26"/>
      <c r="K38" s="26">
        <v>22457400</v>
      </c>
      <c r="L38" s="26">
        <v>62076750</v>
      </c>
      <c r="M38" s="26">
        <v>28315350</v>
      </c>
      <c r="N38" s="26">
        <v>14545800</v>
      </c>
      <c r="O38" s="26">
        <v>60940500</v>
      </c>
      <c r="P38" s="26">
        <v>29583300</v>
      </c>
      <c r="Q38" s="26">
        <v>36871500</v>
      </c>
      <c r="R38" s="26">
        <v>424619550</v>
      </c>
    </row>
    <row r="39" spans="2:18" x14ac:dyDescent="0.25">
      <c r="B39" s="11" t="s">
        <v>186</v>
      </c>
      <c r="C39" s="26">
        <v>50904750</v>
      </c>
      <c r="D39" s="26"/>
      <c r="E39" s="26">
        <v>19975500</v>
      </c>
      <c r="F39" s="26">
        <v>20767200</v>
      </c>
      <c r="G39" s="26">
        <v>52042200</v>
      </c>
      <c r="H39" s="26">
        <v>9665400</v>
      </c>
      <c r="I39" s="26">
        <v>27806100</v>
      </c>
      <c r="J39" s="26">
        <v>119423400</v>
      </c>
      <c r="K39" s="26"/>
      <c r="L39" s="26">
        <v>30713400</v>
      </c>
      <c r="M39" s="26">
        <v>31467000</v>
      </c>
      <c r="N39" s="26">
        <v>8911350</v>
      </c>
      <c r="O39" s="26">
        <v>97892700</v>
      </c>
      <c r="P39" s="26">
        <v>32861700</v>
      </c>
      <c r="Q39" s="26">
        <v>48208050</v>
      </c>
      <c r="R39" s="26">
        <v>550638750</v>
      </c>
    </row>
    <row r="40" spans="2:18" x14ac:dyDescent="0.25">
      <c r="B40" s="11" t="s">
        <v>204</v>
      </c>
      <c r="C40" s="26">
        <v>9409800</v>
      </c>
      <c r="D40" s="26">
        <v>5987250</v>
      </c>
      <c r="E40" s="26"/>
      <c r="F40" s="26">
        <v>23313150</v>
      </c>
      <c r="G40" s="26">
        <v>40233000</v>
      </c>
      <c r="H40" s="26">
        <v>43919850</v>
      </c>
      <c r="I40" s="26">
        <v>11045100</v>
      </c>
      <c r="J40" s="26">
        <v>16829400</v>
      </c>
      <c r="K40" s="26">
        <v>9717600</v>
      </c>
      <c r="L40" s="26">
        <v>47712600</v>
      </c>
      <c r="M40" s="26">
        <v>27304350</v>
      </c>
      <c r="N40" s="26"/>
      <c r="O40" s="26">
        <v>47990850</v>
      </c>
      <c r="P40" s="26">
        <v>29811150</v>
      </c>
      <c r="Q40" s="26">
        <v>6932550</v>
      </c>
      <c r="R40" s="26">
        <v>320206650</v>
      </c>
    </row>
    <row r="41" spans="2:18" x14ac:dyDescent="0.25">
      <c r="B41" s="11" t="s">
        <v>9</v>
      </c>
      <c r="C41" s="26">
        <v>183563550</v>
      </c>
      <c r="D41" s="26">
        <v>67965900</v>
      </c>
      <c r="E41" s="26">
        <v>51260400</v>
      </c>
      <c r="F41" s="26">
        <v>76523550</v>
      </c>
      <c r="G41" s="26">
        <v>150419400</v>
      </c>
      <c r="H41" s="26">
        <v>129258150</v>
      </c>
      <c r="I41" s="26">
        <v>72996300</v>
      </c>
      <c r="J41" s="26">
        <v>187887750</v>
      </c>
      <c r="K41" s="26">
        <v>65536500</v>
      </c>
      <c r="L41" s="26">
        <v>160353000</v>
      </c>
      <c r="M41" s="26">
        <v>87086700</v>
      </c>
      <c r="N41" s="26">
        <v>43261950</v>
      </c>
      <c r="O41" s="26">
        <v>249791400</v>
      </c>
      <c r="P41" s="26">
        <v>112113300</v>
      </c>
      <c r="Q41" s="26">
        <v>144926550</v>
      </c>
      <c r="R41" s="26">
        <v>1782944400</v>
      </c>
    </row>
    <row r="44" spans="2:18" x14ac:dyDescent="0.25">
      <c r="B44" s="11" t="s">
        <v>240</v>
      </c>
      <c r="C44">
        <f>AVERAGE(C37:Q40)</f>
        <v>33017488.888888888</v>
      </c>
    </row>
  </sheetData>
  <conditionalFormatting pivot="1" sqref="C11:N14 P11:R14">
    <cfRule type="colorScale" priority="4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pivot="1" sqref="C37:Q40">
    <cfRule type="cellIs" dxfId="2" priority="2" operator="greaterThan">
      <formula>"33017488.89"</formula>
    </cfRule>
  </conditionalFormatting>
  <conditionalFormatting pivot="1" sqref="C37:Q40">
    <cfRule type="cellIs" dxfId="0" priority="1" operator="lessThan">
      <formula>$C$44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Sheet4</vt:lpstr>
      <vt:lpstr>Data</vt:lpstr>
      <vt:lpstr>Data Tambahan</vt:lpstr>
      <vt:lpstr>Populasi dan Jumlah Cabang</vt:lpstr>
      <vt:lpstr>Kompetitor</vt:lpstr>
      <vt:lpstr>Highlight</vt:lpstr>
      <vt:lpstr>TopBottom</vt:lpstr>
      <vt:lpstr>Data Bars, Color, Icon</vt:lpstr>
      <vt:lpstr>Advanced Rules</vt:lpstr>
      <vt:lpstr>Data Latihan</vt:lpstr>
      <vt:lpstr>Pivot Latihan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Spreadsheet.id</dc:creator>
  <cp:keywords/>
  <dc:description/>
  <cp:lastModifiedBy>Fathurrahman</cp:lastModifiedBy>
  <cp:revision/>
  <dcterms:created xsi:type="dcterms:W3CDTF">2022-05-16T01:55:00Z</dcterms:created>
  <dcterms:modified xsi:type="dcterms:W3CDTF">2026-01-21T11:39:54Z</dcterms:modified>
  <cp:category/>
  <cp:contentStatus/>
</cp:coreProperties>
</file>