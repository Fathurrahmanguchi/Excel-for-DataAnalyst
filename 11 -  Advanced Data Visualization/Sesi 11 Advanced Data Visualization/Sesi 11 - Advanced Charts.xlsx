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6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thur punya\Sesi 11 Advanced Data Visualization\Sesi 11 Advanced Data Visualization\"/>
    </mc:Choice>
  </mc:AlternateContent>
  <xr:revisionPtr revIDLastSave="0" documentId="13_ncr:1_{3D6B6F70-0E30-45B8-A6E6-42F36973C11A}" xr6:coauthVersionLast="47" xr6:coauthVersionMax="47" xr10:uidLastSave="{00000000-0000-0000-0000-000000000000}"/>
  <bookViews>
    <workbookView xWindow="-120" yWindow="-120" windowWidth="20730" windowHeight="11760" tabRatio="916" activeTab="7" xr2:uid="{F3D5A24F-CDA9-41E7-8455-E5713332CA07}"/>
  </bookViews>
  <sheets>
    <sheet name="OverlainGridlines" sheetId="10" r:id="rId1"/>
    <sheet name="VerticalLines" sheetId="2" r:id="rId2"/>
    <sheet name="BlockShading" sheetId="3" r:id="rId3"/>
    <sheet name="VerticalBullet" sheetId="4" r:id="rId4"/>
    <sheet name="Lollipop" sheetId="6" r:id="rId5"/>
    <sheet name="Sparklines" sheetId="7" r:id="rId6"/>
    <sheet name="Treemap" sheetId="8" r:id="rId7"/>
    <sheet name="Map" sheetId="9" r:id="rId8"/>
  </sheets>
  <definedNames>
    <definedName name="_xlchart.v1.0" hidden="1">Treemap!$P$5:$Q$24</definedName>
    <definedName name="_xlchart.v1.1" hidden="1">Treemap!$R$4</definedName>
    <definedName name="_xlchart.v1.2" hidden="1">Treemap!$R$5:$R$24</definedName>
  </definedNames>
  <calcPr calcId="191029"/>
  <pivotCaches>
    <pivotCache cacheId="54" r:id="rId9"/>
    <pivotCache cacheId="57" r:id="rId10"/>
    <pivotCache cacheId="72" r:id="rId11"/>
    <pivotCache cacheId="153" r:id="rId12"/>
    <pivotCache cacheId="164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Master Produk_1ad8bf48-7fdf-4df4-a9bf-220b46067ec2" name="Master Produk" connection="Query - Master Produk"/>
          <x15:modelTable id="Master Cabang_338b5ab2-8955-4d2f-b780-2b90a1d3ddd1" name="Master Cabang" connection="Query - Master Cabang"/>
          <x15:modelTable id="Transaksi Penjualan_c82311a3-10bf-4e9f-80e2-6c4fc0a1fe79" name="Transaksi Penjualan" connection="Query - Transaksi Penjualan"/>
        </x15:modelTables>
        <x15:extLst>
          <ext xmlns:x16="http://schemas.microsoft.com/office/spreadsheetml/2014/11/main" uri="{9835A34E-60A6-4A7C-AAB8-D5F71C897F49}">
            <x16:modelTimeGroupings>
              <x16:modelTimeGrouping tableName="Transaksi Penjualan" columnName="Tanggal Transaksi" columnId="Tanggal Transaksi">
                <x16:calculatedTimeColumn columnName="Tanggal Transaksi (Month Index)" columnId="Tanggal Transaksi (Month Index)" contentType="monthsindex" isSelected="1"/>
                <x16:calculatedTimeColumn columnName="Tanggal Transaksi (Month)" columnId="Tanggal Transaksi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9" l="1"/>
  <c r="K8" i="9"/>
  <c r="J9" i="9"/>
  <c r="K9" i="9"/>
  <c r="J10" i="9"/>
  <c r="K10" i="9"/>
  <c r="J11" i="9"/>
  <c r="K11" i="9"/>
  <c r="J12" i="9"/>
  <c r="K12" i="9"/>
  <c r="P4" i="8"/>
  <c r="Q4" i="8"/>
  <c r="R4" i="8"/>
  <c r="P5" i="8"/>
  <c r="Q5" i="8"/>
  <c r="R5" i="8"/>
  <c r="P6" i="8"/>
  <c r="Q6" i="8"/>
  <c r="R6" i="8"/>
  <c r="P7" i="8"/>
  <c r="Q7" i="8"/>
  <c r="R7" i="8"/>
  <c r="P8" i="8"/>
  <c r="Q8" i="8"/>
  <c r="R8" i="8"/>
  <c r="P9" i="8"/>
  <c r="Q9" i="8"/>
  <c r="R9" i="8"/>
  <c r="P10" i="8"/>
  <c r="Q10" i="8"/>
  <c r="R10" i="8"/>
  <c r="P11" i="8"/>
  <c r="Q11" i="8"/>
  <c r="R11" i="8"/>
  <c r="P12" i="8"/>
  <c r="Q12" i="8"/>
  <c r="R12" i="8"/>
  <c r="P13" i="8"/>
  <c r="Q13" i="8"/>
  <c r="R13" i="8"/>
  <c r="P14" i="8"/>
  <c r="Q14" i="8"/>
  <c r="R14" i="8"/>
  <c r="P15" i="8"/>
  <c r="Q15" i="8"/>
  <c r="R15" i="8"/>
  <c r="P16" i="8"/>
  <c r="Q16" i="8"/>
  <c r="R16" i="8"/>
  <c r="P17" i="8"/>
  <c r="Q17" i="8"/>
  <c r="R17" i="8"/>
  <c r="P18" i="8"/>
  <c r="Q18" i="8"/>
  <c r="R18" i="8"/>
  <c r="P19" i="8"/>
  <c r="Q19" i="8"/>
  <c r="R19" i="8"/>
  <c r="P20" i="8"/>
  <c r="Q20" i="8"/>
  <c r="R20" i="8"/>
  <c r="P21" i="8"/>
  <c r="Q21" i="8"/>
  <c r="R21" i="8"/>
  <c r="P22" i="8"/>
  <c r="Q22" i="8"/>
  <c r="R22" i="8"/>
  <c r="P23" i="8"/>
  <c r="Q23" i="8"/>
  <c r="R23" i="8"/>
  <c r="P24" i="8"/>
  <c r="Q24" i="8"/>
  <c r="R24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D5BD5C-F31C-4E31-B770-A7DB2C33180D}" name="Query - Master Cabang" description="Connection to the 'Master Cabang' query in the workbook." type="100" refreshedVersion="7" minRefreshableVersion="5">
    <extLst>
      <ext xmlns:x15="http://schemas.microsoft.com/office/spreadsheetml/2010/11/main" uri="{DE250136-89BD-433C-8126-D09CA5730AF9}">
        <x15:connection id="2a108076-b09d-4866-a2a9-b46f704c3152">
          <x15:oledbPr connection="Provider=Microsoft.Mashup.OleDb.1;Data Source=$Workbook$;Location=&quot;Master Cabang&quot;;Extended Properties=&quot;&quot;">
            <x15:dbTables>
              <x15:dbTable name="Master Cabang"/>
            </x15:dbTables>
          </x15:oledbPr>
        </x15:connection>
      </ext>
    </extLst>
  </connection>
  <connection id="2" xr16:uid="{920C18B4-E9B2-40C0-B77F-E4F3D32E9C74}" name="Query - Master Produk" description="Connection to the 'Master Produk' query in the workbook." type="100" refreshedVersion="7" minRefreshableVersion="5">
    <extLst>
      <ext xmlns:x15="http://schemas.microsoft.com/office/spreadsheetml/2010/11/main" uri="{DE250136-89BD-433C-8126-D09CA5730AF9}">
        <x15:connection id="2ac9cb97-e429-4d71-a64c-fe306909ee7a">
          <x15:oledbPr connection="Provider=Microsoft.Mashup.OleDb.1;Data Source=$Workbook$;Location=&quot;Master Produk&quot;;Extended Properties=&quot;&quot;">
            <x15:dbTables>
              <x15:dbTable name="Master Produk"/>
            </x15:dbTables>
          </x15:oledbPr>
        </x15:connection>
      </ext>
    </extLst>
  </connection>
  <connection id="3" xr16:uid="{33EA663D-587C-4808-B2F5-1CD598E06EB6}" name="Query - Transaksi Penjualan" description="Connection to the 'Transaksi Penjualan' query in the workbook." type="100" refreshedVersion="7" minRefreshableVersion="5">
    <extLst>
      <ext xmlns:x15="http://schemas.microsoft.com/office/spreadsheetml/2010/11/main" uri="{DE250136-89BD-433C-8126-D09CA5730AF9}">
        <x15:connection id="0c76539e-0b15-43be-acc4-3da165d4e8ef"/>
      </ext>
    </extLst>
  </connection>
  <connection id="4" xr16:uid="{2BE70DD8-3743-471E-980F-4F7563E636CB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<sst xmlns="http://schemas.openxmlformats.org/spreadsheetml/2006/main" count="121" uniqueCount="36">
  <si>
    <t>Provinsi</t>
  </si>
  <si>
    <t>Target</t>
  </si>
  <si>
    <t>Actual</t>
  </si>
  <si>
    <t>Level 1</t>
  </si>
  <si>
    <t>Level 2</t>
  </si>
  <si>
    <t>Level 3</t>
  </si>
  <si>
    <t>DKI Jakarta</t>
  </si>
  <si>
    <t>Jawa Timur</t>
  </si>
  <si>
    <t>Sulawesi Selatan</t>
  </si>
  <si>
    <t>Sumatera Utara</t>
  </si>
  <si>
    <t>Row Labels</t>
  </si>
  <si>
    <t>Jakarta</t>
  </si>
  <si>
    <t>Makassar</t>
  </si>
  <si>
    <t>Medan</t>
  </si>
  <si>
    <t>Surabaya</t>
  </si>
  <si>
    <t>Grand Total</t>
  </si>
  <si>
    <t>Column Labels</t>
  </si>
  <si>
    <t>Aksesoris</t>
  </si>
  <si>
    <t>Atasan</t>
  </si>
  <si>
    <t>Bawahan</t>
  </si>
  <si>
    <t>Gaun</t>
  </si>
  <si>
    <t>Pakaian Olahraga</t>
  </si>
  <si>
    <t>Sum of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</si>
  <si>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</si>
  <si>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</si>
  <si>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</si>
  <si>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</si>
  <si>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</si>
  <si>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</si>
  <si>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</si>
  <si>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</si>
  <si>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</si>
  <si>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</si>
  <si>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</si>
  <si>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</si>
  <si>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Kategori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</si>
</sst>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#,,,&quot; M&quot;"/>
    <numFmt numFmtId="166" formatCode="#,##0,,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9" fontId="0" fillId="0" borderId="0" xfId="1" applyFon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0" applyNumberFormat="1"/>
    <xf numFmtId="165" fontId="2" fillId="2" borderId="1" xfId="0" applyNumberFormat="1" applyFont="1" applyFill="1" applyBorder="1"/>
    <xf numFmtId="166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6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24" Type="http://schemas.openxmlformats.org/officeDocument/2006/relationships/customXml" Target="../customXml/item5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10" Type="http://schemas.openxmlformats.org/officeDocument/2006/relationships/pivotCacheDefinition" Target="pivotCache/pivotCacheDefinition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[Sesi 11 - Advanced Charts.xlsx]OverlainGridlines!PivotTable1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OverlainGridlines!$K$3:$K$4</c:f>
              <c:strCache>
                <c:ptCount val="1"/>
                <c:pt idx="0">
                  <c:v>Aksesoris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OverlainGridlines!$J$5:$J$9</c:f>
              <c:strCache>
                <c:ptCount val="4"/>
                <c:pt idx="0">
                  <c:v>Jakarta</c:v>
                </c:pt>
                <c:pt idx="1">
                  <c:v>Makassar</c:v>
                </c:pt>
                <c:pt idx="2">
                  <c:v>Medan</c:v>
                </c:pt>
                <c:pt idx="3">
                  <c:v>Surabaya</c:v>
                </c:pt>
              </c:strCache>
            </c:strRef>
          </c:cat>
          <c:val>
            <c:numRef>
              <c:f>OverlainGridlines!$K$5:$K$9</c:f>
              <c:numCache>
                <c:formatCode>General</c:formatCode>
                <c:ptCount val="4"/>
                <c:pt idx="0">
                  <c:v>1384203000</c:v>
                </c:pt>
                <c:pt idx="1">
                  <c:v>1401750000</c:v>
                </c:pt>
                <c:pt idx="2">
                  <c:v>1410132000</c:v>
                </c:pt>
                <c:pt idx="3">
                  <c:v>1321647000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05-4B30-9BC4-A0C511B553BE}"/>
            </c:ext>
          </c:extLst>
        </c:ser>
        <c:ser>
          <c:idx val="1"/>
          <c:order val="1"/>
          <c:tx>
            <c:strRef>
              <c:f>OverlainGridlines!$L$3:$L$4</c:f>
              <c:strCache>
                <c:ptCount val="1"/>
                <c:pt idx="0">
                  <c:v>Atasan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OverlainGridlines!$J$5:$J$9</c:f>
              <c:strCache>
                <c:ptCount val="4"/>
                <c:pt idx="0">
                  <c:v>Jakarta</c:v>
                </c:pt>
                <c:pt idx="1">
                  <c:v>Makassar</c:v>
                </c:pt>
                <c:pt idx="2">
                  <c:v>Medan</c:v>
                </c:pt>
                <c:pt idx="3">
                  <c:v>Surabaya</c:v>
                </c:pt>
              </c:strCache>
            </c:strRef>
          </c:cat>
          <c:val>
            <c:numRef>
              <c:f>OverlainGridlines!$L$5:$L$9</c:f>
              <c:numCache>
                <c:formatCode>General</c:formatCode>
                <c:ptCount val="4"/>
                <c:pt idx="0">
                  <c:v>3929625000</c:v>
                </c:pt>
                <c:pt idx="1">
                  <c:v>3901995000</c:v>
                </c:pt>
                <c:pt idx="2">
                  <c:v>3973602000</c:v>
                </c:pt>
                <c:pt idx="3">
                  <c:v>3806343000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05-4B30-9BC4-A0C511B553BE}"/>
            </c:ext>
          </c:extLst>
        </c:ser>
        <c:ser>
          <c:idx val="2"/>
          <c:order val="2"/>
          <c:tx>
            <c:strRef>
              <c:f>OverlainGridlines!$M$3:$M$4</c:f>
              <c:strCache>
                <c:ptCount val="1"/>
                <c:pt idx="0">
                  <c:v>Bawahan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OverlainGridlines!$J$5:$J$9</c:f>
              <c:strCache>
                <c:ptCount val="4"/>
                <c:pt idx="0">
                  <c:v>Jakarta</c:v>
                </c:pt>
                <c:pt idx="1">
                  <c:v>Makassar</c:v>
                </c:pt>
                <c:pt idx="2">
                  <c:v>Medan</c:v>
                </c:pt>
                <c:pt idx="3">
                  <c:v>Surabaya</c:v>
                </c:pt>
              </c:strCache>
            </c:strRef>
          </c:cat>
          <c:val>
            <c:numRef>
              <c:f>OverlainGridlines!$M$5:$M$9</c:f>
              <c:numCache>
                <c:formatCode>General</c:formatCode>
                <c:ptCount val="4"/>
                <c:pt idx="0">
                  <c:v>2813517000</c:v>
                </c:pt>
                <c:pt idx="1">
                  <c:v>2875893000</c:v>
                </c:pt>
                <c:pt idx="2">
                  <c:v>2944440000</c:v>
                </c:pt>
                <c:pt idx="3">
                  <c:v>2781498000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05-4B30-9BC4-A0C511B553BE}"/>
            </c:ext>
          </c:extLst>
        </c:ser>
        <c:ser>
          <c:idx val="3"/>
          <c:order val="3"/>
          <c:tx>
            <c:strRef>
              <c:f>OverlainGridlines!$N$3:$N$4</c:f>
              <c:strCache>
                <c:ptCount val="1"/>
                <c:pt idx="0">
                  <c:v>Gaun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OverlainGridlines!$J$5:$J$9</c:f>
              <c:strCache>
                <c:ptCount val="4"/>
                <c:pt idx="0">
                  <c:v>Jakarta</c:v>
                </c:pt>
                <c:pt idx="1">
                  <c:v>Makassar</c:v>
                </c:pt>
                <c:pt idx="2">
                  <c:v>Medan</c:v>
                </c:pt>
                <c:pt idx="3">
                  <c:v>Surabaya</c:v>
                </c:pt>
              </c:strCache>
            </c:strRef>
          </c:cat>
          <c:val>
            <c:numRef>
              <c:f>OverlainGridlines!$N$5:$N$9</c:f>
              <c:numCache>
                <c:formatCode>General</c:formatCode>
                <c:ptCount val="4"/>
                <c:pt idx="0">
                  <c:v>5039952000</c:v>
                </c:pt>
                <c:pt idx="1">
                  <c:v>4891737000</c:v>
                </c:pt>
                <c:pt idx="2">
                  <c:v>4901031000</c:v>
                </c:pt>
                <c:pt idx="3">
                  <c:v>4714158000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05-4B30-9BC4-A0C511B553BE}"/>
            </c:ext>
          </c:extLst>
        </c:ser>
        <c:ser>
          <c:idx val="4"/>
          <c:order val="4"/>
          <c:tx>
            <c:strRef>
              <c:f>OverlainGridlines!$O$3:$O$4</c:f>
              <c:strCache>
                <c:ptCount val="1"/>
                <c:pt idx="0">
                  <c:v>Pakaian Olahraga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OverlainGridlines!$J$5:$J$9</c:f>
              <c:strCache>
                <c:ptCount val="4"/>
                <c:pt idx="0">
                  <c:v>Jakarta</c:v>
                </c:pt>
                <c:pt idx="1">
                  <c:v>Makassar</c:v>
                </c:pt>
                <c:pt idx="2">
                  <c:v>Medan</c:v>
                </c:pt>
                <c:pt idx="3">
                  <c:v>Surabaya</c:v>
                </c:pt>
              </c:strCache>
            </c:strRef>
          </c:cat>
          <c:val>
            <c:numRef>
              <c:f>OverlainGridlines!$O$5:$O$9</c:f>
              <c:numCache>
                <c:formatCode>General</c:formatCode>
                <c:ptCount val="4"/>
                <c:pt idx="0">
                  <c:v>2023710000</c:v>
                </c:pt>
                <c:pt idx="1">
                  <c:v>1963074000</c:v>
                </c:pt>
                <c:pt idx="2">
                  <c:v>1982070000</c:v>
                </c:pt>
                <c:pt idx="3">
                  <c:v>1901445000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05-4B30-9BC4-A0C511B55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52179376"/>
        <c:axId val="1952176464"/>
      </c:barChart>
      <c:catAx>
        <c:axId val="195217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176464"/>
        <c:crosses val="autoZero"/>
        <c:auto val="1"/>
        <c:lblAlgn val="ctr"/>
        <c:lblOffset val="100"/>
        <c:noMultiLvlLbl val="0"/>
      </c:catAx>
      <c:valAx>
        <c:axId val="1952176464"/>
        <c:scaling>
          <c:orientation val="minMax"/>
        </c:scaling>
        <c:delete val="0"/>
        <c:axPos val="l"/>
        <c:numFmt formatCode="#.##0,,,&quot; 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179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[Sesi 11 - Advanced Charts.xlsx]VerticalLines!PivotTable2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8"/>
          <c:spPr>
            <a:solidFill>
              <a:schemeClr val="bg1"/>
            </a:solidFill>
            <a:ln w="9525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8"/>
          <c:spPr>
            <a:solidFill>
              <a:schemeClr val="bg1"/>
            </a:solidFill>
            <a:ln w="9525">
              <a:solidFill>
                <a:schemeClr val="tx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VerticalLines!$J$2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VerticalLines!$I$3:$I$14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VerticalLines!$J$3:$J$14</c:f>
              <c:numCache>
                <c:formatCode>General</c:formatCode>
                <c:ptCount val="12"/>
                <c:pt idx="0">
                  <c:v>4721781000</c:v>
                </c:pt>
                <c:pt idx="1">
                  <c:v>4082589000</c:v>
                </c:pt>
                <c:pt idx="2">
                  <c:v>4768815000</c:v>
                </c:pt>
                <c:pt idx="3">
                  <c:v>4692711000</c:v>
                </c:pt>
                <c:pt idx="4">
                  <c:v>4858890000</c:v>
                </c:pt>
                <c:pt idx="5">
                  <c:v>7943226000</c:v>
                </c:pt>
                <c:pt idx="6">
                  <c:v>4865133000</c:v>
                </c:pt>
                <c:pt idx="7">
                  <c:v>4943376000</c:v>
                </c:pt>
                <c:pt idx="8">
                  <c:v>4686954000</c:v>
                </c:pt>
                <c:pt idx="9">
                  <c:v>4824009000</c:v>
                </c:pt>
                <c:pt idx="10">
                  <c:v>4724394000</c:v>
                </c:pt>
                <c:pt idx="11">
                  <c:v>4849944000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F-4328-9BEE-6F506ADF7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9759824"/>
        <c:axId val="1949760656"/>
      </c:lineChart>
      <c:catAx>
        <c:axId val="194975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760656"/>
        <c:crosses val="autoZero"/>
        <c:auto val="1"/>
        <c:lblAlgn val="ctr"/>
        <c:lblOffset val="100"/>
        <c:noMultiLvlLbl val="0"/>
      </c:catAx>
      <c:valAx>
        <c:axId val="1949760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7598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VerticalBullet!$O$1</c:f>
              <c:strCache>
                <c:ptCount val="1"/>
                <c:pt idx="0">
                  <c:v>Level 3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VerticalBullet!$J$2:$J$5</c:f>
              <c:strCache>
                <c:ptCount val="4"/>
                <c:pt idx="0">
                  <c:v>DKI Jakarta</c:v>
                </c:pt>
                <c:pt idx="1">
                  <c:v>Jawa Timur</c:v>
                </c:pt>
                <c:pt idx="2">
                  <c:v>Sulawesi Selatan</c:v>
                </c:pt>
                <c:pt idx="3">
                  <c:v>Sumatera Utara</c:v>
                </c:pt>
              </c:strCache>
            </c:strRef>
          </c:cat>
          <c:val>
            <c:numRef>
              <c:f>VerticalBullet!$O$2:$O$5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41-407E-A922-6AE816512FFD}"/>
            </c:ext>
          </c:extLst>
        </c:ser>
        <c:ser>
          <c:idx val="1"/>
          <c:order val="2"/>
          <c:tx>
            <c:strRef>
              <c:f>VerticalBullet!$N$1</c:f>
              <c:strCache>
                <c:ptCount val="1"/>
                <c:pt idx="0">
                  <c:v>Level 2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VerticalBullet!$J$2:$J$5</c:f>
              <c:strCache>
                <c:ptCount val="4"/>
                <c:pt idx="0">
                  <c:v>DKI Jakarta</c:v>
                </c:pt>
                <c:pt idx="1">
                  <c:v>Jawa Timur</c:v>
                </c:pt>
                <c:pt idx="2">
                  <c:v>Sulawesi Selatan</c:v>
                </c:pt>
                <c:pt idx="3">
                  <c:v>Sumatera Utara</c:v>
                </c:pt>
              </c:strCache>
            </c:strRef>
          </c:cat>
          <c:val>
            <c:numRef>
              <c:f>VerticalBullet!$N$2:$N$5</c:f>
              <c:numCache>
                <c:formatCode>0%</c:formatCode>
                <c:ptCount val="4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41-407E-A922-6AE816512FFD}"/>
            </c:ext>
          </c:extLst>
        </c:ser>
        <c:ser>
          <c:idx val="0"/>
          <c:order val="3"/>
          <c:tx>
            <c:strRef>
              <c:f>VerticalBullet!$M$1</c:f>
              <c:strCache>
                <c:ptCount val="1"/>
                <c:pt idx="0">
                  <c:v>Level 1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VerticalBullet!$J$2:$J$5</c:f>
              <c:strCache>
                <c:ptCount val="4"/>
                <c:pt idx="0">
                  <c:v>DKI Jakarta</c:v>
                </c:pt>
                <c:pt idx="1">
                  <c:v>Jawa Timur</c:v>
                </c:pt>
                <c:pt idx="2">
                  <c:v>Sulawesi Selatan</c:v>
                </c:pt>
                <c:pt idx="3">
                  <c:v>Sumatera Utara</c:v>
                </c:pt>
              </c:strCache>
            </c:strRef>
          </c:cat>
          <c:val>
            <c:numRef>
              <c:f>VerticalBullet!$M$2:$M$5</c:f>
              <c:numCache>
                <c:formatCode>0%</c:formatCode>
                <c:ptCount val="4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41-407E-A922-6AE816512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949762736"/>
        <c:axId val="1949745680"/>
      </c:barChart>
      <c:barChart>
        <c:barDir val="col"/>
        <c:grouping val="stacked"/>
        <c:varyColors val="0"/>
        <c:ser>
          <c:idx val="3"/>
          <c:order val="1"/>
          <c:tx>
            <c:strRef>
              <c:f>VerticalBullet!$L$1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VerticalBullet!$L$2:$L$5</c:f>
              <c:numCache>
                <c:formatCode>0%</c:formatCode>
                <c:ptCount val="4"/>
                <c:pt idx="0">
                  <c:v>0.64</c:v>
                </c:pt>
                <c:pt idx="1">
                  <c:v>0.71</c:v>
                </c:pt>
                <c:pt idx="2">
                  <c:v>0.64</c:v>
                </c:pt>
                <c:pt idx="3">
                  <c:v>0.64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941-407E-A922-6AE816512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4"/>
        <c:axId val="1953469744"/>
        <c:axId val="1953478480"/>
      </c:barChart>
      <c:lineChart>
        <c:grouping val="standard"/>
        <c:varyColors val="0"/>
        <c:ser>
          <c:idx val="4"/>
          <c:order val="4"/>
          <c:tx>
            <c:strRef>
              <c:f>VerticalBullet!$K$1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 cmpd="sng">
              <a:noFill/>
              <a:round/>
            </a:ln>
            <a:effectLst/>
          </c:spPr>
          <c:marker>
            <c:symbol val="dash"/>
            <c:size val="20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val>
            <c:numRef>
              <c:f>VerticalBullet!$K$2:$K$5</c:f>
              <c:numCache>
                <c:formatCode>0%</c:formatCode>
                <c:ptCount val="4"/>
                <c:pt idx="0">
                  <c:v>0.71</c:v>
                </c:pt>
                <c:pt idx="1">
                  <c:v>0.75</c:v>
                </c:pt>
                <c:pt idx="2">
                  <c:v>0.7</c:v>
                </c:pt>
                <c:pt idx="3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941-407E-A922-6AE816512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9762736"/>
        <c:axId val="1949745680"/>
      </c:lineChart>
      <c:catAx>
        <c:axId val="194976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745680"/>
        <c:crosses val="autoZero"/>
        <c:auto val="1"/>
        <c:lblAlgn val="ctr"/>
        <c:lblOffset val="100"/>
        <c:noMultiLvlLbl val="0"/>
      </c:catAx>
      <c:valAx>
        <c:axId val="1949745680"/>
        <c:scaling>
          <c:orientation val="minMax"/>
          <c:max val="1"/>
        </c:scaling>
        <c:delete val="1"/>
        <c:axPos val="l"/>
        <c:numFmt formatCode="0%" sourceLinked="1"/>
        <c:majorTickMark val="none"/>
        <c:minorTickMark val="none"/>
        <c:tickLblPos val="nextTo"/>
        <c:crossAx val="1949762736"/>
        <c:crosses val="autoZero"/>
        <c:crossBetween val="between"/>
      </c:valAx>
      <c:valAx>
        <c:axId val="1953478480"/>
        <c:scaling>
          <c:orientation val="minMax"/>
          <c:max val="1"/>
          <c:min val="0"/>
        </c:scaling>
        <c:delete val="1"/>
        <c:axPos val="r"/>
        <c:numFmt formatCode="0%" sourceLinked="1"/>
        <c:majorTickMark val="out"/>
        <c:minorTickMark val="none"/>
        <c:tickLblPos val="nextTo"/>
        <c:crossAx val="1953469744"/>
        <c:crosses val="max"/>
        <c:crossBetween val="between"/>
      </c:valAx>
      <c:catAx>
        <c:axId val="1953469744"/>
        <c:scaling>
          <c:orientation val="minMax"/>
        </c:scaling>
        <c:delete val="1"/>
        <c:axPos val="b"/>
        <c:majorTickMark val="out"/>
        <c:minorTickMark val="none"/>
        <c:tickLblPos val="nextTo"/>
        <c:crossAx val="195347848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/>
    <cx:plotArea>
      <cx:plotAreaRegion>
        <cx:series layoutId="treemap" uniqueId="{510AE1AA-E079-4950-961E-817A7AF1A5A7}">
          <cx:tx>
            <cx:txData>
              <cx:f>_xlchart.v1.1</cx:f>
              <cx:v>Sum of Total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167640</xdr:colOff>
      <xdr:row>0</xdr:row>
      <xdr:rowOff>53340</xdr:rowOff>
    </xdr:from>
    <xdr:to>
      <xdr:col>7</xdr:col>
      <xdr:colOff>456833</xdr:colOff>
      <xdr:row>18</xdr:row>
      <xdr:rowOff>46100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959E42-C095-46ED-BA49-4C3A6ECD9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" y="53340"/>
          <a:ext cx="4556393" cy="3284600"/>
        </a:xfrm>
        <a:prstGeom prst="rect">
          <a:avLst/>
        </a:prstGeom>
      </xdr:spPr>
    </xdr:pic>
    <xdr:clientData/>
  </xdr:twoCellAnchor>
  <xdr:twoCellAnchor>
    <xdr:from>
      <xdr:col>9</xdr:col>
      <xdr:colOff>33337</xdr:colOff>
      <xdr:row>10</xdr:row>
      <xdr:rowOff>85725</xdr:rowOff>
    </xdr:from>
    <xdr:to>
      <xdr:col>14</xdr:col>
      <xdr:colOff>242887</xdr:colOff>
      <xdr:row>24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4659F2A-793B-48A4-9B26-A79DE531F8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517051</xdr:colOff>
      <xdr:row>16</xdr:row>
      <xdr:rowOff>42661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6BE410-8E71-48BC-B9EA-D03EDDFE9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84251" cy="2968741"/>
        </a:xfrm>
        <a:prstGeom prst="rect">
          <a:avLst/>
        </a:prstGeom>
      </xdr:spPr>
    </xdr:pic>
    <xdr:clientData/>
  </xdr:twoCellAnchor>
  <xdr:twoCellAnchor>
    <xdr:from>
      <xdr:col>7</xdr:col>
      <xdr:colOff>281609</xdr:colOff>
      <xdr:row>17</xdr:row>
      <xdr:rowOff>6724</xdr:rowOff>
    </xdr:from>
    <xdr:to>
      <xdr:col>15</xdr:col>
      <xdr:colOff>291353</xdr:colOff>
      <xdr:row>35</xdr:row>
      <xdr:rowOff>49696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4D67F3E-62D1-49DA-8504-E9FAEFD7EB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762001</xdr:colOff>
      <xdr:row>27</xdr:row>
      <xdr:rowOff>124239</xdr:rowOff>
    </xdr:from>
    <xdr:to>
      <xdr:col>8</xdr:col>
      <xdr:colOff>770283</xdr:colOff>
      <xdr:row>33</xdr:row>
      <xdr:rowOff>74543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D7548EA0-BC26-496A-AA47-8245D62AA2F0}"/>
            </a:ext>
          </a:extLst>
        </xdr:cNvPr>
        <xdr:cNvCxnSpPr/>
      </xdr:nvCxnSpPr>
      <xdr:spPr>
        <a:xfrm>
          <a:off x="5665305" y="5267739"/>
          <a:ext cx="8282" cy="1093304"/>
        </a:xfrm>
        <a:prstGeom prst="line">
          <a:avLst/>
        </a:prstGeom>
        <a:ln cmpd="sng">
          <a:solidFill>
            <a:schemeClr val="tx1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538370</xdr:colOff>
      <xdr:row>25</xdr:row>
      <xdr:rowOff>8283</xdr:rowOff>
    </xdr:from>
    <xdr:to>
      <xdr:col>9</xdr:col>
      <xdr:colOff>182217</xdr:colOff>
      <xdr:row>26</xdr:row>
      <xdr:rowOff>33130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9650C7E-8EF9-4EE8-A5E6-F01F2FDDF26C}"/>
            </a:ext>
          </a:extLst>
        </xdr:cNvPr>
        <xdr:cNvSpPr txBox="1"/>
      </xdr:nvSpPr>
      <xdr:spPr>
        <a:xfrm>
          <a:off x="5441674" y="4770783"/>
          <a:ext cx="521804" cy="2153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/>
            <a:t>4.1</a:t>
          </a:r>
          <a:r>
            <a:rPr lang="en-ID" sz="1100" baseline="0"/>
            <a:t> M</a:t>
          </a:r>
          <a:endParaRPr lang="en-ID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517051</xdr:colOff>
      <xdr:row>16</xdr:row>
      <xdr:rowOff>254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E73DE4-854D-48EA-9B5B-3E3F0E726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84251" cy="292633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517051</xdr:colOff>
      <xdr:row>15</xdr:row>
      <xdr:rowOff>164377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5D04DF-98E0-494A-82FD-A0CF3CC2F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84251" cy="2907577"/>
        </a:xfrm>
        <a:prstGeom prst="rect">
          <a:avLst/>
        </a:prstGeom>
      </xdr:spPr>
    </xdr:pic>
    <xdr:clientData/>
  </xdr:twoCellAnchor>
  <xdr:twoCellAnchor>
    <xdr:from>
      <xdr:col>8</xdr:col>
      <xdr:colOff>152400</xdr:colOff>
      <xdr:row>6</xdr:row>
      <xdr:rowOff>95249</xdr:rowOff>
    </xdr:from>
    <xdr:to>
      <xdr:col>16</xdr:col>
      <xdr:colOff>114300</xdr:colOff>
      <xdr:row>21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7028FEA-E5B2-4844-8376-77552D61D6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241997</xdr:colOff>
      <xdr:row>15</xdr:row>
      <xdr:rowOff>145554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1A1605-CACE-4FA7-B5A2-FF6D48B41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118797" cy="288875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152889</xdr:colOff>
      <xdr:row>18</xdr:row>
      <xdr:rowOff>128312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86617F-02A2-4573-922C-7118E7535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639289" cy="3420152"/>
        </a:xfrm>
        <a:prstGeom prst="rect">
          <a:avLst/>
        </a:prstGeom>
      </xdr:spPr>
    </xdr:pic>
    <xdr:clientData/>
  </xdr:twoCellAnchor>
  <xdr:twoCellAnchor>
    <xdr:from>
      <xdr:col>10</xdr:col>
      <xdr:colOff>72835</xdr:colOff>
      <xdr:row>25</xdr:row>
      <xdr:rowOff>100853</xdr:rowOff>
    </xdr:from>
    <xdr:to>
      <xdr:col>17</xdr:col>
      <xdr:colOff>728381</xdr:colOff>
      <xdr:row>45</xdr:row>
      <xdr:rowOff>11204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D38518B0-FCBC-4A31-962F-58AC9B5A176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24011" y="4863353"/>
              <a:ext cx="6807576" cy="37203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515578</xdr:colOff>
      <xdr:row>17</xdr:row>
      <xdr:rowOff>162063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757BB7-FD81-4959-A5BE-DA8890DDF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92378" cy="327102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thurrahman" refreshedDate="46090.56268101852" backgroundQuery="1" createdVersion="7" refreshedVersion="7" minRefreshableVersion="3" recordCount="0" supportSubquery="1" supportAdvancedDrill="1" xr:uid="{17976F3B-6FBF-4068-B84F-5D313AE0EB99}">
  <cacheSource type="external" connectionId="4"/>
  <cacheFields count="2">
    <cacheField name="[Transaksi Penjualan].[Tanggal Transaksi (Month)].[Tanggal Transaksi (Month)]" caption="Tanggal Transaksi (Month)" numFmtId="0" hierarchy="20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easures].[Sum of Total]" caption="Sum of Total" numFmtId="0" hierarchy="27" level="32767"/>
  </cacheFields>
  <cacheHierarchies count="28">
    <cacheHierarchy uniqueName="[Master Cabang].[Kode Cabang]" caption="Kode Cabang" attribute="1" defaultMemberUniqueName="[Master Cabang].[Kode Cabang].[All]" allUniqueName="[Master Cabang].[Kode Cabang].[All]" dimensionUniqueName="[Master Cabang]" displayFolder="" count="0" memberValueDatatype="130" unbalanced="0"/>
    <cacheHierarchy uniqueName="[Master Cabang].[Nama Cabang]" caption="Nama Cabang" attribute="1" defaultMemberUniqueName="[Master Cabang].[Nama Cabang].[All]" allUniqueName="[Master Cabang].[Nama Cabang].[All]" dimensionUniqueName="[Master Cabang]" displayFolder="" count="0" memberValueDatatype="130" unbalanced="0"/>
    <cacheHierarchy uniqueName="[Master Cabang].[Lokasi]" caption="Lokasi" attribute="1" defaultMemberUniqueName="[Master Cabang].[Lokasi].[All]" allUniqueName="[Master Cabang].[Lokasi].[All]" dimensionUniqueName="[Master Cabang]" displayFolder="" count="0" memberValueDatatype="130" unbalanced="0"/>
    <cacheHierarchy uniqueName="[Master Cabang].[Provinsi]" caption="Provinsi" attribute="1" defaultMemberUniqueName="[Master Cabang].[Provinsi].[All]" allUniqueName="[Master Cabang].[Provinsi].[All]" dimensionUniqueName="[Master Cabang]" displayFolder="" count="0" memberValueDatatype="130" unbalanced="0"/>
    <cacheHierarchy uniqueName="[Master Produk].[No.]" caption="No." attribute="1" defaultMemberUniqueName="[Master Produk].[No.].[All]" allUniqueName="[Master Produk].[No.].[All]" dimensionUniqueName="[Master Produk]" displayFolder="" count="0" memberValueDatatype="20" unbalanced="0"/>
    <cacheHierarchy uniqueName="[Master Produk].[Kode Produk]" caption="Kode Produk" attribute="1" defaultMemberUniqueName="[Master Produk].[Kode Produk].[All]" allUniqueName="[Master Produk].[Kode Produk].[All]" dimensionUniqueName="[Master Produk]" displayFolder="" count="0" memberValueDatatype="130" unbalanced="0"/>
    <cacheHierarchy uniqueName="[Master Produk].[Kategori]" caption="Kategori" attribute="1" defaultMemberUniqueName="[Master Produk].[Kategori].[All]" allUniqueName="[Master Produk].[Kategori].[All]" dimensionUniqueName="[Master Produk]" displayFolder="" count="0" memberValueDatatype="130" unbalanced="0"/>
    <cacheHierarchy uniqueName="[Master Produk].[Nama Produk]" caption="Nama Produk" attribute="1" defaultMemberUniqueName="[Master Produk].[Nama Produk].[All]" allUniqueName="[Master Produk].[Nama Produk].[All]" dimensionUniqueName="[Master Produk]" displayFolder="" count="0" memberValueDatatype="130" unbalanced="0"/>
    <cacheHierarchy uniqueName="[Master Produk].[Harga]" caption="Harga" attribute="1" defaultMemberUniqueName="[Master Produk].[Harga].[All]" allUniqueName="[Master Produk].[Harga].[All]" dimensionUniqueName="[Master Produk]" displayFolder="" count="0" memberValueDatatype="20" unbalanced="0"/>
    <cacheHierarchy uniqueName="[Transaksi Penjualan].[Tanggal Transaksi]" caption="Tanggal Transaksi" attribute="1" time="1" defaultMemberUniqueName="[Transaksi Penjualan].[Tanggal Transaksi].[All]" allUniqueName="[Transaksi Penjualan].[Tanggal Transaksi].[All]" dimensionUniqueName="[Transaksi Penjualan]" displayFolder="" count="0" memberValueDatatype="7" unbalanced="0"/>
    <cacheHierarchy uniqueName="[Transaksi Penjualan].[Kode Transaksi]" caption="Kode Transaksi" attribute="1" defaultMemberUniqueName="[Transaksi Penjualan].[Kode Transaksi].[All]" allUniqueName="[Transaksi Penjualan].[Kode Transaksi].[All]" dimensionUniqueName="[Transaksi Penjualan]" displayFolder="" count="0" memberValueDatatype="130" unbalanced="0"/>
    <cacheHierarchy uniqueName="[Transaksi Penjualan].[Urutan]" caption="Urutan" attribute="1" defaultMemberUniqueName="[Transaksi Penjualan].[Urutan].[All]" allUniqueName="[Transaksi Penjualan].[Urutan].[All]" dimensionUniqueName="[Transaksi Penjualan]" displayFolder="" count="0" memberValueDatatype="20" unbalanced="0"/>
    <cacheHierarchy uniqueName="[Transaksi Penjualan].[Kode Produk]" caption="Kode Produk" attribute="1" defaultMemberUniqueName="[Transaksi Penjualan].[Kode Produk].[All]" allUniqueName="[Transaksi Penjualan].[Kode Produk].[All]" dimensionUniqueName="[Transaksi Penjualan]" displayFolder="" count="0" memberValueDatatype="130" unbalanced="0"/>
    <cacheHierarchy uniqueName="[Transaksi Penjualan].[Jumlah Pembelian]" caption="Jumlah Pembelian" attribute="1" defaultMemberUniqueName="[Transaksi Penjualan].[Jumlah Pembelian].[All]" allUniqueName="[Transaksi Penjualan].[Jumlah Pembelian].[All]" dimensionUniqueName="[Transaksi Penjualan]" displayFolder="" count="0" memberValueDatatype="20" unbalanced="0"/>
    <cacheHierarchy uniqueName="[Transaksi Penjualan].[Kode Cabang]" caption="Kode Cabang" attribute="1" defaultMemberUniqueName="[Transaksi Penjualan].[Kode Cabang].[All]" allUniqueName="[Transaksi Penjualan].[Kode Cabang].[All]" dimensionUniqueName="[Transaksi Penjualan]" displayFolder="" count="0" memberValueDatatype="130" unbalanced="0"/>
    <cacheHierarchy uniqueName="[Transaksi Penjualan].[Kategori]" caption="Kategori" attribute="1" defaultMemberUniqueName="[Transaksi Penjualan].[Kategori].[All]" allUniqueName="[Transaksi Penjualan].[Kategori].[All]" dimensionUniqueName="[Transaksi Penjualan]" displayFolder="" count="0" memberValueDatatype="130" unbalanced="0"/>
    <cacheHierarchy uniqueName="[Transaksi Penjualan].[Harga]" caption="Harga" attribute="1" defaultMemberUniqueName="[Transaksi Penjualan].[Harga].[All]" allUniqueName="[Transaksi Penjualan].[Harga].[All]" dimensionUniqueName="[Transaksi Penjualan]" displayFolder="" count="0" memberValueDatatype="20" unbalanced="0"/>
    <cacheHierarchy uniqueName="[Transaksi Penjualan].[Total]" caption="Total" attribute="1" defaultMemberUniqueName="[Transaksi Penjualan].[Total].[All]" allUniqueName="[Transaksi Penjualan].[Total].[All]" dimensionUniqueName="[Transaksi Penjualan]" displayFolder="" count="0" memberValueDatatype="20" unbalanced="0"/>
    <cacheHierarchy uniqueName="[Transaksi Penjualan].[Lokasi]" caption="Lokasi" attribute="1" defaultMemberUniqueName="[Transaksi Penjualan].[Lokasi].[All]" allUniqueName="[Transaksi Penjualan].[Lokasi].[All]" dimensionUniqueName="[Transaksi Penjualan]" displayFolder="" count="0" memberValueDatatype="130" unbalanced="0"/>
    <cacheHierarchy uniqueName="[Transaksi Penjualan].[Provinsi]" caption="Provinsi" attribute="1" defaultMemberUniqueName="[Transaksi Penjualan].[Provinsi].[All]" allUniqueName="[Transaksi Penjualan].[Provinsi].[All]" dimensionUniqueName="[Transaksi Penjualan]" displayFolder="" count="0" memberValueDatatype="130" unbalanced="0"/>
    <cacheHierarchy uniqueName="[Transaksi Penjualan].[Tanggal Transaksi (Month)]" caption="Tanggal Transaksi (Month)" attribute="1" defaultMemberUniqueName="[Transaksi Penjualan].[Tanggal Transaksi (Month)].[All]" allUniqueName="[Transaksi Penjualan].[Tanggal Transaksi (Month)].[All]" dimensionUniqueName="[Transaksi Penjualan]" displayFolder="" count="2" memberValueDatatype="130" unbalanced="0">
      <fieldsUsage count="2">
        <fieldUsage x="-1"/>
        <fieldUsage x="0"/>
      </fieldsUsage>
    </cacheHierarchy>
    <cacheHierarchy uniqueName="[Transaksi Penjualan].[Tanggal Transaksi (Month Index)]" caption="Tanggal Transaksi (Month Index)" attribute="1" defaultMemberUniqueName="[Transaksi Penjualan].[Tanggal Transaksi (Month Index)].[All]" allUniqueName="[Transaksi Penjualan].[Tanggal Transaksi (Month Index)].[All]" dimensionUniqueName="[Transaksi Penjualan]" displayFolder="" count="0" memberValueDatatype="20" unbalanced="0" hidden="1"/>
    <cacheHierarchy uniqueName="[Measures].[__XL_Count Master Produk]" caption="__XL_Count Master Produk" measure="1" displayFolder="" measureGroup="Master Produk" count="0" hidden="1"/>
    <cacheHierarchy uniqueName="[Measures].[__XL_Count Master Cabang]" caption="__XL_Count Master Cabang" measure="1" displayFolder="" measureGroup="Master Cabang" count="0" hidden="1"/>
    <cacheHierarchy uniqueName="[Measures].[__XL_Count Transaksi Penjualan]" caption="__XL_Count Transaksi Penjualan" measure="1" displayFolder="" measureGroup="Transaksi Penjualan" count="0" hidden="1"/>
    <cacheHierarchy uniqueName="[Measures].[__No measures defined]" caption="__No measures defined" measure="1" displayFolder="" count="0" hidden="1"/>
    <cacheHierarchy uniqueName="[Measures].[Count of Total]" caption="Count of Total" measure="1" displayFolder="" measureGroup="Transaksi Penjuala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otal]" caption="Sum of Total" measure="1" displayFolder="" measureGroup="Transaksi Penjuala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name="Master Cabang" uniqueName="[Master Cabang]" caption="Master Cabang"/>
    <dimension name="Master Produk" uniqueName="[Master Produk]" caption="Master Produk"/>
    <dimension measure="1" name="Measures" uniqueName="[Measures]" caption="Measures"/>
    <dimension name="Transaksi Penjualan" uniqueName="[Transaksi Penjualan]" caption="Transaksi Penjualan"/>
  </dimensions>
  <measureGroups count="3">
    <measureGroup name="Master Cabang" caption="Master Cabang"/>
    <measureGroup name="Master Produk" caption="Master Produk"/>
    <measureGroup name="Transaksi Penjualan" caption="Transaksi Penjualan"/>
  </measureGroups>
  <maps count="3">
    <map measureGroup="0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thurrahman" refreshedDate="46090.562682638891" backgroundQuery="1" createdVersion="7" refreshedVersion="7" minRefreshableVersion="3" recordCount="0" supportSubquery="1" supportAdvancedDrill="1" xr:uid="{5B4CD360-0C28-41C9-A22F-97BCE424DB17}">
  <cacheSource type="external" connectionId="4"/>
  <cacheFields count="3">
    <cacheField name="[Transaksi Penjualan].[Lokasi].[Lokasi]" caption="Lokasi" numFmtId="0" hierarchy="18" level="1">
      <sharedItems count="4">
        <s v="Jakarta"/>
        <s v="Makassar"/>
        <s v="Medan"/>
        <s v="Surabaya"/>
      </sharedItems>
    </cacheField>
    <cacheField name="[Transaksi Penjualan].[Kategori].[Kategori]" caption="Kategori" numFmtId="0" hierarchy="15" level="1">
      <sharedItems count="5">
        <s v="Aksesoris"/>
        <s v="Atasan"/>
        <s v="Bawahan"/>
        <s v="Gaun"/>
        <s v="Pakaian Olahraga"/>
      </sharedItems>
    </cacheField>
    <cacheField name="[Measures].[Sum of Total]" caption="Sum of Total" numFmtId="0" hierarchy="27" level="32767"/>
  </cacheFields>
  <cacheHierarchies count="28">
    <cacheHierarchy uniqueName="[Master Cabang].[Kode Cabang]" caption="Kode Cabang" attribute="1" defaultMemberUniqueName="[Master Cabang].[Kode Cabang].[All]" allUniqueName="[Master Cabang].[Kode Cabang].[All]" dimensionUniqueName="[Master Cabang]" displayFolder="" count="0" memberValueDatatype="130" unbalanced="0"/>
    <cacheHierarchy uniqueName="[Master Cabang].[Nama Cabang]" caption="Nama Cabang" attribute="1" defaultMemberUniqueName="[Master Cabang].[Nama Cabang].[All]" allUniqueName="[Master Cabang].[Nama Cabang].[All]" dimensionUniqueName="[Master Cabang]" displayFolder="" count="0" memberValueDatatype="130" unbalanced="0"/>
    <cacheHierarchy uniqueName="[Master Cabang].[Lokasi]" caption="Lokasi" attribute="1" defaultMemberUniqueName="[Master Cabang].[Lokasi].[All]" allUniqueName="[Master Cabang].[Lokasi].[All]" dimensionUniqueName="[Master Cabang]" displayFolder="" count="0" memberValueDatatype="130" unbalanced="0"/>
    <cacheHierarchy uniqueName="[Master Cabang].[Provinsi]" caption="Provinsi" attribute="1" defaultMemberUniqueName="[Master Cabang].[Provinsi].[All]" allUniqueName="[Master Cabang].[Provinsi].[All]" dimensionUniqueName="[Master Cabang]" displayFolder="" count="0" memberValueDatatype="130" unbalanced="0"/>
    <cacheHierarchy uniqueName="[Master Produk].[No.]" caption="No." attribute="1" defaultMemberUniqueName="[Master Produk].[No.].[All]" allUniqueName="[Master Produk].[No.].[All]" dimensionUniqueName="[Master Produk]" displayFolder="" count="0" memberValueDatatype="20" unbalanced="0"/>
    <cacheHierarchy uniqueName="[Master Produk].[Kode Produk]" caption="Kode Produk" attribute="1" defaultMemberUniqueName="[Master Produk].[Kode Produk].[All]" allUniqueName="[Master Produk].[Kode Produk].[All]" dimensionUniqueName="[Master Produk]" displayFolder="" count="0" memberValueDatatype="130" unbalanced="0"/>
    <cacheHierarchy uniqueName="[Master Produk].[Kategori]" caption="Kategori" attribute="1" defaultMemberUniqueName="[Master Produk].[Kategori].[All]" allUniqueName="[Master Produk].[Kategori].[All]" dimensionUniqueName="[Master Produk]" displayFolder="" count="0" memberValueDatatype="130" unbalanced="0"/>
    <cacheHierarchy uniqueName="[Master Produk].[Nama Produk]" caption="Nama Produk" attribute="1" defaultMemberUniqueName="[Master Produk].[Nama Produk].[All]" allUniqueName="[Master Produk].[Nama Produk].[All]" dimensionUniqueName="[Master Produk]" displayFolder="" count="0" memberValueDatatype="130" unbalanced="0"/>
    <cacheHierarchy uniqueName="[Master Produk].[Harga]" caption="Harga" attribute="1" defaultMemberUniqueName="[Master Produk].[Harga].[All]" allUniqueName="[Master Produk].[Harga].[All]" dimensionUniqueName="[Master Produk]" displayFolder="" count="0" memberValueDatatype="20" unbalanced="0"/>
    <cacheHierarchy uniqueName="[Transaksi Penjualan].[Tanggal Transaksi]" caption="Tanggal Transaksi" attribute="1" time="1" defaultMemberUniqueName="[Transaksi Penjualan].[Tanggal Transaksi].[All]" allUniqueName="[Transaksi Penjualan].[Tanggal Transaksi].[All]" dimensionUniqueName="[Transaksi Penjualan]" displayFolder="" count="0" memberValueDatatype="7" unbalanced="0"/>
    <cacheHierarchy uniqueName="[Transaksi Penjualan].[Kode Transaksi]" caption="Kode Transaksi" attribute="1" defaultMemberUniqueName="[Transaksi Penjualan].[Kode Transaksi].[All]" allUniqueName="[Transaksi Penjualan].[Kode Transaksi].[All]" dimensionUniqueName="[Transaksi Penjualan]" displayFolder="" count="0" memberValueDatatype="130" unbalanced="0"/>
    <cacheHierarchy uniqueName="[Transaksi Penjualan].[Urutan]" caption="Urutan" attribute="1" defaultMemberUniqueName="[Transaksi Penjualan].[Urutan].[All]" allUniqueName="[Transaksi Penjualan].[Urutan].[All]" dimensionUniqueName="[Transaksi Penjualan]" displayFolder="" count="0" memberValueDatatype="20" unbalanced="0"/>
    <cacheHierarchy uniqueName="[Transaksi Penjualan].[Kode Produk]" caption="Kode Produk" attribute="1" defaultMemberUniqueName="[Transaksi Penjualan].[Kode Produk].[All]" allUniqueName="[Transaksi Penjualan].[Kode Produk].[All]" dimensionUniqueName="[Transaksi Penjualan]" displayFolder="" count="0" memberValueDatatype="130" unbalanced="0"/>
    <cacheHierarchy uniqueName="[Transaksi Penjualan].[Jumlah Pembelian]" caption="Jumlah Pembelian" attribute="1" defaultMemberUniqueName="[Transaksi Penjualan].[Jumlah Pembelian].[All]" allUniqueName="[Transaksi Penjualan].[Jumlah Pembelian].[All]" dimensionUniqueName="[Transaksi Penjualan]" displayFolder="" count="0" memberValueDatatype="20" unbalanced="0"/>
    <cacheHierarchy uniqueName="[Transaksi Penjualan].[Kode Cabang]" caption="Kode Cabang" attribute="1" defaultMemberUniqueName="[Transaksi Penjualan].[Kode Cabang].[All]" allUniqueName="[Transaksi Penjualan].[Kode Cabang].[All]" dimensionUniqueName="[Transaksi Penjualan]" displayFolder="" count="0" memberValueDatatype="130" unbalanced="0"/>
    <cacheHierarchy uniqueName="[Transaksi Penjualan].[Kategori]" caption="Kategori" attribute="1" defaultMemberUniqueName="[Transaksi Penjualan].[Kategori].[All]" allUniqueName="[Transaksi Penjualan].[Kategori].[All]" dimensionUniqueName="[Transaksi Penjualan]" displayFolder="" count="2" memberValueDatatype="130" unbalanced="0">
      <fieldsUsage count="2">
        <fieldUsage x="-1"/>
        <fieldUsage x="1"/>
      </fieldsUsage>
    </cacheHierarchy>
    <cacheHierarchy uniqueName="[Transaksi Penjualan].[Harga]" caption="Harga" attribute="1" defaultMemberUniqueName="[Transaksi Penjualan].[Harga].[All]" allUniqueName="[Transaksi Penjualan].[Harga].[All]" dimensionUniqueName="[Transaksi Penjualan]" displayFolder="" count="0" memberValueDatatype="20" unbalanced="0"/>
    <cacheHierarchy uniqueName="[Transaksi Penjualan].[Total]" caption="Total" attribute="1" defaultMemberUniqueName="[Transaksi Penjualan].[Total].[All]" allUniqueName="[Transaksi Penjualan].[Total].[All]" dimensionUniqueName="[Transaksi Penjualan]" displayFolder="" count="0" memberValueDatatype="20" unbalanced="0"/>
    <cacheHierarchy uniqueName="[Transaksi Penjualan].[Lokasi]" caption="Lokasi" attribute="1" defaultMemberUniqueName="[Transaksi Penjualan].[Lokasi].[All]" allUniqueName="[Transaksi Penjualan].[Lokasi].[All]" dimensionUniqueName="[Transaksi Penjualan]" displayFolder="" count="2" memberValueDatatype="130" unbalanced="0">
      <fieldsUsage count="2">
        <fieldUsage x="-1"/>
        <fieldUsage x="0"/>
      </fieldsUsage>
    </cacheHierarchy>
    <cacheHierarchy uniqueName="[Transaksi Penjualan].[Provinsi]" caption="Provinsi" attribute="1" defaultMemberUniqueName="[Transaksi Penjualan].[Provinsi].[All]" allUniqueName="[Transaksi Penjualan].[Provinsi].[All]" dimensionUniqueName="[Transaksi Penjualan]" displayFolder="" count="0" memberValueDatatype="130" unbalanced="0"/>
    <cacheHierarchy uniqueName="[Transaksi Penjualan].[Tanggal Transaksi (Month)]" caption="Tanggal Transaksi (Month)" attribute="1" defaultMemberUniqueName="[Transaksi Penjualan].[Tanggal Transaksi (Month)].[All]" allUniqueName="[Transaksi Penjualan].[Tanggal Transaksi (Month)].[All]" dimensionUniqueName="[Transaksi Penjualan]" displayFolder="" count="0" memberValueDatatype="130" unbalanced="0"/>
    <cacheHierarchy uniqueName="[Transaksi Penjualan].[Tanggal Transaksi (Month Index)]" caption="Tanggal Transaksi (Month Index)" attribute="1" defaultMemberUniqueName="[Transaksi Penjualan].[Tanggal Transaksi (Month Index)].[All]" allUniqueName="[Transaksi Penjualan].[Tanggal Transaksi (Month Index)].[All]" dimensionUniqueName="[Transaksi Penjualan]" displayFolder="" count="0" memberValueDatatype="20" unbalanced="0" hidden="1"/>
    <cacheHierarchy uniqueName="[Measures].[__XL_Count Master Produk]" caption="__XL_Count Master Produk" measure="1" displayFolder="" measureGroup="Master Produk" count="0" hidden="1"/>
    <cacheHierarchy uniqueName="[Measures].[__XL_Count Master Cabang]" caption="__XL_Count Master Cabang" measure="1" displayFolder="" measureGroup="Master Cabang" count="0" hidden="1"/>
    <cacheHierarchy uniqueName="[Measures].[__XL_Count Transaksi Penjualan]" caption="__XL_Count Transaksi Penjualan" measure="1" displayFolder="" measureGroup="Transaksi Penjualan" count="0" hidden="1"/>
    <cacheHierarchy uniqueName="[Measures].[__No measures defined]" caption="__No measures defined" measure="1" displayFolder="" count="0" hidden="1"/>
    <cacheHierarchy uniqueName="[Measures].[Count of Total]" caption="Count of Total" measure="1" displayFolder="" measureGroup="Transaksi Penjuala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otal]" caption="Sum of Total" measure="1" displayFolder="" measureGroup="Transaksi Penjualan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name="Master Cabang" uniqueName="[Master Cabang]" caption="Master Cabang"/>
    <dimension name="Master Produk" uniqueName="[Master Produk]" caption="Master Produk"/>
    <dimension measure="1" name="Measures" uniqueName="[Measures]" caption="Measures"/>
    <dimension name="Transaksi Penjualan" uniqueName="[Transaksi Penjualan]" caption="Transaksi Penjualan"/>
  </dimensions>
  <measureGroups count="3">
    <measureGroup name="Master Cabang" caption="Master Cabang"/>
    <measureGroup name="Master Produk" caption="Master Produk"/>
    <measureGroup name="Transaksi Penjualan" caption="Transaksi Penjualan"/>
  </measureGroups>
  <maps count="3">
    <map measureGroup="0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thurrahman" refreshedDate="46090.564095486108" backgroundQuery="1" createdVersion="7" refreshedVersion="7" minRefreshableVersion="3" recordCount="0" supportSubquery="1" supportAdvancedDrill="1" xr:uid="{0AD726CB-C853-4A3B-87CB-98CCBD7EB101}">
  <cacheSource type="external" connectionId="4"/>
  <cacheFields count="3">
    <cacheField name="[Transaksi Penjualan].[Provinsi].[Provinsi]" caption="Provinsi" numFmtId="0" hierarchy="19" level="1">
      <sharedItems count="4">
        <s v="DKI Jakarta"/>
        <s v="Jawa Timur"/>
        <s v="Sulawesi Selatan"/>
        <s v="Sumatera Utara"/>
      </sharedItems>
    </cacheField>
    <cacheField name="[Transaksi Penjualan].[Tanggal Transaksi (Month)].[Tanggal Transaksi (Month)]" caption="Tanggal Transaksi (Month)" numFmtId="0" hierarchy="20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easures].[Sum of Total]" caption="Sum of Total" numFmtId="0" hierarchy="27" level="32767"/>
  </cacheFields>
  <cacheHierarchies count="28">
    <cacheHierarchy uniqueName="[Master Cabang].[Kode Cabang]" caption="Kode Cabang" attribute="1" defaultMemberUniqueName="[Master Cabang].[Kode Cabang].[All]" allUniqueName="[Master Cabang].[Kode Cabang].[All]" dimensionUniqueName="[Master Cabang]" displayFolder="" count="0" memberValueDatatype="130" unbalanced="0"/>
    <cacheHierarchy uniqueName="[Master Cabang].[Nama Cabang]" caption="Nama Cabang" attribute="1" defaultMemberUniqueName="[Master Cabang].[Nama Cabang].[All]" allUniqueName="[Master Cabang].[Nama Cabang].[All]" dimensionUniqueName="[Master Cabang]" displayFolder="" count="0" memberValueDatatype="130" unbalanced="0"/>
    <cacheHierarchy uniqueName="[Master Cabang].[Lokasi]" caption="Lokasi" attribute="1" defaultMemberUniqueName="[Master Cabang].[Lokasi].[All]" allUniqueName="[Master Cabang].[Lokasi].[All]" dimensionUniqueName="[Master Cabang]" displayFolder="" count="0" memberValueDatatype="130" unbalanced="0"/>
    <cacheHierarchy uniqueName="[Master Cabang].[Provinsi]" caption="Provinsi" attribute="1" defaultMemberUniqueName="[Master Cabang].[Provinsi].[All]" allUniqueName="[Master Cabang].[Provinsi].[All]" dimensionUniqueName="[Master Cabang]" displayFolder="" count="0" memberValueDatatype="130" unbalanced="0"/>
    <cacheHierarchy uniqueName="[Master Produk].[No.]" caption="No." attribute="1" defaultMemberUniqueName="[Master Produk].[No.].[All]" allUniqueName="[Master Produk].[No.].[All]" dimensionUniqueName="[Master Produk]" displayFolder="" count="0" memberValueDatatype="20" unbalanced="0"/>
    <cacheHierarchy uniqueName="[Master Produk].[Kode Produk]" caption="Kode Produk" attribute="1" defaultMemberUniqueName="[Master Produk].[Kode Produk].[All]" allUniqueName="[Master Produk].[Kode Produk].[All]" dimensionUniqueName="[Master Produk]" displayFolder="" count="0" memberValueDatatype="130" unbalanced="0"/>
    <cacheHierarchy uniqueName="[Master Produk].[Kategori]" caption="Kategori" attribute="1" defaultMemberUniqueName="[Master Produk].[Kategori].[All]" allUniqueName="[Master Produk].[Kategori].[All]" dimensionUniqueName="[Master Produk]" displayFolder="" count="0" memberValueDatatype="130" unbalanced="0"/>
    <cacheHierarchy uniqueName="[Master Produk].[Nama Produk]" caption="Nama Produk" attribute="1" defaultMemberUniqueName="[Master Produk].[Nama Produk].[All]" allUniqueName="[Master Produk].[Nama Produk].[All]" dimensionUniqueName="[Master Produk]" displayFolder="" count="0" memberValueDatatype="130" unbalanced="0"/>
    <cacheHierarchy uniqueName="[Master Produk].[Harga]" caption="Harga" attribute="1" defaultMemberUniqueName="[Master Produk].[Harga].[All]" allUniqueName="[Master Produk].[Harga].[All]" dimensionUniqueName="[Master Produk]" displayFolder="" count="0" memberValueDatatype="20" unbalanced="0"/>
    <cacheHierarchy uniqueName="[Transaksi Penjualan].[Tanggal Transaksi]" caption="Tanggal Transaksi" attribute="1" time="1" defaultMemberUniqueName="[Transaksi Penjualan].[Tanggal Transaksi].[All]" allUniqueName="[Transaksi Penjualan].[Tanggal Transaksi].[All]" dimensionUniqueName="[Transaksi Penjualan]" displayFolder="" count="0" memberValueDatatype="7" unbalanced="0"/>
    <cacheHierarchy uniqueName="[Transaksi Penjualan].[Kode Transaksi]" caption="Kode Transaksi" attribute="1" defaultMemberUniqueName="[Transaksi Penjualan].[Kode Transaksi].[All]" allUniqueName="[Transaksi Penjualan].[Kode Transaksi].[All]" dimensionUniqueName="[Transaksi Penjualan]" displayFolder="" count="0" memberValueDatatype="130" unbalanced="0"/>
    <cacheHierarchy uniqueName="[Transaksi Penjualan].[Urutan]" caption="Urutan" attribute="1" defaultMemberUniqueName="[Transaksi Penjualan].[Urutan].[All]" allUniqueName="[Transaksi Penjualan].[Urutan].[All]" dimensionUniqueName="[Transaksi Penjualan]" displayFolder="" count="0" memberValueDatatype="20" unbalanced="0"/>
    <cacheHierarchy uniqueName="[Transaksi Penjualan].[Kode Produk]" caption="Kode Produk" attribute="1" defaultMemberUniqueName="[Transaksi Penjualan].[Kode Produk].[All]" allUniqueName="[Transaksi Penjualan].[Kode Produk].[All]" dimensionUniqueName="[Transaksi Penjualan]" displayFolder="" count="0" memberValueDatatype="130" unbalanced="0"/>
    <cacheHierarchy uniqueName="[Transaksi Penjualan].[Jumlah Pembelian]" caption="Jumlah Pembelian" attribute="1" defaultMemberUniqueName="[Transaksi Penjualan].[Jumlah Pembelian].[All]" allUniqueName="[Transaksi Penjualan].[Jumlah Pembelian].[All]" dimensionUniqueName="[Transaksi Penjualan]" displayFolder="" count="0" memberValueDatatype="20" unbalanced="0"/>
    <cacheHierarchy uniqueName="[Transaksi Penjualan].[Kode Cabang]" caption="Kode Cabang" attribute="1" defaultMemberUniqueName="[Transaksi Penjualan].[Kode Cabang].[All]" allUniqueName="[Transaksi Penjualan].[Kode Cabang].[All]" dimensionUniqueName="[Transaksi Penjualan]" displayFolder="" count="0" memberValueDatatype="130" unbalanced="0"/>
    <cacheHierarchy uniqueName="[Transaksi Penjualan].[Kategori]" caption="Kategori" attribute="1" defaultMemberUniqueName="[Transaksi Penjualan].[Kategori].[All]" allUniqueName="[Transaksi Penjualan].[Kategori].[All]" dimensionUniqueName="[Transaksi Penjualan]" displayFolder="" count="0" memberValueDatatype="130" unbalanced="0"/>
    <cacheHierarchy uniqueName="[Transaksi Penjualan].[Harga]" caption="Harga" attribute="1" defaultMemberUniqueName="[Transaksi Penjualan].[Harga].[All]" allUniqueName="[Transaksi Penjualan].[Harga].[All]" dimensionUniqueName="[Transaksi Penjualan]" displayFolder="" count="0" memberValueDatatype="20" unbalanced="0"/>
    <cacheHierarchy uniqueName="[Transaksi Penjualan].[Total]" caption="Total" attribute="1" defaultMemberUniqueName="[Transaksi Penjualan].[Total].[All]" allUniqueName="[Transaksi Penjualan].[Total].[All]" dimensionUniqueName="[Transaksi Penjualan]" displayFolder="" count="0" memberValueDatatype="20" unbalanced="0"/>
    <cacheHierarchy uniqueName="[Transaksi Penjualan].[Lokasi]" caption="Lokasi" attribute="1" defaultMemberUniqueName="[Transaksi Penjualan].[Lokasi].[All]" allUniqueName="[Transaksi Penjualan].[Lokasi].[All]" dimensionUniqueName="[Transaksi Penjualan]" displayFolder="" count="0" memberValueDatatype="130" unbalanced="0"/>
    <cacheHierarchy uniqueName="[Transaksi Penjualan].[Provinsi]" caption="Provinsi" attribute="1" defaultMemberUniqueName="[Transaksi Penjualan].[Provinsi].[All]" allUniqueName="[Transaksi Penjualan].[Provinsi].[All]" dimensionUniqueName="[Transaksi Penjualan]" displayFolder="" count="2" memberValueDatatype="130" unbalanced="0">
      <fieldsUsage count="2">
        <fieldUsage x="-1"/>
        <fieldUsage x="0"/>
      </fieldsUsage>
    </cacheHierarchy>
    <cacheHierarchy uniqueName="[Transaksi Penjualan].[Tanggal Transaksi (Month)]" caption="Tanggal Transaksi (Month)" attribute="1" defaultMemberUniqueName="[Transaksi Penjualan].[Tanggal Transaksi (Month)].[All]" allUniqueName="[Transaksi Penjualan].[Tanggal Transaksi (Month)].[All]" dimensionUniqueName="[Transaksi Penjualan]" displayFolder="" count="2" memberValueDatatype="130" unbalanced="0">
      <fieldsUsage count="2">
        <fieldUsage x="-1"/>
        <fieldUsage x="1"/>
      </fieldsUsage>
    </cacheHierarchy>
    <cacheHierarchy uniqueName="[Transaksi Penjualan].[Tanggal Transaksi (Month Index)]" caption="Tanggal Transaksi (Month Index)" attribute="1" defaultMemberUniqueName="[Transaksi Penjualan].[Tanggal Transaksi (Month Index)].[All]" allUniqueName="[Transaksi Penjualan].[Tanggal Transaksi (Month Index)].[All]" dimensionUniqueName="[Transaksi Penjualan]" displayFolder="" count="0" memberValueDatatype="20" unbalanced="0" hidden="1"/>
    <cacheHierarchy uniqueName="[Measures].[__XL_Count Master Produk]" caption="__XL_Count Master Produk" measure="1" displayFolder="" measureGroup="Master Produk" count="0" hidden="1"/>
    <cacheHierarchy uniqueName="[Measures].[__XL_Count Master Cabang]" caption="__XL_Count Master Cabang" measure="1" displayFolder="" measureGroup="Master Cabang" count="0" hidden="1"/>
    <cacheHierarchy uniqueName="[Measures].[__XL_Count Transaksi Penjualan]" caption="__XL_Count Transaksi Penjualan" measure="1" displayFolder="" measureGroup="Transaksi Penjualan" count="0" hidden="1"/>
    <cacheHierarchy uniqueName="[Measures].[__No measures defined]" caption="__No measures defined" measure="1" displayFolder="" count="0" hidden="1"/>
    <cacheHierarchy uniqueName="[Measures].[Count of Total]" caption="Count of Total" measure="1" displayFolder="" measureGroup="Transaksi Penjuala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otal]" caption="Sum of Total" measure="1" displayFolder="" measureGroup="Transaksi Penjualan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name="Master Cabang" uniqueName="[Master Cabang]" caption="Master Cabang"/>
    <dimension name="Master Produk" uniqueName="[Master Produk]" caption="Master Produk"/>
    <dimension measure="1" name="Measures" uniqueName="[Measures]" caption="Measures"/>
    <dimension name="Transaksi Penjualan" uniqueName="[Transaksi Penjualan]" caption="Transaksi Penjualan"/>
  </dimensions>
  <measureGroups count="3">
    <measureGroup name="Master Cabang" caption="Master Cabang"/>
    <measureGroup name="Master Produk" caption="Master Produk"/>
    <measureGroup name="Transaksi Penjualan" caption="Transaksi Penjualan"/>
  </measureGroups>
  <maps count="3">
    <map measureGroup="0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thurrahman" refreshedDate="46090.574057754631" backgroundQuery="1" createdVersion="7" refreshedVersion="7" minRefreshableVersion="3" recordCount="0" supportSubquery="1" supportAdvancedDrill="1" xr:uid="{79F636CF-C29D-4564-9A22-BC91CE1288C3}">
  <cacheSource type="external" connectionId="4"/>
  <cacheFields count="3">
    <cacheField name="[Transaksi Penjualan].[Kategori].[Kategori]" caption="Kategori" numFmtId="0" hierarchy="15" level="1">
      <sharedItems count="5">
        <s v="Aksesoris"/>
        <s v="Atasan"/>
        <s v="Bawahan"/>
        <s v="Gaun"/>
        <s v="Pakaian Olahraga"/>
      </sharedItems>
    </cacheField>
    <cacheField name="[Transaksi Penjualan].[Provinsi].[Provinsi]" caption="Provinsi" numFmtId="0" hierarchy="19" level="1">
      <sharedItems count="4">
        <s v="DKI Jakarta"/>
        <s v="Jawa Timur"/>
        <s v="Sulawesi Selatan"/>
        <s v="Sumatera Utara"/>
      </sharedItems>
    </cacheField>
    <cacheField name="[Measures].[Sum of Total]" caption="Sum of Total" numFmtId="0" hierarchy="27" level="32767"/>
  </cacheFields>
  <cacheHierarchies count="28">
    <cacheHierarchy uniqueName="[Master Cabang].[Kode Cabang]" caption="Kode Cabang" attribute="1" defaultMemberUniqueName="[Master Cabang].[Kode Cabang].[All]" allUniqueName="[Master Cabang].[Kode Cabang].[All]" dimensionUniqueName="[Master Cabang]" displayFolder="" count="0" memberValueDatatype="130" unbalanced="0"/>
    <cacheHierarchy uniqueName="[Master Cabang].[Nama Cabang]" caption="Nama Cabang" attribute="1" defaultMemberUniqueName="[Master Cabang].[Nama Cabang].[All]" allUniqueName="[Master Cabang].[Nama Cabang].[All]" dimensionUniqueName="[Master Cabang]" displayFolder="" count="0" memberValueDatatype="130" unbalanced="0"/>
    <cacheHierarchy uniqueName="[Master Cabang].[Lokasi]" caption="Lokasi" attribute="1" defaultMemberUniqueName="[Master Cabang].[Lokasi].[All]" allUniqueName="[Master Cabang].[Lokasi].[All]" dimensionUniqueName="[Master Cabang]" displayFolder="" count="0" memberValueDatatype="130" unbalanced="0"/>
    <cacheHierarchy uniqueName="[Master Cabang].[Provinsi]" caption="Provinsi" attribute="1" defaultMemberUniqueName="[Master Cabang].[Provinsi].[All]" allUniqueName="[Master Cabang].[Provinsi].[All]" dimensionUniqueName="[Master Cabang]" displayFolder="" count="0" memberValueDatatype="130" unbalanced="0"/>
    <cacheHierarchy uniqueName="[Master Produk].[No.]" caption="No." attribute="1" defaultMemberUniqueName="[Master Produk].[No.].[All]" allUniqueName="[Master Produk].[No.].[All]" dimensionUniqueName="[Master Produk]" displayFolder="" count="0" memberValueDatatype="20" unbalanced="0"/>
    <cacheHierarchy uniqueName="[Master Produk].[Kode Produk]" caption="Kode Produk" attribute="1" defaultMemberUniqueName="[Master Produk].[Kode Produk].[All]" allUniqueName="[Master Produk].[Kode Produk].[All]" dimensionUniqueName="[Master Produk]" displayFolder="" count="0" memberValueDatatype="130" unbalanced="0"/>
    <cacheHierarchy uniqueName="[Master Produk].[Kategori]" caption="Kategori" attribute="1" defaultMemberUniqueName="[Master Produk].[Kategori].[All]" allUniqueName="[Master Produk].[Kategori].[All]" dimensionUniqueName="[Master Produk]" displayFolder="" count="0" memberValueDatatype="130" unbalanced="0"/>
    <cacheHierarchy uniqueName="[Master Produk].[Nama Produk]" caption="Nama Produk" attribute="1" defaultMemberUniqueName="[Master Produk].[Nama Produk].[All]" allUniqueName="[Master Produk].[Nama Produk].[All]" dimensionUniqueName="[Master Produk]" displayFolder="" count="0" memberValueDatatype="130" unbalanced="0"/>
    <cacheHierarchy uniqueName="[Master Produk].[Harga]" caption="Harga" attribute="1" defaultMemberUniqueName="[Master Produk].[Harga].[All]" allUniqueName="[Master Produk].[Harga].[All]" dimensionUniqueName="[Master Produk]" displayFolder="" count="0" memberValueDatatype="20" unbalanced="0"/>
    <cacheHierarchy uniqueName="[Transaksi Penjualan].[Tanggal Transaksi]" caption="Tanggal Transaksi" attribute="1" time="1" defaultMemberUniqueName="[Transaksi Penjualan].[Tanggal Transaksi].[All]" allUniqueName="[Transaksi Penjualan].[Tanggal Transaksi].[All]" dimensionUniqueName="[Transaksi Penjualan]" displayFolder="" count="0" memberValueDatatype="7" unbalanced="0"/>
    <cacheHierarchy uniqueName="[Transaksi Penjualan].[Kode Transaksi]" caption="Kode Transaksi" attribute="1" defaultMemberUniqueName="[Transaksi Penjualan].[Kode Transaksi].[All]" allUniqueName="[Transaksi Penjualan].[Kode Transaksi].[All]" dimensionUniqueName="[Transaksi Penjualan]" displayFolder="" count="0" memberValueDatatype="130" unbalanced="0"/>
    <cacheHierarchy uniqueName="[Transaksi Penjualan].[Urutan]" caption="Urutan" attribute="1" defaultMemberUniqueName="[Transaksi Penjualan].[Urutan].[All]" allUniqueName="[Transaksi Penjualan].[Urutan].[All]" dimensionUniqueName="[Transaksi Penjualan]" displayFolder="" count="0" memberValueDatatype="20" unbalanced="0"/>
    <cacheHierarchy uniqueName="[Transaksi Penjualan].[Kode Produk]" caption="Kode Produk" attribute="1" defaultMemberUniqueName="[Transaksi Penjualan].[Kode Produk].[All]" allUniqueName="[Transaksi Penjualan].[Kode Produk].[All]" dimensionUniqueName="[Transaksi Penjualan]" displayFolder="" count="0" memberValueDatatype="130" unbalanced="0"/>
    <cacheHierarchy uniqueName="[Transaksi Penjualan].[Jumlah Pembelian]" caption="Jumlah Pembelian" attribute="1" defaultMemberUniqueName="[Transaksi Penjualan].[Jumlah Pembelian].[All]" allUniqueName="[Transaksi Penjualan].[Jumlah Pembelian].[All]" dimensionUniqueName="[Transaksi Penjualan]" displayFolder="" count="0" memberValueDatatype="20" unbalanced="0"/>
    <cacheHierarchy uniqueName="[Transaksi Penjualan].[Kode Cabang]" caption="Kode Cabang" attribute="1" defaultMemberUniqueName="[Transaksi Penjualan].[Kode Cabang].[All]" allUniqueName="[Transaksi Penjualan].[Kode Cabang].[All]" dimensionUniqueName="[Transaksi Penjualan]" displayFolder="" count="0" memberValueDatatype="130" unbalanced="0"/>
    <cacheHierarchy uniqueName="[Transaksi Penjualan].[Kategori]" caption="Kategori" attribute="1" defaultMemberUniqueName="[Transaksi Penjualan].[Kategori].[All]" allUniqueName="[Transaksi Penjualan].[Kategori].[All]" dimensionUniqueName="[Transaksi Penjualan]" displayFolder="" count="2" memberValueDatatype="130" unbalanced="0">
      <fieldsUsage count="2">
        <fieldUsage x="-1"/>
        <fieldUsage x="0"/>
      </fieldsUsage>
    </cacheHierarchy>
    <cacheHierarchy uniqueName="[Transaksi Penjualan].[Harga]" caption="Harga" attribute="1" defaultMemberUniqueName="[Transaksi Penjualan].[Harga].[All]" allUniqueName="[Transaksi Penjualan].[Harga].[All]" dimensionUniqueName="[Transaksi Penjualan]" displayFolder="" count="0" memberValueDatatype="20" unbalanced="0"/>
    <cacheHierarchy uniqueName="[Transaksi Penjualan].[Total]" caption="Total" attribute="1" defaultMemberUniqueName="[Transaksi Penjualan].[Total].[All]" allUniqueName="[Transaksi Penjualan].[Total].[All]" dimensionUniqueName="[Transaksi Penjualan]" displayFolder="" count="0" memberValueDatatype="20" unbalanced="0"/>
    <cacheHierarchy uniqueName="[Transaksi Penjualan].[Lokasi]" caption="Lokasi" attribute="1" defaultMemberUniqueName="[Transaksi Penjualan].[Lokasi].[All]" allUniqueName="[Transaksi Penjualan].[Lokasi].[All]" dimensionUniqueName="[Transaksi Penjualan]" displayFolder="" count="0" memberValueDatatype="130" unbalanced="0"/>
    <cacheHierarchy uniqueName="[Transaksi Penjualan].[Provinsi]" caption="Provinsi" attribute="1" defaultMemberUniqueName="[Transaksi Penjualan].[Provinsi].[All]" allUniqueName="[Transaksi Penjualan].[Provinsi].[All]" dimensionUniqueName="[Transaksi Penjualan]" displayFolder="" count="2" memberValueDatatype="130" unbalanced="0">
      <fieldsUsage count="2">
        <fieldUsage x="-1"/>
        <fieldUsage x="1"/>
      </fieldsUsage>
    </cacheHierarchy>
    <cacheHierarchy uniqueName="[Transaksi Penjualan].[Tanggal Transaksi (Month)]" caption="Tanggal Transaksi (Month)" attribute="1" defaultMemberUniqueName="[Transaksi Penjualan].[Tanggal Transaksi (Month)].[All]" allUniqueName="[Transaksi Penjualan].[Tanggal Transaksi (Month)].[All]" dimensionUniqueName="[Transaksi Penjualan]" displayFolder="" count="0" memberValueDatatype="130" unbalanced="0"/>
    <cacheHierarchy uniqueName="[Transaksi Penjualan].[Tanggal Transaksi (Month Index)]" caption="Tanggal Transaksi (Month Index)" attribute="1" defaultMemberUniqueName="[Transaksi Penjualan].[Tanggal Transaksi (Month Index)].[All]" allUniqueName="[Transaksi Penjualan].[Tanggal Transaksi (Month Index)].[All]" dimensionUniqueName="[Transaksi Penjualan]" displayFolder="" count="0" memberValueDatatype="20" unbalanced="0" hidden="1"/>
    <cacheHierarchy uniqueName="[Measures].[__XL_Count Master Produk]" caption="__XL_Count Master Produk" measure="1" displayFolder="" measureGroup="Master Produk" count="0" hidden="1"/>
    <cacheHierarchy uniqueName="[Measures].[__XL_Count Master Cabang]" caption="__XL_Count Master Cabang" measure="1" displayFolder="" measureGroup="Master Cabang" count="0" hidden="1"/>
    <cacheHierarchy uniqueName="[Measures].[__XL_Count Transaksi Penjualan]" caption="__XL_Count Transaksi Penjualan" measure="1" displayFolder="" measureGroup="Transaksi Penjualan" count="0" hidden="1"/>
    <cacheHierarchy uniqueName="[Measures].[__No measures defined]" caption="__No measures defined" measure="1" displayFolder="" count="0" hidden="1"/>
    <cacheHierarchy uniqueName="[Measures].[Count of Total]" caption="Count of Total" measure="1" displayFolder="" measureGroup="Transaksi Penjuala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otal]" caption="Sum of Total" measure="1" displayFolder="" measureGroup="Transaksi Penjualan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name="Master Cabang" uniqueName="[Master Cabang]" caption="Master Cabang"/>
    <dimension name="Master Produk" uniqueName="[Master Produk]" caption="Master Produk"/>
    <dimension measure="1" name="Measures" uniqueName="[Measures]" caption="Measures"/>
    <dimension name="Transaksi Penjualan" uniqueName="[Transaksi Penjualan]" caption="Transaksi Penjualan"/>
  </dimensions>
  <measureGroups count="3">
    <measureGroup name="Master Cabang" caption="Master Cabang"/>
    <measureGroup name="Master Produk" caption="Master Produk"/>
    <measureGroup name="Transaksi Penjualan" caption="Transaksi Penjualan"/>
  </measureGroups>
  <maps count="3">
    <map measureGroup="0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thurrahman" refreshedDate="46090.575587384257" backgroundQuery="1" createdVersion="7" refreshedVersion="7" minRefreshableVersion="3" recordCount="0" supportSubquery="1" supportAdvancedDrill="1" xr:uid="{DEFA3F6E-75ED-4E7D-BFBD-DF0A1BB51331}">
  <cacheSource type="external" connectionId="4"/>
  <cacheFields count="2">
    <cacheField name="[Transaksi Penjualan].[Provinsi].[Provinsi]" caption="Provinsi" numFmtId="0" hierarchy="19" level="1">
      <sharedItems count="4">
        <s v="DKI Jakarta"/>
        <s v="Jawa Timur"/>
        <s v="Sulawesi Selatan"/>
        <s v="Sumatera Utara"/>
      </sharedItems>
    </cacheField>
    <cacheField name="[Measures].[Sum of Total]" caption="Sum of Total" numFmtId="0" hierarchy="27" level="32767"/>
  </cacheFields>
  <cacheHierarchies count="28">
    <cacheHierarchy uniqueName="[Master Cabang].[Kode Cabang]" caption="Kode Cabang" attribute="1" defaultMemberUniqueName="[Master Cabang].[Kode Cabang].[All]" allUniqueName="[Master Cabang].[Kode Cabang].[All]" dimensionUniqueName="[Master Cabang]" displayFolder="" count="0" memberValueDatatype="130" unbalanced="0"/>
    <cacheHierarchy uniqueName="[Master Cabang].[Nama Cabang]" caption="Nama Cabang" attribute="1" defaultMemberUniqueName="[Master Cabang].[Nama Cabang].[All]" allUniqueName="[Master Cabang].[Nama Cabang].[All]" dimensionUniqueName="[Master Cabang]" displayFolder="" count="0" memberValueDatatype="130" unbalanced="0"/>
    <cacheHierarchy uniqueName="[Master Cabang].[Lokasi]" caption="Lokasi" attribute="1" defaultMemberUniqueName="[Master Cabang].[Lokasi].[All]" allUniqueName="[Master Cabang].[Lokasi].[All]" dimensionUniqueName="[Master Cabang]" displayFolder="" count="0" memberValueDatatype="130" unbalanced="0"/>
    <cacheHierarchy uniqueName="[Master Cabang].[Provinsi]" caption="Provinsi" attribute="1" defaultMemberUniqueName="[Master Cabang].[Provinsi].[All]" allUniqueName="[Master Cabang].[Provinsi].[All]" dimensionUniqueName="[Master Cabang]" displayFolder="" count="0" memberValueDatatype="130" unbalanced="0"/>
    <cacheHierarchy uniqueName="[Master Produk].[No.]" caption="No." attribute="1" defaultMemberUniqueName="[Master Produk].[No.].[All]" allUniqueName="[Master Produk].[No.].[All]" dimensionUniqueName="[Master Produk]" displayFolder="" count="0" memberValueDatatype="20" unbalanced="0"/>
    <cacheHierarchy uniqueName="[Master Produk].[Kode Produk]" caption="Kode Produk" attribute="1" defaultMemberUniqueName="[Master Produk].[Kode Produk].[All]" allUniqueName="[Master Produk].[Kode Produk].[All]" dimensionUniqueName="[Master Produk]" displayFolder="" count="0" memberValueDatatype="130" unbalanced="0"/>
    <cacheHierarchy uniqueName="[Master Produk].[Kategori]" caption="Kategori" attribute="1" defaultMemberUniqueName="[Master Produk].[Kategori].[All]" allUniqueName="[Master Produk].[Kategori].[All]" dimensionUniqueName="[Master Produk]" displayFolder="" count="0" memberValueDatatype="130" unbalanced="0"/>
    <cacheHierarchy uniqueName="[Master Produk].[Nama Produk]" caption="Nama Produk" attribute="1" defaultMemberUniqueName="[Master Produk].[Nama Produk].[All]" allUniqueName="[Master Produk].[Nama Produk].[All]" dimensionUniqueName="[Master Produk]" displayFolder="" count="0" memberValueDatatype="130" unbalanced="0"/>
    <cacheHierarchy uniqueName="[Master Produk].[Harga]" caption="Harga" attribute="1" defaultMemberUniqueName="[Master Produk].[Harga].[All]" allUniqueName="[Master Produk].[Harga].[All]" dimensionUniqueName="[Master Produk]" displayFolder="" count="0" memberValueDatatype="20" unbalanced="0"/>
    <cacheHierarchy uniqueName="[Transaksi Penjualan].[Tanggal Transaksi]" caption="Tanggal Transaksi" attribute="1" time="1" defaultMemberUniqueName="[Transaksi Penjualan].[Tanggal Transaksi].[All]" allUniqueName="[Transaksi Penjualan].[Tanggal Transaksi].[All]" dimensionUniqueName="[Transaksi Penjualan]" displayFolder="" count="0" memberValueDatatype="7" unbalanced="0"/>
    <cacheHierarchy uniqueName="[Transaksi Penjualan].[Kode Transaksi]" caption="Kode Transaksi" attribute="1" defaultMemberUniqueName="[Transaksi Penjualan].[Kode Transaksi].[All]" allUniqueName="[Transaksi Penjualan].[Kode Transaksi].[All]" dimensionUniqueName="[Transaksi Penjualan]" displayFolder="" count="0" memberValueDatatype="130" unbalanced="0"/>
    <cacheHierarchy uniqueName="[Transaksi Penjualan].[Urutan]" caption="Urutan" attribute="1" defaultMemberUniqueName="[Transaksi Penjualan].[Urutan].[All]" allUniqueName="[Transaksi Penjualan].[Urutan].[All]" dimensionUniqueName="[Transaksi Penjualan]" displayFolder="" count="0" memberValueDatatype="20" unbalanced="0"/>
    <cacheHierarchy uniqueName="[Transaksi Penjualan].[Kode Produk]" caption="Kode Produk" attribute="1" defaultMemberUniqueName="[Transaksi Penjualan].[Kode Produk].[All]" allUniqueName="[Transaksi Penjualan].[Kode Produk].[All]" dimensionUniqueName="[Transaksi Penjualan]" displayFolder="" count="0" memberValueDatatype="130" unbalanced="0"/>
    <cacheHierarchy uniqueName="[Transaksi Penjualan].[Jumlah Pembelian]" caption="Jumlah Pembelian" attribute="1" defaultMemberUniqueName="[Transaksi Penjualan].[Jumlah Pembelian].[All]" allUniqueName="[Transaksi Penjualan].[Jumlah Pembelian].[All]" dimensionUniqueName="[Transaksi Penjualan]" displayFolder="" count="0" memberValueDatatype="20" unbalanced="0"/>
    <cacheHierarchy uniqueName="[Transaksi Penjualan].[Kode Cabang]" caption="Kode Cabang" attribute="1" defaultMemberUniqueName="[Transaksi Penjualan].[Kode Cabang].[All]" allUniqueName="[Transaksi Penjualan].[Kode Cabang].[All]" dimensionUniqueName="[Transaksi Penjualan]" displayFolder="" count="0" memberValueDatatype="130" unbalanced="0"/>
    <cacheHierarchy uniqueName="[Transaksi Penjualan].[Kategori]" caption="Kategori" attribute="1" defaultMemberUniqueName="[Transaksi Penjualan].[Kategori].[All]" allUniqueName="[Transaksi Penjualan].[Kategori].[All]" dimensionUniqueName="[Transaksi Penjualan]" displayFolder="" count="0" memberValueDatatype="130" unbalanced="0"/>
    <cacheHierarchy uniqueName="[Transaksi Penjualan].[Harga]" caption="Harga" attribute="1" defaultMemberUniqueName="[Transaksi Penjualan].[Harga].[All]" allUniqueName="[Transaksi Penjualan].[Harga].[All]" dimensionUniqueName="[Transaksi Penjualan]" displayFolder="" count="0" memberValueDatatype="20" unbalanced="0"/>
    <cacheHierarchy uniqueName="[Transaksi Penjualan].[Total]" caption="Total" attribute="1" defaultMemberUniqueName="[Transaksi Penjualan].[Total].[All]" allUniqueName="[Transaksi Penjualan].[Total].[All]" dimensionUniqueName="[Transaksi Penjualan]" displayFolder="" count="0" memberValueDatatype="20" unbalanced="0"/>
    <cacheHierarchy uniqueName="[Transaksi Penjualan].[Lokasi]" caption="Lokasi" attribute="1" defaultMemberUniqueName="[Transaksi Penjualan].[Lokasi].[All]" allUniqueName="[Transaksi Penjualan].[Lokasi].[All]" dimensionUniqueName="[Transaksi Penjualan]" displayFolder="" count="0" memberValueDatatype="130" unbalanced="0"/>
    <cacheHierarchy uniqueName="[Transaksi Penjualan].[Provinsi]" caption="Provinsi" attribute="1" defaultMemberUniqueName="[Transaksi Penjualan].[Provinsi].[All]" allUniqueName="[Transaksi Penjualan].[Provinsi].[All]" dimensionUniqueName="[Transaksi Penjualan]" displayFolder="" count="2" memberValueDatatype="130" unbalanced="0">
      <fieldsUsage count="2">
        <fieldUsage x="-1"/>
        <fieldUsage x="0"/>
      </fieldsUsage>
    </cacheHierarchy>
    <cacheHierarchy uniqueName="[Transaksi Penjualan].[Tanggal Transaksi (Month)]" caption="Tanggal Transaksi (Month)" attribute="1" defaultMemberUniqueName="[Transaksi Penjualan].[Tanggal Transaksi (Month)].[All]" allUniqueName="[Transaksi Penjualan].[Tanggal Transaksi (Month)].[All]" dimensionUniqueName="[Transaksi Penjualan]" displayFolder="" count="0" memberValueDatatype="130" unbalanced="0"/>
    <cacheHierarchy uniqueName="[Transaksi Penjualan].[Tanggal Transaksi (Month Index)]" caption="Tanggal Transaksi (Month Index)" attribute="1" defaultMemberUniqueName="[Transaksi Penjualan].[Tanggal Transaksi (Month Index)].[All]" allUniqueName="[Transaksi Penjualan].[Tanggal Transaksi (Month Index)].[All]" dimensionUniqueName="[Transaksi Penjualan]" displayFolder="" count="0" memberValueDatatype="20" unbalanced="0" hidden="1"/>
    <cacheHierarchy uniqueName="[Measures].[__XL_Count Master Produk]" caption="__XL_Count Master Produk" measure="1" displayFolder="" measureGroup="Master Produk" count="0" hidden="1"/>
    <cacheHierarchy uniqueName="[Measures].[__XL_Count Master Cabang]" caption="__XL_Count Master Cabang" measure="1" displayFolder="" measureGroup="Master Cabang" count="0" hidden="1"/>
    <cacheHierarchy uniqueName="[Measures].[__XL_Count Transaksi Penjualan]" caption="__XL_Count Transaksi Penjualan" measure="1" displayFolder="" measureGroup="Transaksi Penjualan" count="0" hidden="1"/>
    <cacheHierarchy uniqueName="[Measures].[__No measures defined]" caption="__No measures defined" measure="1" displayFolder="" count="0" hidden="1"/>
    <cacheHierarchy uniqueName="[Measures].[Count of Total]" caption="Count of Total" measure="1" displayFolder="" measureGroup="Transaksi Penjuala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otal]" caption="Sum of Total" measure="1" displayFolder="" measureGroup="Transaksi Penjuala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name="Master Cabang" uniqueName="[Master Cabang]" caption="Master Cabang"/>
    <dimension name="Master Produk" uniqueName="[Master Produk]" caption="Master Produk"/>
    <dimension measure="1" name="Measures" uniqueName="[Measures]" caption="Measures"/>
    <dimension name="Transaksi Penjualan" uniqueName="[Transaksi Penjualan]" caption="Transaksi Penjualan"/>
  </dimensions>
  <measureGroups count="3">
    <measureGroup name="Master Cabang" caption="Master Cabang"/>
    <measureGroup name="Master Produk" caption="Master Produk"/>
    <measureGroup name="Transaksi Penjualan" caption="Transaksi Penjualan"/>
  </measureGroups>
  <maps count="3">
    <map measureGroup="0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C27896-67A5-45D5-AB8F-CAF7186B772E}" name="PivotTable1" cacheId="57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chartFormat="2">
  <location ref="J3:P9" firstHeaderRow="1" firstDataRow="2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" fld="2" baseField="0" baseItem="0"/>
  </dataField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Sum of Total"/>
  </pivotHierarchies>
  <pivotTableStyleInfo name="PivotStyleLight16" showRowHeaders="1" showColHeaders="1" showRowStripes="0" showColStripes="0" showLastColumn="1"/>
  <rowHierarchiesUsage count="1">
    <rowHierarchyUsage hierarchyUsage="18"/>
  </rowHierarchiesUsage>
  <colHierarchiesUsage count="1"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ksi Penjual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A0690B-65D0-493B-ACA6-9A246F7093BE}" name="PivotTable2" cacheId="54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9">
  <location ref="I2:J14" firstHeaderRow="1" firstDataRow="1" firstDataCol="1"/>
  <pivotFields count="2"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dataField="1" subtotalTop="0" showAll="0" defaultSubtota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Sum of Total" fld="1" baseField="0" baseItem="0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ksi Penjual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4257CD-E73F-4949-B585-10CC78DD33D1}" name="PivotTable6" cacheId="72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>
  <location ref="C5:O10" firstHeaderRow="1" firstDataRow="2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colItems>
  <dataFields count="1">
    <dataField name="Sum of Total" fld="2" baseField="0" baseItem="3" numFmtId="166"/>
  </dataField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colHierarchiesUsage count="1">
    <colHierarchyUsage hierarchyUsage="2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ksi Penjual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29089F-98E8-4F85-B4A2-287A89294A4E}" name="PivotTable7" cacheId="153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>
  <location ref="K4:M24" firstHeaderRow="1" firstDataRow="1" firstDataCol="2"/>
  <pivotFields count="3">
    <pivotField axis="axisRow" compact="0" allDrilled="1" outline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0"/>
  </rowFields>
  <rowItems count="20">
    <i>
      <x/>
      <x/>
    </i>
    <i r="1">
      <x v="1"/>
    </i>
    <i r="1">
      <x v="2"/>
    </i>
    <i r="1">
      <x v="3"/>
    </i>
    <i r="1">
      <x v="4"/>
    </i>
    <i>
      <x v="1"/>
      <x/>
    </i>
    <i r="1">
      <x v="1"/>
    </i>
    <i r="1">
      <x v="2"/>
    </i>
    <i r="1">
      <x v="3"/>
    </i>
    <i r="1">
      <x v="4"/>
    </i>
    <i>
      <x v="2"/>
      <x/>
    </i>
    <i r="1">
      <x v="1"/>
    </i>
    <i r="1">
      <x v="2"/>
    </i>
    <i r="1">
      <x v="3"/>
    </i>
    <i r="1">
      <x v="4"/>
    </i>
    <i>
      <x v="3"/>
      <x/>
    </i>
    <i r="1">
      <x v="1"/>
    </i>
    <i r="1">
      <x v="2"/>
    </i>
    <i r="1">
      <x v="3"/>
    </i>
    <i r="1">
      <x v="4"/>
    </i>
  </rowItems>
  <colItems count="1">
    <i/>
  </colItems>
  <dataFields count="1">
    <dataField name="Sum of Total" fld="2" baseField="0" baseItem="0"/>
  </dataField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9"/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Transaksi Penjual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BE367D-85DF-4BA1-87B2-64C982731421}" name="PivotTable21" cacheId="164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>
  <location ref="J2:K6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Total" fld="1" baseField="0" baseItem="0"/>
  </dataField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ksi Penjual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3BFDE-80B1-445D-859E-58F45E702395}">
  <sheetPr>
    <tabColor rgb="FF002060"/>
  </sheetPr>
  <dimension ref="J3:S9"/>
  <sheetViews>
    <sheetView showGridLines="0" topLeftCell="I7" zoomScaleNormal="100" workbookViewId="0">
      <selection activeCell="V20" sqref="V20"/>
    </sheetView>
  </sheetViews>
  <sheetFormatPr defaultRowHeight="15" x14ac:dyDescent="0.25"/>
  <cols>
    <col min="10" max="10" width="13.140625" bestFit="1" customWidth="1"/>
    <col min="11" max="11" width="16.28515625" bestFit="1" customWidth="1"/>
    <col min="12" max="14" width="12" bestFit="1" customWidth="1"/>
    <col min="15" max="15" width="16.28515625" bestFit="1" customWidth="1"/>
    <col min="16" max="16" width="12" bestFit="1" customWidth="1"/>
  </cols>
  <sheetData>
    <row r="3" spans="10:19" x14ac:dyDescent="0.25">
      <c r="J3" s="4" t="s">
        <v>22</v>
      </c>
      <c r="K3" s="4" t="s">
        <v>16</v>
      </c>
    </row>
    <row r="4" spans="10:19" x14ac:dyDescent="0.25">
      <c r="J4" s="4" t="s">
        <v>10</v>
      </c>
      <c r="K4" t="s">
        <v>17</v>
      </c>
      <c r="L4" t="s">
        <v>18</v>
      </c>
      <c r="M4" t="s">
        <v>19</v>
      </c>
      <c r="N4" t="s">
        <v>20</v>
      </c>
      <c r="O4" t="s">
        <v>21</v>
      </c>
      <c r="P4" t="s">
        <v>15</v>
      </c>
    </row>
    <row r="5" spans="10:19" x14ac:dyDescent="0.25">
      <c r="J5" s="5" t="s">
        <v>11</v>
      </c>
      <c r="K5" s="6">
        <v>1384203000</v>
      </c>
      <c r="L5" s="6">
        <v>3929625000</v>
      </c>
      <c r="M5" s="6">
        <v>2813517000</v>
      </c>
      <c r="N5" s="6">
        <v>5039952000</v>
      </c>
      <c r="O5" s="6">
        <v>2023710000</v>
      </c>
      <c r="P5" s="6">
        <v>15191007000</v>
      </c>
      <c r="S5" s="7">
        <v>15191007000</v>
      </c>
    </row>
    <row r="6" spans="10:19" x14ac:dyDescent="0.25">
      <c r="J6" s="5" t="s">
        <v>12</v>
      </c>
      <c r="K6" s="6">
        <v>1401750000</v>
      </c>
      <c r="L6" s="6">
        <v>3901995000</v>
      </c>
      <c r="M6" s="6">
        <v>2875893000</v>
      </c>
      <c r="N6" s="6">
        <v>4891737000</v>
      </c>
      <c r="O6" s="6">
        <v>1963074000</v>
      </c>
      <c r="P6" s="6">
        <v>15034449000</v>
      </c>
      <c r="S6" s="7">
        <v>15034449000</v>
      </c>
    </row>
    <row r="7" spans="10:19" x14ac:dyDescent="0.25">
      <c r="J7" s="5" t="s">
        <v>13</v>
      </c>
      <c r="K7" s="6">
        <v>1410132000</v>
      </c>
      <c r="L7" s="6">
        <v>3973602000</v>
      </c>
      <c r="M7" s="6">
        <v>2944440000</v>
      </c>
      <c r="N7" s="6">
        <v>4901031000</v>
      </c>
      <c r="O7" s="6">
        <v>1982070000</v>
      </c>
      <c r="P7" s="6">
        <v>15211275000</v>
      </c>
      <c r="S7" s="7">
        <v>15211275000</v>
      </c>
    </row>
    <row r="8" spans="10:19" x14ac:dyDescent="0.25">
      <c r="J8" s="5" t="s">
        <v>14</v>
      </c>
      <c r="K8" s="6">
        <v>1321647000</v>
      </c>
      <c r="L8" s="6">
        <v>3806343000</v>
      </c>
      <c r="M8" s="6">
        <v>2781498000</v>
      </c>
      <c r="N8" s="6">
        <v>4714158000</v>
      </c>
      <c r="O8" s="6">
        <v>1901445000</v>
      </c>
      <c r="P8" s="6">
        <v>14525091000</v>
      </c>
      <c r="S8" s="7">
        <v>14525091000</v>
      </c>
    </row>
    <row r="9" spans="10:19" x14ac:dyDescent="0.25">
      <c r="J9" s="5" t="s">
        <v>15</v>
      </c>
      <c r="K9" s="6">
        <v>5517732000</v>
      </c>
      <c r="L9" s="6">
        <v>15611565000</v>
      </c>
      <c r="M9" s="6">
        <v>11415348000</v>
      </c>
      <c r="N9" s="6">
        <v>19546878000</v>
      </c>
      <c r="O9" s="6">
        <v>7870299000</v>
      </c>
      <c r="P9" s="6">
        <v>59961822000</v>
      </c>
      <c r="S9" s="8">
        <v>59961822000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A6D59-5758-4D5E-837A-9B1D7C07C2CE}">
  <sheetPr>
    <tabColor rgb="FF002060"/>
  </sheetPr>
  <dimension ref="I2:M15"/>
  <sheetViews>
    <sheetView showGridLines="0" topLeftCell="A10" zoomScale="85" zoomScaleNormal="85" workbookViewId="0">
      <selection activeCell="O46" sqref="O46"/>
    </sheetView>
  </sheetViews>
  <sheetFormatPr defaultRowHeight="15" x14ac:dyDescent="0.25"/>
  <cols>
    <col min="9" max="9" width="13.28515625" bestFit="1" customWidth="1"/>
    <col min="10" max="10" width="12" bestFit="1" customWidth="1"/>
    <col min="12" max="12" width="11.140625" bestFit="1" customWidth="1"/>
    <col min="13" max="13" width="12" bestFit="1" customWidth="1"/>
  </cols>
  <sheetData>
    <row r="2" spans="9:13" x14ac:dyDescent="0.25">
      <c r="I2" s="4" t="s">
        <v>10</v>
      </c>
      <c r="J2" t="s">
        <v>22</v>
      </c>
      <c r="L2" t="s">
        <v>10</v>
      </c>
      <c r="M2" t="s">
        <v>22</v>
      </c>
    </row>
    <row r="3" spans="9:13" x14ac:dyDescent="0.25">
      <c r="I3" s="5" t="s">
        <v>23</v>
      </c>
      <c r="J3" s="6">
        <v>4721781000</v>
      </c>
      <c r="L3" t="s">
        <v>23</v>
      </c>
      <c r="M3">
        <v>4721781000</v>
      </c>
    </row>
    <row r="4" spans="9:13" x14ac:dyDescent="0.25">
      <c r="I4" s="5" t="s">
        <v>24</v>
      </c>
      <c r="J4" s="6">
        <v>4082589000</v>
      </c>
      <c r="L4" t="s">
        <v>24</v>
      </c>
      <c r="M4">
        <v>4082589000</v>
      </c>
    </row>
    <row r="5" spans="9:13" x14ac:dyDescent="0.25">
      <c r="I5" s="5" t="s">
        <v>25</v>
      </c>
      <c r="J5" s="6">
        <v>4768815000</v>
      </c>
      <c r="L5" t="s">
        <v>25</v>
      </c>
      <c r="M5">
        <v>4768815000</v>
      </c>
    </row>
    <row r="6" spans="9:13" x14ac:dyDescent="0.25">
      <c r="I6" s="5" t="s">
        <v>26</v>
      </c>
      <c r="J6" s="6">
        <v>4692711000</v>
      </c>
      <c r="L6" t="s">
        <v>26</v>
      </c>
      <c r="M6">
        <v>4692711000</v>
      </c>
    </row>
    <row r="7" spans="9:13" x14ac:dyDescent="0.25">
      <c r="I7" s="5" t="s">
        <v>27</v>
      </c>
      <c r="J7" s="6">
        <v>4858890000</v>
      </c>
      <c r="L7" t="s">
        <v>27</v>
      </c>
      <c r="M7">
        <v>4858890000</v>
      </c>
    </row>
    <row r="8" spans="9:13" x14ac:dyDescent="0.25">
      <c r="I8" s="5" t="s">
        <v>28</v>
      </c>
      <c r="J8" s="6">
        <v>7943226000</v>
      </c>
      <c r="L8" t="s">
        <v>28</v>
      </c>
      <c r="M8">
        <v>7943226000</v>
      </c>
    </row>
    <row r="9" spans="9:13" x14ac:dyDescent="0.25">
      <c r="I9" s="5" t="s">
        <v>29</v>
      </c>
      <c r="J9" s="6">
        <v>4865133000</v>
      </c>
      <c r="L9" t="s">
        <v>29</v>
      </c>
      <c r="M9">
        <v>4865133000</v>
      </c>
    </row>
    <row r="10" spans="9:13" x14ac:dyDescent="0.25">
      <c r="I10" s="5" t="s">
        <v>30</v>
      </c>
      <c r="J10" s="6">
        <v>4943376000</v>
      </c>
      <c r="L10" t="s">
        <v>30</v>
      </c>
      <c r="M10">
        <v>4943376000</v>
      </c>
    </row>
    <row r="11" spans="9:13" x14ac:dyDescent="0.25">
      <c r="I11" s="5" t="s">
        <v>31</v>
      </c>
      <c r="J11" s="6">
        <v>4686954000</v>
      </c>
      <c r="L11" t="s">
        <v>31</v>
      </c>
      <c r="M11">
        <v>4686954000</v>
      </c>
    </row>
    <row r="12" spans="9:13" x14ac:dyDescent="0.25">
      <c r="I12" s="5" t="s">
        <v>32</v>
      </c>
      <c r="J12" s="6">
        <v>4824009000</v>
      </c>
      <c r="L12" t="s">
        <v>32</v>
      </c>
      <c r="M12">
        <v>4824009000</v>
      </c>
    </row>
    <row r="13" spans="9:13" x14ac:dyDescent="0.25">
      <c r="I13" s="5" t="s">
        <v>33</v>
      </c>
      <c r="J13" s="6">
        <v>4724394000</v>
      </c>
      <c r="L13" t="s">
        <v>33</v>
      </c>
      <c r="M13">
        <v>4724394000</v>
      </c>
    </row>
    <row r="14" spans="9:13" x14ac:dyDescent="0.25">
      <c r="I14" s="5" t="s">
        <v>34</v>
      </c>
      <c r="J14" s="6">
        <v>4849944000</v>
      </c>
      <c r="L14" t="s">
        <v>34</v>
      </c>
      <c r="M14">
        <v>4849944000</v>
      </c>
    </row>
    <row r="15" spans="9:13" x14ac:dyDescent="0.25">
      <c r="L15" t="s">
        <v>15</v>
      </c>
      <c r="M15">
        <v>59961822000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2E737-9D9F-494B-AC09-68B02AF6A49D}">
  <sheetPr>
    <tabColor rgb="FF002060"/>
  </sheetPr>
  <dimension ref="A1"/>
  <sheetViews>
    <sheetView showGridLines="0" workbookViewId="0">
      <selection activeCell="K11" sqref="K1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5B24E-B1F4-4641-AB33-60EBE13847DB}">
  <sheetPr>
    <tabColor rgb="FF002060"/>
  </sheetPr>
  <dimension ref="J1:O5"/>
  <sheetViews>
    <sheetView showGridLines="0" topLeftCell="G1" workbookViewId="0">
      <selection activeCell="S20" sqref="S20"/>
    </sheetView>
  </sheetViews>
  <sheetFormatPr defaultRowHeight="15" x14ac:dyDescent="0.25"/>
  <cols>
    <col min="10" max="10" width="14.5703125" bestFit="1" customWidth="1"/>
  </cols>
  <sheetData>
    <row r="1" spans="10:15" x14ac:dyDescent="0.25"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</row>
    <row r="2" spans="10:15" x14ac:dyDescent="0.25">
      <c r="J2" t="s">
        <v>6</v>
      </c>
      <c r="K2" s="2">
        <v>0.71</v>
      </c>
      <c r="L2" s="2">
        <v>0.64</v>
      </c>
      <c r="M2" s="3">
        <v>0.3</v>
      </c>
      <c r="N2" s="3">
        <v>0.6</v>
      </c>
      <c r="O2" s="3">
        <v>1</v>
      </c>
    </row>
    <row r="3" spans="10:15" x14ac:dyDescent="0.25">
      <c r="J3" t="s">
        <v>7</v>
      </c>
      <c r="K3" s="2">
        <v>0.75</v>
      </c>
      <c r="L3" s="2">
        <v>0.71</v>
      </c>
      <c r="M3" s="3">
        <v>0.3</v>
      </c>
      <c r="N3" s="3">
        <v>0.6</v>
      </c>
      <c r="O3" s="3">
        <v>1</v>
      </c>
    </row>
    <row r="4" spans="10:15" x14ac:dyDescent="0.25">
      <c r="J4" t="s">
        <v>8</v>
      </c>
      <c r="K4" s="2">
        <v>0.7</v>
      </c>
      <c r="L4" s="2">
        <v>0.64</v>
      </c>
      <c r="M4" s="3">
        <v>0.3</v>
      </c>
      <c r="N4" s="3">
        <v>0.6</v>
      </c>
      <c r="O4" s="3">
        <v>1</v>
      </c>
    </row>
    <row r="5" spans="10:15" x14ac:dyDescent="0.25">
      <c r="J5" t="s">
        <v>9</v>
      </c>
      <c r="K5" s="2">
        <v>0.72</v>
      </c>
      <c r="L5" s="2">
        <v>0.64</v>
      </c>
      <c r="M5" s="3">
        <v>0.3</v>
      </c>
      <c r="N5" s="3">
        <v>0.6</v>
      </c>
      <c r="O5" s="3"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78FCA-73DE-4661-BEDB-23DFAB0F3606}">
  <sheetPr>
    <tabColor rgb="FF002060"/>
  </sheetPr>
  <dimension ref="A1"/>
  <sheetViews>
    <sheetView showGridLines="0" workbookViewId="0">
      <selection activeCell="L7" sqref="L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6721B-968D-4F47-9A94-D9FA60027329}">
  <sheetPr>
    <tabColor rgb="FF002060"/>
  </sheetPr>
  <dimension ref="C5:O10"/>
  <sheetViews>
    <sheetView showGridLines="0" workbookViewId="0">
      <selection activeCell="R4" sqref="R4"/>
    </sheetView>
  </sheetViews>
  <sheetFormatPr defaultRowHeight="15" x14ac:dyDescent="0.25"/>
  <cols>
    <col min="3" max="3" width="16" bestFit="1" customWidth="1"/>
    <col min="4" max="4" width="16.28515625" bestFit="1" customWidth="1"/>
    <col min="5" max="15" width="5.5703125" bestFit="1" customWidth="1"/>
    <col min="16" max="16" width="13.85546875" customWidth="1"/>
    <col min="17" max="17" width="10.85546875" customWidth="1"/>
    <col min="18" max="18" width="13" customWidth="1"/>
  </cols>
  <sheetData>
    <row r="5" spans="3:15" x14ac:dyDescent="0.25">
      <c r="C5" s="4" t="s">
        <v>22</v>
      </c>
      <c r="D5" s="4" t="s">
        <v>16</v>
      </c>
    </row>
    <row r="6" spans="3:15" x14ac:dyDescent="0.25">
      <c r="C6" s="4" t="s">
        <v>10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30</v>
      </c>
      <c r="L6" t="s">
        <v>31</v>
      </c>
      <c r="M6" t="s">
        <v>32</v>
      </c>
      <c r="N6" t="s">
        <v>33</v>
      </c>
      <c r="O6" t="s">
        <v>34</v>
      </c>
    </row>
    <row r="7" spans="3:15" x14ac:dyDescent="0.25">
      <c r="C7" s="5" t="s">
        <v>6</v>
      </c>
      <c r="D7" s="9">
        <v>1146918000</v>
      </c>
      <c r="E7" s="9">
        <v>1131936000</v>
      </c>
      <c r="F7" s="9">
        <v>1232142000</v>
      </c>
      <c r="G7" s="9">
        <v>1216968000</v>
      </c>
      <c r="H7" s="9">
        <v>1233651000</v>
      </c>
      <c r="I7" s="9">
        <v>1961511000</v>
      </c>
      <c r="J7" s="9">
        <v>1228740000</v>
      </c>
      <c r="K7" s="9">
        <v>1244187000</v>
      </c>
      <c r="L7" s="9">
        <v>1175751000</v>
      </c>
      <c r="M7" s="9">
        <v>1217175000</v>
      </c>
      <c r="N7" s="9">
        <v>1181367000</v>
      </c>
      <c r="O7" s="9">
        <v>1220661000</v>
      </c>
    </row>
    <row r="8" spans="3:15" x14ac:dyDescent="0.25">
      <c r="C8" s="5" t="s">
        <v>7</v>
      </c>
      <c r="D8" s="9">
        <v>1159143000</v>
      </c>
      <c r="E8" s="9">
        <v>726828000</v>
      </c>
      <c r="F8" s="9">
        <v>1080648000</v>
      </c>
      <c r="G8" s="9">
        <v>1165098000</v>
      </c>
      <c r="H8" s="9">
        <v>1192554000</v>
      </c>
      <c r="I8" s="9">
        <v>1972425000</v>
      </c>
      <c r="J8" s="9">
        <v>1240389000</v>
      </c>
      <c r="K8" s="9">
        <v>1171311000</v>
      </c>
      <c r="L8" s="9">
        <v>1178658000</v>
      </c>
      <c r="M8" s="9">
        <v>1222905000</v>
      </c>
      <c r="N8" s="9">
        <v>1159743000</v>
      </c>
      <c r="O8" s="9">
        <v>1255389000</v>
      </c>
    </row>
    <row r="9" spans="3:15" x14ac:dyDescent="0.25">
      <c r="C9" s="5" t="s">
        <v>8</v>
      </c>
      <c r="D9" s="9">
        <v>1243698000</v>
      </c>
      <c r="E9" s="9">
        <v>1132632000</v>
      </c>
      <c r="F9" s="9">
        <v>1216308000</v>
      </c>
      <c r="G9" s="9">
        <v>1153572000</v>
      </c>
      <c r="H9" s="9">
        <v>1205337000</v>
      </c>
      <c r="I9" s="9">
        <v>1983798000</v>
      </c>
      <c r="J9" s="9">
        <v>1198776000</v>
      </c>
      <c r="K9" s="9">
        <v>1284951000</v>
      </c>
      <c r="L9" s="9">
        <v>1161942000</v>
      </c>
      <c r="M9" s="9">
        <v>1123635000</v>
      </c>
      <c r="N9" s="9">
        <v>1150305000</v>
      </c>
      <c r="O9" s="9">
        <v>1179495000</v>
      </c>
    </row>
    <row r="10" spans="3:15" x14ac:dyDescent="0.25">
      <c r="C10" s="5" t="s">
        <v>9</v>
      </c>
      <c r="D10" s="9">
        <v>1172022000</v>
      </c>
      <c r="E10" s="9">
        <v>1091193000</v>
      </c>
      <c r="F10" s="9">
        <v>1239717000</v>
      </c>
      <c r="G10" s="9">
        <v>1157073000</v>
      </c>
      <c r="H10" s="9">
        <v>1227348000</v>
      </c>
      <c r="I10" s="9">
        <v>2025492000</v>
      </c>
      <c r="J10" s="9">
        <v>1197228000</v>
      </c>
      <c r="K10" s="9">
        <v>1242927000</v>
      </c>
      <c r="L10" s="9">
        <v>1170603000</v>
      </c>
      <c r="M10" s="9">
        <v>1260294000</v>
      </c>
      <c r="N10" s="9">
        <v>1232979000</v>
      </c>
      <c r="O10" s="9">
        <v>1194399000</v>
      </c>
    </row>
  </sheetData>
  <pageMargins left="0.7" right="0.7" top="0.75" bottom="0.75" header="0.3" footer="0.3"/>
  <pageSetup orientation="portrait"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negative="1" xr2:uid="{ABE5A37C-6144-4366-81EE-CC99A099D83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Sparklines!D7:O7</xm:f>
              <xm:sqref>R7</xm:sqref>
            </x14:sparkline>
            <x14:sparkline>
              <xm:f>Sparklines!D8:O8</xm:f>
              <xm:sqref>R8</xm:sqref>
            </x14:sparkline>
            <x14:sparkline>
              <xm:f>Sparklines!D9:O9</xm:f>
              <xm:sqref>R9</xm:sqref>
            </x14:sparkline>
            <x14:sparkline>
              <xm:f>Sparklines!D10:O10</xm:f>
              <xm:sqref>R10</xm:sqref>
            </x14:sparkline>
          </x14:sparklines>
        </x14:sparklineGroup>
        <x14:sparklineGroup type="column" displayEmptyCellsAs="gap" xr2:uid="{0215397D-E466-44BF-85E5-1F68E3DADDF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Sparklines!D7:O7</xm:f>
              <xm:sqref>Q7</xm:sqref>
            </x14:sparkline>
            <x14:sparkline>
              <xm:f>Sparklines!D8:O8</xm:f>
              <xm:sqref>Q8</xm:sqref>
            </x14:sparkline>
            <x14:sparkline>
              <xm:f>Sparklines!D9:O9</xm:f>
              <xm:sqref>Q9</xm:sqref>
            </x14:sparkline>
            <x14:sparkline>
              <xm:f>Sparklines!D10:O10</xm:f>
              <xm:sqref>Q10</xm:sqref>
            </x14:sparkline>
          </x14:sparklines>
        </x14:sparklineGroup>
        <x14:sparklineGroup displayEmptyCellsAs="gap" xr2:uid="{1528A1B3-3353-4923-AD90-590FA8436C3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Sparklines!D7:O7</xm:f>
              <xm:sqref>P7</xm:sqref>
            </x14:sparkline>
            <x14:sparkline>
              <xm:f>Sparklines!D8:O8</xm:f>
              <xm:sqref>P8</xm:sqref>
            </x14:sparkline>
            <x14:sparkline>
              <xm:f>Sparklines!D9:O9</xm:f>
              <xm:sqref>P9</xm:sqref>
            </x14:sparkline>
            <x14:sparkline>
              <xm:f>Sparklines!D10:O10</xm:f>
              <xm:sqref>P10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A4FD4-6805-40B9-95CB-9B6ED41DBB28}">
  <sheetPr>
    <tabColor rgb="FF002060"/>
  </sheetPr>
  <dimension ref="K4:R24"/>
  <sheetViews>
    <sheetView showGridLines="0" topLeftCell="E22" zoomScale="85" zoomScaleNormal="85" workbookViewId="0">
      <selection activeCell="T33" sqref="T33"/>
    </sheetView>
  </sheetViews>
  <sheetFormatPr defaultRowHeight="15" x14ac:dyDescent="0.25"/>
  <cols>
    <col min="11" max="11" width="20.140625" bestFit="1" customWidth="1"/>
    <col min="12" max="12" width="17.85546875" bestFit="1" customWidth="1"/>
    <col min="13" max="13" width="12" bestFit="1" customWidth="1"/>
    <col min="14" max="14" width="9" bestFit="1" customWidth="1"/>
    <col min="15" max="15" width="5.7109375" bestFit="1" customWidth="1"/>
    <col min="16" max="16" width="16.28515625" bestFit="1" customWidth="1"/>
    <col min="17" max="17" width="11.28515625" bestFit="1" customWidth="1"/>
    <col min="18" max="30" width="17.85546875" bestFit="1" customWidth="1"/>
    <col min="31" max="31" width="11.28515625" bestFit="1" customWidth="1"/>
  </cols>
  <sheetData>
    <row r="4" spans="11:18" x14ac:dyDescent="0.25">
      <c r="K4" s="4" t="s">
        <v>0</v>
      </c>
      <c r="L4" s="4" t="s">
        <v>35</v>
      </c>
      <c r="M4" t="s">
        <v>22</v>
      </c>
      <c r="P4" t="str">
        <f t="shared" ref="P4:P24" si="0">K4</f>
        <v>Provinsi</v>
      </c>
      <c r="Q4" t="str">
        <f t="shared" ref="Q4:Q24" si="1">L4</f>
        <v>Kategori</v>
      </c>
      <c r="R4" t="str">
        <f t="shared" ref="R4:R24" si="2">M4</f>
        <v>Sum of Total</v>
      </c>
    </row>
    <row r="5" spans="11:18" x14ac:dyDescent="0.25">
      <c r="K5" t="s">
        <v>6</v>
      </c>
      <c r="L5" t="s">
        <v>17</v>
      </c>
      <c r="M5" s="6">
        <v>1384203000</v>
      </c>
      <c r="P5" t="str">
        <f t="shared" si="0"/>
        <v>DKI Jakarta</v>
      </c>
      <c r="Q5" t="str">
        <f t="shared" si="1"/>
        <v>Aksesoris</v>
      </c>
      <c r="R5">
        <f t="shared" si="2"/>
        <v>1384203000</v>
      </c>
    </row>
    <row r="6" spans="11:18" x14ac:dyDescent="0.25">
      <c r="K6" t="s">
        <v>6</v>
      </c>
      <c r="L6" t="s">
        <v>18</v>
      </c>
      <c r="M6" s="6">
        <v>3929625000</v>
      </c>
      <c r="P6" t="str">
        <f t="shared" si="0"/>
        <v>DKI Jakarta</v>
      </c>
      <c r="Q6" t="str">
        <f t="shared" si="1"/>
        <v>Atasan</v>
      </c>
      <c r="R6">
        <f t="shared" si="2"/>
        <v>3929625000</v>
      </c>
    </row>
    <row r="7" spans="11:18" x14ac:dyDescent="0.25">
      <c r="K7" t="s">
        <v>6</v>
      </c>
      <c r="L7" t="s">
        <v>19</v>
      </c>
      <c r="M7" s="6">
        <v>2813517000</v>
      </c>
      <c r="P7" t="str">
        <f t="shared" si="0"/>
        <v>DKI Jakarta</v>
      </c>
      <c r="Q7" t="str">
        <f t="shared" si="1"/>
        <v>Bawahan</v>
      </c>
      <c r="R7">
        <f t="shared" si="2"/>
        <v>2813517000</v>
      </c>
    </row>
    <row r="8" spans="11:18" x14ac:dyDescent="0.25">
      <c r="K8" t="s">
        <v>6</v>
      </c>
      <c r="L8" t="s">
        <v>20</v>
      </c>
      <c r="M8" s="6">
        <v>5039952000</v>
      </c>
      <c r="P8" t="str">
        <f t="shared" si="0"/>
        <v>DKI Jakarta</v>
      </c>
      <c r="Q8" t="str">
        <f t="shared" si="1"/>
        <v>Gaun</v>
      </c>
      <c r="R8">
        <f t="shared" si="2"/>
        <v>5039952000</v>
      </c>
    </row>
    <row r="9" spans="11:18" x14ac:dyDescent="0.25">
      <c r="K9" t="s">
        <v>6</v>
      </c>
      <c r="L9" t="s">
        <v>21</v>
      </c>
      <c r="M9" s="6">
        <v>2023710000</v>
      </c>
      <c r="P9" t="str">
        <f t="shared" si="0"/>
        <v>DKI Jakarta</v>
      </c>
      <c r="Q9" t="str">
        <f t="shared" si="1"/>
        <v>Pakaian Olahraga</v>
      </c>
      <c r="R9">
        <f t="shared" si="2"/>
        <v>2023710000</v>
      </c>
    </row>
    <row r="10" spans="11:18" x14ac:dyDescent="0.25">
      <c r="K10" t="s">
        <v>7</v>
      </c>
      <c r="L10" t="s">
        <v>17</v>
      </c>
      <c r="M10" s="6">
        <v>1321647000</v>
      </c>
      <c r="P10" t="str">
        <f t="shared" si="0"/>
        <v>Jawa Timur</v>
      </c>
      <c r="Q10" t="str">
        <f t="shared" si="1"/>
        <v>Aksesoris</v>
      </c>
      <c r="R10">
        <f t="shared" si="2"/>
        <v>1321647000</v>
      </c>
    </row>
    <row r="11" spans="11:18" x14ac:dyDescent="0.25">
      <c r="K11" t="s">
        <v>7</v>
      </c>
      <c r="L11" t="s">
        <v>18</v>
      </c>
      <c r="M11" s="6">
        <v>3806343000</v>
      </c>
      <c r="P11" t="str">
        <f t="shared" si="0"/>
        <v>Jawa Timur</v>
      </c>
      <c r="Q11" t="str">
        <f t="shared" si="1"/>
        <v>Atasan</v>
      </c>
      <c r="R11">
        <f t="shared" si="2"/>
        <v>3806343000</v>
      </c>
    </row>
    <row r="12" spans="11:18" x14ac:dyDescent="0.25">
      <c r="K12" t="s">
        <v>7</v>
      </c>
      <c r="L12" t="s">
        <v>19</v>
      </c>
      <c r="M12" s="6">
        <v>2781498000</v>
      </c>
      <c r="P12" t="str">
        <f t="shared" si="0"/>
        <v>Jawa Timur</v>
      </c>
      <c r="Q12" t="str">
        <f t="shared" si="1"/>
        <v>Bawahan</v>
      </c>
      <c r="R12">
        <f t="shared" si="2"/>
        <v>2781498000</v>
      </c>
    </row>
    <row r="13" spans="11:18" x14ac:dyDescent="0.25">
      <c r="K13" t="s">
        <v>7</v>
      </c>
      <c r="L13" t="s">
        <v>20</v>
      </c>
      <c r="M13" s="6">
        <v>4714158000</v>
      </c>
      <c r="P13" t="str">
        <f t="shared" si="0"/>
        <v>Jawa Timur</v>
      </c>
      <c r="Q13" t="str">
        <f t="shared" si="1"/>
        <v>Gaun</v>
      </c>
      <c r="R13">
        <f t="shared" si="2"/>
        <v>4714158000</v>
      </c>
    </row>
    <row r="14" spans="11:18" x14ac:dyDescent="0.25">
      <c r="K14" t="s">
        <v>7</v>
      </c>
      <c r="L14" t="s">
        <v>21</v>
      </c>
      <c r="M14" s="6">
        <v>1901445000</v>
      </c>
      <c r="P14" t="str">
        <f t="shared" si="0"/>
        <v>Jawa Timur</v>
      </c>
      <c r="Q14" t="str">
        <f t="shared" si="1"/>
        <v>Pakaian Olahraga</v>
      </c>
      <c r="R14">
        <f t="shared" si="2"/>
        <v>1901445000</v>
      </c>
    </row>
    <row r="15" spans="11:18" x14ac:dyDescent="0.25">
      <c r="K15" t="s">
        <v>8</v>
      </c>
      <c r="L15" t="s">
        <v>17</v>
      </c>
      <c r="M15" s="6">
        <v>1401750000</v>
      </c>
      <c r="P15" t="str">
        <f t="shared" si="0"/>
        <v>Sulawesi Selatan</v>
      </c>
      <c r="Q15" t="str">
        <f t="shared" si="1"/>
        <v>Aksesoris</v>
      </c>
      <c r="R15">
        <f t="shared" si="2"/>
        <v>1401750000</v>
      </c>
    </row>
    <row r="16" spans="11:18" x14ac:dyDescent="0.25">
      <c r="K16" t="s">
        <v>8</v>
      </c>
      <c r="L16" t="s">
        <v>18</v>
      </c>
      <c r="M16" s="6">
        <v>3901995000</v>
      </c>
      <c r="P16" t="str">
        <f t="shared" si="0"/>
        <v>Sulawesi Selatan</v>
      </c>
      <c r="Q16" t="str">
        <f t="shared" si="1"/>
        <v>Atasan</v>
      </c>
      <c r="R16">
        <f t="shared" si="2"/>
        <v>3901995000</v>
      </c>
    </row>
    <row r="17" spans="11:18" x14ac:dyDescent="0.25">
      <c r="K17" t="s">
        <v>8</v>
      </c>
      <c r="L17" t="s">
        <v>19</v>
      </c>
      <c r="M17" s="6">
        <v>2875893000</v>
      </c>
      <c r="P17" t="str">
        <f t="shared" si="0"/>
        <v>Sulawesi Selatan</v>
      </c>
      <c r="Q17" t="str">
        <f t="shared" si="1"/>
        <v>Bawahan</v>
      </c>
      <c r="R17">
        <f t="shared" si="2"/>
        <v>2875893000</v>
      </c>
    </row>
    <row r="18" spans="11:18" x14ac:dyDescent="0.25">
      <c r="K18" t="s">
        <v>8</v>
      </c>
      <c r="L18" t="s">
        <v>20</v>
      </c>
      <c r="M18" s="6">
        <v>4891737000</v>
      </c>
      <c r="P18" t="str">
        <f t="shared" si="0"/>
        <v>Sulawesi Selatan</v>
      </c>
      <c r="Q18" t="str">
        <f t="shared" si="1"/>
        <v>Gaun</v>
      </c>
      <c r="R18">
        <f t="shared" si="2"/>
        <v>4891737000</v>
      </c>
    </row>
    <row r="19" spans="11:18" x14ac:dyDescent="0.25">
      <c r="K19" t="s">
        <v>8</v>
      </c>
      <c r="L19" t="s">
        <v>21</v>
      </c>
      <c r="M19" s="6">
        <v>1963074000</v>
      </c>
      <c r="P19" t="str">
        <f t="shared" si="0"/>
        <v>Sulawesi Selatan</v>
      </c>
      <c r="Q19" t="str">
        <f t="shared" si="1"/>
        <v>Pakaian Olahraga</v>
      </c>
      <c r="R19">
        <f t="shared" si="2"/>
        <v>1963074000</v>
      </c>
    </row>
    <row r="20" spans="11:18" x14ac:dyDescent="0.25">
      <c r="K20" t="s">
        <v>9</v>
      </c>
      <c r="L20" t="s">
        <v>17</v>
      </c>
      <c r="M20" s="6">
        <v>1410132000</v>
      </c>
      <c r="P20" t="str">
        <f t="shared" si="0"/>
        <v>Sumatera Utara</v>
      </c>
      <c r="Q20" t="str">
        <f t="shared" si="1"/>
        <v>Aksesoris</v>
      </c>
      <c r="R20">
        <f t="shared" si="2"/>
        <v>1410132000</v>
      </c>
    </row>
    <row r="21" spans="11:18" x14ac:dyDescent="0.25">
      <c r="K21" t="s">
        <v>9</v>
      </c>
      <c r="L21" t="s">
        <v>18</v>
      </c>
      <c r="M21" s="6">
        <v>3973602000</v>
      </c>
      <c r="P21" t="str">
        <f t="shared" si="0"/>
        <v>Sumatera Utara</v>
      </c>
      <c r="Q21" t="str">
        <f t="shared" si="1"/>
        <v>Atasan</v>
      </c>
      <c r="R21">
        <f t="shared" si="2"/>
        <v>3973602000</v>
      </c>
    </row>
    <row r="22" spans="11:18" x14ac:dyDescent="0.25">
      <c r="K22" t="s">
        <v>9</v>
      </c>
      <c r="L22" t="s">
        <v>19</v>
      </c>
      <c r="M22" s="6">
        <v>2944440000</v>
      </c>
      <c r="P22" t="str">
        <f t="shared" si="0"/>
        <v>Sumatera Utara</v>
      </c>
      <c r="Q22" t="str">
        <f t="shared" si="1"/>
        <v>Bawahan</v>
      </c>
      <c r="R22">
        <f t="shared" si="2"/>
        <v>2944440000</v>
      </c>
    </row>
    <row r="23" spans="11:18" x14ac:dyDescent="0.25">
      <c r="K23" t="s">
        <v>9</v>
      </c>
      <c r="L23" t="s">
        <v>20</v>
      </c>
      <c r="M23" s="6">
        <v>4901031000</v>
      </c>
      <c r="P23" t="str">
        <f t="shared" si="0"/>
        <v>Sumatera Utara</v>
      </c>
      <c r="Q23" t="str">
        <f t="shared" si="1"/>
        <v>Gaun</v>
      </c>
      <c r="R23">
        <f t="shared" si="2"/>
        <v>4901031000</v>
      </c>
    </row>
    <row r="24" spans="11:18" x14ac:dyDescent="0.25">
      <c r="K24" t="s">
        <v>9</v>
      </c>
      <c r="L24" t="s">
        <v>21</v>
      </c>
      <c r="M24" s="6">
        <v>1982070000</v>
      </c>
      <c r="P24" t="str">
        <f t="shared" si="0"/>
        <v>Sumatera Utara</v>
      </c>
      <c r="Q24" t="str">
        <f t="shared" si="1"/>
        <v>Pakaian Olahraga</v>
      </c>
      <c r="R24">
        <f t="shared" si="2"/>
        <v>1982070000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5D904-0B9B-499F-8FD2-A312336FF0DA}">
  <sheetPr>
    <tabColor rgb="FF002060"/>
  </sheetPr>
  <dimension ref="J2:K12"/>
  <sheetViews>
    <sheetView showGridLines="0" tabSelected="1" workbookViewId="0">
      <selection activeCell="N10" sqref="N10"/>
    </sheetView>
  </sheetViews>
  <sheetFormatPr defaultRowHeight="15" x14ac:dyDescent="0.25"/>
  <cols>
    <col min="10" max="10" width="16" bestFit="1" customWidth="1"/>
    <col min="11" max="11" width="12" bestFit="1" customWidth="1"/>
  </cols>
  <sheetData>
    <row r="2" spans="10:11" x14ac:dyDescent="0.25">
      <c r="J2" s="4" t="s">
        <v>10</v>
      </c>
      <c r="K2" t="s">
        <v>22</v>
      </c>
    </row>
    <row r="3" spans="10:11" x14ac:dyDescent="0.25">
      <c r="J3" s="5" t="s">
        <v>6</v>
      </c>
      <c r="K3" s="6">
        <v>15191007000</v>
      </c>
    </row>
    <row r="4" spans="10:11" x14ac:dyDescent="0.25">
      <c r="J4" s="5" t="s">
        <v>7</v>
      </c>
      <c r="K4" s="6">
        <v>14525091000</v>
      </c>
    </row>
    <row r="5" spans="10:11" x14ac:dyDescent="0.25">
      <c r="J5" s="5" t="s">
        <v>8</v>
      </c>
      <c r="K5" s="6">
        <v>15034449000</v>
      </c>
    </row>
    <row r="6" spans="10:11" x14ac:dyDescent="0.25">
      <c r="J6" s="5" t="s">
        <v>9</v>
      </c>
      <c r="K6" s="6">
        <v>15211275000</v>
      </c>
    </row>
    <row r="8" spans="10:11" x14ac:dyDescent="0.25">
      <c r="J8" t="str">
        <f t="shared" ref="J8:K12" si="0">J2</f>
        <v>Row Labels</v>
      </c>
      <c r="K8" t="str">
        <f t="shared" si="0"/>
        <v>Sum of Total</v>
      </c>
    </row>
    <row r="9" spans="10:11" x14ac:dyDescent="0.25">
      <c r="J9" t="str">
        <f t="shared" si="0"/>
        <v>DKI Jakarta</v>
      </c>
      <c r="K9">
        <f t="shared" si="0"/>
        <v>15191007000</v>
      </c>
    </row>
    <row r="10" spans="10:11" x14ac:dyDescent="0.25">
      <c r="J10" t="str">
        <f t="shared" si="0"/>
        <v>Jawa Timur</v>
      </c>
      <c r="K10">
        <f t="shared" si="0"/>
        <v>14525091000</v>
      </c>
    </row>
    <row r="11" spans="10:11" x14ac:dyDescent="0.25">
      <c r="J11" t="str">
        <f t="shared" si="0"/>
        <v>Sulawesi Selatan</v>
      </c>
      <c r="K11">
        <f t="shared" si="0"/>
        <v>15034449000</v>
      </c>
    </row>
    <row r="12" spans="10:11" x14ac:dyDescent="0.25">
      <c r="J12" t="str">
        <f t="shared" si="0"/>
        <v>Sumatera Utara</v>
      </c>
      <c r="K12">
        <f t="shared" si="0"/>
        <v>15211275000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Props1.xml><?xml version="1.0" encoding="utf-8"?>
<ds:datastoreItem xmlns:ds="http://schemas.openxmlformats.org/officeDocument/2006/customXml" ds:itemID="{FE8189C5-A5A2-4ED2-BD67-50AFA8FA43FF}">
  <ds:schemaRefs/>
</ds:datastoreItem>
</file>

<file path=customXml/itemProps2.xml><?xml version="1.0" encoding="utf-8"?>
<ds:datastoreItem xmlns:ds="http://schemas.openxmlformats.org/officeDocument/2006/customXml" ds:itemID="{B8A96A44-3C08-4D2B-A693-5F43D18CE4FD}">
  <ds:schemaRefs/>
</ds:datastoreItem>
</file>

<file path=customXml/itemProps3.xml><?xml version="1.0" encoding="utf-8"?>
<ds:datastoreItem xmlns:ds="http://schemas.openxmlformats.org/officeDocument/2006/customXml" ds:itemID="{5E5A82CA-BCFE-48AC-A75A-32A95B9E3511}">
  <ds:schemaRefs/>
</ds:datastoreItem>
</file>

<file path=customXml/itemProps4.xml><?xml version="1.0" encoding="utf-8"?>
<ds:datastoreItem xmlns:ds="http://schemas.openxmlformats.org/officeDocument/2006/customXml" ds:itemID="{AB0E946D-4FB1-435A-9C13-6F9B8879E388}">
  <ds:schemaRefs/>
</ds:datastoreItem>
</file>

<file path=customXml/itemProps5.xml><?xml version="1.0" encoding="utf-8"?>
<ds:datastoreItem xmlns:ds="http://schemas.openxmlformats.org/officeDocument/2006/customXml" ds:itemID="{BF4088AB-128C-4DDE-81AB-56DC6EB64110}">
  <ds:schemaRefs/>
</ds:datastoreItem>
</file>

<file path=customXml/itemProps6.xml><?xml version="1.0" encoding="utf-8"?>
<ds:datastoreItem xmlns:ds="http://schemas.openxmlformats.org/officeDocument/2006/customXml" ds:itemID="{D9967D4E-1BF8-4F21-B893-525661E51007}">
  <ds:schemaRefs/>
</ds:datastoreItem>
</file>

<file path=customXml/itemProps7.xml><?xml version="1.0" encoding="utf-8"?>
<ds:datastoreItem xmlns:ds="http://schemas.openxmlformats.org/officeDocument/2006/customXml" ds:itemID="{FE057ABC-B319-4EA9-BAA3-482AD691D98A}">
  <ds:schemaRefs/>
</ds:datastoreItem>
</file>

<file path=customXml/itemProps8.xml><?xml version="1.0" encoding="utf-8"?>
<ds:datastoreItem xmlns:ds="http://schemas.openxmlformats.org/officeDocument/2006/customXml" ds:itemID="{74ACCE59-11B6-42A8-8F34-3214B0620769}">
  <ds:schemaRefs/>
</ds:datastoreItem>
</file>

<file path=customXml/itemProps9.xml><?xml version="1.0" encoding="utf-8"?>
<ds:datastoreItem xmlns:ds="http://schemas.openxmlformats.org/officeDocument/2006/customXml" ds:itemID="{2AE5370B-5BCB-4F62-A91E-74CDF470ED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OverlainGridlines</vt:lpstr>
      <vt:lpstr>VerticalLines</vt:lpstr>
      <vt:lpstr>BlockShading</vt:lpstr>
      <vt:lpstr>VerticalBullet</vt:lpstr>
      <vt:lpstr>Lollipop</vt:lpstr>
      <vt:lpstr>Sparklines</vt:lpstr>
      <vt:lpstr>Treemap</vt:lpstr>
      <vt:lpstr>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 bossexcel</dc:creator>
  <cp:lastModifiedBy>Fathurrahman</cp:lastModifiedBy>
  <dcterms:created xsi:type="dcterms:W3CDTF">2024-01-15T07:24:14Z</dcterms:created>
  <dcterms:modified xsi:type="dcterms:W3CDTF">2026-03-09T15:58:43Z</dcterms:modified>
</cp:coreProperties>
</file>