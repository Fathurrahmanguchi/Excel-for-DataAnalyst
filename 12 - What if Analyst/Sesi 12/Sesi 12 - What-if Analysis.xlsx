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ur punya\Sesi 12\Sesi 12\"/>
    </mc:Choice>
  </mc:AlternateContent>
  <xr:revisionPtr revIDLastSave="0" documentId="13_ncr:1_{857E9D41-6B5A-43D3-9B78-4C17B23BBF37}" xr6:coauthVersionLast="47" xr6:coauthVersionMax="47" xr10:uidLastSave="{00000000-0000-0000-0000-000000000000}"/>
  <bookViews>
    <workbookView xWindow="-120" yWindow="-120" windowWidth="20730" windowHeight="11760" tabRatio="917" activeTab="5" xr2:uid="{9FDCABC1-371F-431B-9ADE-12799A3764A4}"/>
  </bookViews>
  <sheets>
    <sheet name="Master Cabang" sheetId="1" r:id="rId1"/>
    <sheet name="Master Produk" sheetId="3" r:id="rId2"/>
    <sheet name="Katagori Produk" sheetId="4" r:id="rId3"/>
    <sheet name="Scenario Summary" sheetId="32" r:id="rId4"/>
    <sheet name="Scenario" sheetId="27" r:id="rId5"/>
    <sheet name="GoalSeek" sheetId="28" r:id="rId6"/>
    <sheet name="DataTable" sheetId="29" r:id="rId7"/>
    <sheet name="ForecastSheet" sheetId="30" r:id="rId8"/>
    <sheet name="ForecastFunc" sheetId="31" r:id="rId9"/>
  </sheets>
  <definedNames>
    <definedName name="solver_adj" localSheetId="5" hidden="1">GoalSeek!$C$14:$C$15,GoalSeek!$C$18</definedName>
    <definedName name="solver_cvg" localSheetId="5" hidden="1">0.0001</definedName>
    <definedName name="solver_drv" localSheetId="5" hidden="1">1</definedName>
    <definedName name="solver_eng" localSheetId="6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GoalSeek!$C$14</definedName>
    <definedName name="solver_lhs2" localSheetId="5" hidden="1">GoalSeek!$C$15</definedName>
    <definedName name="solver_lhs3" localSheetId="5" hidden="1">GoalSeek!$C$18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6" hidden="1">1</definedName>
    <definedName name="solver_neg" localSheetId="5" hidden="1">1</definedName>
    <definedName name="solver_nod" localSheetId="5" hidden="1">2147483647</definedName>
    <definedName name="solver_num" localSheetId="6" hidden="1">0</definedName>
    <definedName name="solver_num" localSheetId="5" hidden="1">3</definedName>
    <definedName name="solver_nwt" localSheetId="5" hidden="1">1</definedName>
    <definedName name="solver_opt" localSheetId="6" hidden="1">DataTable!$D$17</definedName>
    <definedName name="solver_opt" localSheetId="5" hidden="1">GoalSeek!$C$21</definedName>
    <definedName name="solver_pre" localSheetId="5" hidden="1">0.000001</definedName>
    <definedName name="solver_rbv" localSheetId="5" hidden="1">1</definedName>
    <definedName name="solver_rel1" localSheetId="5" hidden="1">4</definedName>
    <definedName name="solver_rel2" localSheetId="5" hidden="1">1</definedName>
    <definedName name="solver_rel3" localSheetId="5" hidden="1">3</definedName>
    <definedName name="solver_rhs1" localSheetId="5" hidden="1">"integer"</definedName>
    <definedName name="solver_rhs2" localSheetId="5" hidden="1">22000</definedName>
    <definedName name="solver_rhs3" localSheetId="5" hidden="1">14000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6" hidden="1">1</definedName>
    <definedName name="solver_typ" localSheetId="5" hidden="1">3</definedName>
    <definedName name="solver_val" localSheetId="6" hidden="1">0</definedName>
    <definedName name="solver_val" localSheetId="5" hidden="1">100000000</definedName>
    <definedName name="solver_ver" localSheetId="6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7" l="1"/>
  <c r="C13" i="27"/>
  <c r="C7" i="27"/>
  <c r="C8" i="27"/>
  <c r="C9" i="27"/>
  <c r="C10" i="27"/>
  <c r="C6" i="27"/>
  <c r="C9" i="29"/>
  <c r="F30" i="29"/>
  <c r="C35" i="29"/>
  <c r="D5" i="28"/>
  <c r="D8" i="28"/>
  <c r="D19" i="28"/>
  <c r="D10" i="28"/>
  <c r="D16" i="28"/>
  <c r="D21" i="28"/>
  <c r="C12" i="27" l="1"/>
</calcChain>
</file>

<file path=xl/sharedStrings.xml><?xml version="1.0" encoding="utf-8"?>
<sst xmlns="http://schemas.openxmlformats.org/spreadsheetml/2006/main" count="239" uniqueCount="150">
  <si>
    <t>Surabaya</t>
  </si>
  <si>
    <t>Medan</t>
  </si>
  <si>
    <t>Makassar</t>
  </si>
  <si>
    <t>DKI Jakarta</t>
  </si>
  <si>
    <t>Jawa Timur</t>
  </si>
  <si>
    <t>Sumatera Utara</t>
  </si>
  <si>
    <t>Sulawesi Selatan</t>
  </si>
  <si>
    <t>Nama Produk</t>
  </si>
  <si>
    <t>Kode Cabang</t>
  </si>
  <si>
    <t>Nama Cabang</t>
  </si>
  <si>
    <t>Lokasi</t>
  </si>
  <si>
    <t>Provinsi</t>
  </si>
  <si>
    <t>CAB001</t>
  </si>
  <si>
    <t>Cabang Medan</t>
  </si>
  <si>
    <t>CAB002</t>
  </si>
  <si>
    <t>Cabang Surabaya</t>
  </si>
  <si>
    <t>CAB003</t>
  </si>
  <si>
    <t>Cabang Makasar</t>
  </si>
  <si>
    <t>CAB004</t>
  </si>
  <si>
    <t>No.</t>
  </si>
  <si>
    <t>Kode Produk Final</t>
  </si>
  <si>
    <t>Kategori</t>
  </si>
  <si>
    <t>ATS-0001</t>
  </si>
  <si>
    <t>Atasan</t>
  </si>
  <si>
    <t>T-shirt</t>
  </si>
  <si>
    <t>ATS-0002</t>
  </si>
  <si>
    <t>Blus</t>
  </si>
  <si>
    <t>ATS-0003</t>
  </si>
  <si>
    <t>Kemeja</t>
  </si>
  <si>
    <t>ATS-0004</t>
  </si>
  <si>
    <t>Sweater</t>
  </si>
  <si>
    <t>ATS-0005</t>
  </si>
  <si>
    <t>Jaket</t>
  </si>
  <si>
    <t>BWH-0006</t>
  </si>
  <si>
    <t>Bawahan</t>
  </si>
  <si>
    <t>Celana Jeans</t>
  </si>
  <si>
    <t>BWH-0007</t>
  </si>
  <si>
    <t>Rok</t>
  </si>
  <si>
    <t>BWH-0008</t>
  </si>
  <si>
    <t>Legging</t>
  </si>
  <si>
    <t>BWH-0009</t>
  </si>
  <si>
    <t>Celana Panjang</t>
  </si>
  <si>
    <t>BWH-0010</t>
  </si>
  <si>
    <t>Hot Pants</t>
  </si>
  <si>
    <t>GUN-0011</t>
  </si>
  <si>
    <t>Gaun</t>
  </si>
  <si>
    <t>Dress</t>
  </si>
  <si>
    <t>GUN-0012</t>
  </si>
  <si>
    <t>Jumpsuit</t>
  </si>
  <si>
    <t>GUN-0013</t>
  </si>
  <si>
    <t>Maxi Dress</t>
  </si>
  <si>
    <t>GUN-0014</t>
  </si>
  <si>
    <t>Kaftan</t>
  </si>
  <si>
    <t>GUN-0015</t>
  </si>
  <si>
    <t>Overall</t>
  </si>
  <si>
    <t>AKS-0016</t>
  </si>
  <si>
    <t>Aksesoris</t>
  </si>
  <si>
    <t>Kaus Kaki</t>
  </si>
  <si>
    <t>AKS-0017</t>
  </si>
  <si>
    <t>Syal</t>
  </si>
  <si>
    <t>AKS-0018</t>
  </si>
  <si>
    <t>Topi</t>
  </si>
  <si>
    <t>AKS-0019</t>
  </si>
  <si>
    <t>Ikat Pinggang</t>
  </si>
  <si>
    <t>AKS-0020</t>
  </si>
  <si>
    <t>Kacamata</t>
  </si>
  <si>
    <t>OLR-0021</t>
  </si>
  <si>
    <t>Pakaian Olahraga</t>
  </si>
  <si>
    <t>Legging Olahraga</t>
  </si>
  <si>
    <t>OLR-0022</t>
  </si>
  <si>
    <t>Jersey</t>
  </si>
  <si>
    <t>OLR-0023</t>
  </si>
  <si>
    <t>Celana Pendek</t>
  </si>
  <si>
    <t>OLR-0024</t>
  </si>
  <si>
    <t>Kaos Olahraga</t>
  </si>
  <si>
    <t>OLR-0025</t>
  </si>
  <si>
    <t>Celana Training</t>
  </si>
  <si>
    <t>Kode Kategori</t>
  </si>
  <si>
    <t>Nama Kategori</t>
  </si>
  <si>
    <t>ATS</t>
  </si>
  <si>
    <t>BWH</t>
  </si>
  <si>
    <t>GUN</t>
  </si>
  <si>
    <t>AKS</t>
  </si>
  <si>
    <t>OLR</t>
  </si>
  <si>
    <t>Cabang Jakarta</t>
  </si>
  <si>
    <t>Jakarta</t>
  </si>
  <si>
    <t>Harga</t>
  </si>
  <si>
    <t>Revenue</t>
  </si>
  <si>
    <t>case 2</t>
  </si>
  <si>
    <t>case 1</t>
  </si>
  <si>
    <t>Depreciation</t>
  </si>
  <si>
    <t>Biaya Lain</t>
  </si>
  <si>
    <t>Gaji/Tunjangan</t>
  </si>
  <si>
    <t>Biaya Admin</t>
  </si>
  <si>
    <t>Biaya Kantor</t>
  </si>
  <si>
    <t>COGS</t>
  </si>
  <si>
    <t>Asumsi</t>
  </si>
  <si>
    <t>Net Income</t>
  </si>
  <si>
    <t>Total Biaya</t>
  </si>
  <si>
    <t>Omset</t>
  </si>
  <si>
    <t>Profit &amp; Loss DQFashions - Scenario Manager</t>
  </si>
  <si>
    <t>Income</t>
  </si>
  <si>
    <t>Total Cost</t>
  </si>
  <si>
    <t>COGS per produk</t>
  </si>
  <si>
    <t>Harga per Produk</t>
  </si>
  <si>
    <t>Jumlah Produk Terjual</t>
  </si>
  <si>
    <t>Solver (Advanced Goal Seek)</t>
  </si>
  <si>
    <t>Goal Seek</t>
  </si>
  <si>
    <t>Harga Jual (Kelipatan)</t>
  </si>
  <si>
    <t>Harga Jual (Start)</t>
  </si>
  <si>
    <t>Jumlah Terjual (Kelipatan)</t>
  </si>
  <si>
    <t>Jumlah Terjual (Start)</t>
  </si>
  <si>
    <t>Fixed Costs</t>
  </si>
  <si>
    <t>Variable Cost per Produk</t>
  </si>
  <si>
    <t>Produk Terjual</t>
  </si>
  <si>
    <t>Assumptions</t>
  </si>
  <si>
    <t>Total Costs</t>
  </si>
  <si>
    <t>Contribution Margin</t>
  </si>
  <si>
    <t>Variable Costs</t>
  </si>
  <si>
    <t>Double Variable</t>
  </si>
  <si>
    <t>Units</t>
  </si>
  <si>
    <t>Single Variable</t>
  </si>
  <si>
    <t>Sales</t>
  </si>
  <si>
    <t>Bulan</t>
  </si>
  <si>
    <t>As-Is</t>
  </si>
  <si>
    <t>10% Increase: Semua komponen biaya dinaikan 10%</t>
  </si>
  <si>
    <t>case 3</t>
  </si>
  <si>
    <t>Efficiency: Biaya Admin dan Gaji dikurangi 5%, yang lain tetap</t>
  </si>
  <si>
    <t>Case 1 - As-Is</t>
  </si>
  <si>
    <t>Created by Ikin Solihin on 8/2/2025
Modified by Ikin Solihin on 8/2/2025</t>
  </si>
  <si>
    <t>0.3025</t>
  </si>
  <si>
    <t>0.0605</t>
  </si>
  <si>
    <t>0.09075</t>
  </si>
  <si>
    <t>0.1452</t>
  </si>
  <si>
    <t>Case 2 - 10% Increase</t>
  </si>
  <si>
    <t>0.33275</t>
  </si>
  <si>
    <t>0.06655</t>
  </si>
  <si>
    <t>0.099825</t>
  </si>
  <si>
    <t>Case 3: Efficiency</t>
  </si>
  <si>
    <t>Created by Ikin Solihin on 8/2/2025</t>
  </si>
  <si>
    <t>0.04075</t>
  </si>
  <si>
    <t>0.2525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</si>
  <si>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</si>
  <si>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</si>
  <si>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</si>
  <si>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</si>
  <si>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</si>
  <si>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</si>
  <si>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</si>
  <si>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 xml:space="preserve">Total Biaya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</si>
</sst>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#,##0,,&quot; juta&quot;"/>
    <numFmt numFmtId="169" formatCode="mmm\ 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/>
    <xf numFmtId="0" fontId="0" fillId="0" borderId="0" xfId="0" quotePrefix="1"/>
    <xf numFmtId="167" fontId="0" fillId="0" borderId="0" xfId="0" applyNumberFormat="1"/>
    <xf numFmtId="0" fontId="2" fillId="0" borderId="0" xfId="0" applyFont="1"/>
    <xf numFmtId="10" fontId="0" fillId="0" borderId="0" xfId="0" applyNumberFormat="1"/>
    <xf numFmtId="10" fontId="0" fillId="0" borderId="0" xfId="2" applyNumberFormat="1" applyFont="1" applyBorder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41" fontId="0" fillId="0" borderId="0" xfId="1" applyFont="1"/>
    <xf numFmtId="41" fontId="2" fillId="2" borderId="2" xfId="1" applyFont="1" applyFill="1" applyBorder="1"/>
    <xf numFmtId="0" fontId="2" fillId="0" borderId="2" xfId="0" applyFont="1" applyBorder="1"/>
    <xf numFmtId="41" fontId="0" fillId="2" borderId="2" xfId="1" applyFont="1" applyFill="1" applyBorder="1"/>
    <xf numFmtId="41" fontId="0" fillId="0" borderId="2" xfId="1" applyFont="1" applyBorder="1"/>
    <xf numFmtId="164" fontId="6" fillId="0" borderId="2" xfId="3" applyNumberFormat="1" applyFont="1" applyBorder="1"/>
    <xf numFmtId="0" fontId="6" fillId="2" borderId="2" xfId="3" applyFont="1" applyFill="1" applyBorder="1"/>
    <xf numFmtId="0" fontId="0" fillId="0" borderId="2" xfId="0" applyBorder="1"/>
    <xf numFmtId="0" fontId="6" fillId="0" borderId="2" xfId="3" applyFont="1" applyBorder="1"/>
    <xf numFmtId="6" fontId="6" fillId="0" borderId="2" xfId="3" applyNumberFormat="1" applyFont="1" applyBorder="1"/>
    <xf numFmtId="0" fontId="7" fillId="4" borderId="2" xfId="3" applyFont="1" applyFill="1" applyBorder="1" applyAlignment="1">
      <alignment horizontal="centerContinuous" wrapText="1"/>
    </xf>
    <xf numFmtId="43" fontId="0" fillId="2" borderId="2" xfId="0" applyNumberFormat="1" applyFill="1" applyBorder="1"/>
    <xf numFmtId="0" fontId="6" fillId="0" borderId="0" xfId="3" applyFont="1"/>
    <xf numFmtId="43" fontId="0" fillId="2" borderId="3" xfId="4" applyNumberFormat="1" applyFont="1" applyFill="1" applyBorder="1"/>
    <xf numFmtId="6" fontId="0" fillId="2" borderId="4" xfId="4" applyNumberFormat="1" applyFont="1" applyFill="1" applyBorder="1"/>
    <xf numFmtId="43" fontId="0" fillId="2" borderId="5" xfId="4" applyNumberFormat="1" applyFont="1" applyFill="1" applyBorder="1"/>
    <xf numFmtId="43" fontId="6" fillId="2" borderId="2" xfId="3" applyNumberFormat="1" applyFont="1" applyFill="1" applyBorder="1"/>
    <xf numFmtId="43" fontId="6" fillId="0" borderId="2" xfId="3" applyNumberFormat="1" applyFont="1" applyBorder="1"/>
    <xf numFmtId="43" fontId="0" fillId="2" borderId="6" xfId="4" applyNumberFormat="1" applyFont="1" applyFill="1" applyBorder="1"/>
    <xf numFmtId="43" fontId="0" fillId="2" borderId="2" xfId="4" applyNumberFormat="1" applyFont="1" applyFill="1" applyBorder="1"/>
    <xf numFmtId="168" fontId="0" fillId="0" borderId="0" xfId="0" applyNumberFormat="1"/>
    <xf numFmtId="169" fontId="0" fillId="0" borderId="0" xfId="0" applyNumberFormat="1"/>
    <xf numFmtId="41" fontId="0" fillId="0" borderId="0" xfId="1" applyFont="1" applyFill="1" applyBorder="1"/>
    <xf numFmtId="41" fontId="2" fillId="0" borderId="0" xfId="1" applyFont="1" applyFill="1" applyBorder="1"/>
    <xf numFmtId="41" fontId="2" fillId="2" borderId="0" xfId="1" applyFont="1" applyFill="1" applyBorder="1"/>
    <xf numFmtId="41" fontId="2" fillId="0" borderId="0" xfId="1" applyFont="1"/>
    <xf numFmtId="167" fontId="0" fillId="0" borderId="0" xfId="5" applyNumberFormat="1" applyFont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41" fontId="0" fillId="0" borderId="0" xfId="0" applyNumberFormat="1" applyFill="1" applyBorder="1" applyAlignment="1"/>
    <xf numFmtId="41" fontId="0" fillId="0" borderId="8" xfId="0" applyNumberFormat="1" applyFill="1" applyBorder="1" applyAlignment="1"/>
    <xf numFmtId="0" fontId="8" fillId="5" borderId="9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0" fillId="0" borderId="10" xfId="0" applyFill="1" applyBorder="1" applyAlignment="1"/>
    <xf numFmtId="0" fontId="9" fillId="6" borderId="0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left"/>
    </xf>
    <xf numFmtId="0" fontId="11" fillId="5" borderId="7" xfId="0" applyFont="1" applyFill="1" applyBorder="1" applyAlignment="1">
      <alignment horizontal="right"/>
    </xf>
    <xf numFmtId="0" fontId="11" fillId="5" borderId="9" xfId="0" applyFont="1" applyFill="1" applyBorder="1" applyAlignment="1">
      <alignment horizontal="right"/>
    </xf>
    <xf numFmtId="10" fontId="0" fillId="7" borderId="0" xfId="0" applyNumberFormat="1" applyFill="1" applyBorder="1" applyAlignment="1"/>
    <xf numFmtId="0" fontId="12" fillId="0" borderId="0" xfId="0" applyFont="1" applyFill="1" applyBorder="1" applyAlignment="1">
      <alignment vertical="top" wrapText="1"/>
    </xf>
  </cellXfs>
  <cellStyles count="6">
    <cellStyle name="Comma" xfId="5" builtinId="3"/>
    <cellStyle name="Comma [0]" xfId="1" builtinId="6"/>
    <cellStyle name="Currency 2" xfId="4" xr:uid="{B17163B8-7901-48C5-A223-02E4B710C78F}"/>
    <cellStyle name="Normal" xfId="0" builtinId="0"/>
    <cellStyle name="Normal 2 2" xfId="3" xr:uid="{9881230B-7A96-4BE0-A39C-9CC0B83EF88B}"/>
    <cellStyle name="Percent" xfId="2" builtinId="5"/>
  </cellStyles>
  <dxfs count="7"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_(* #,##0_);_(* \(#,##0\);_(* &quot;-&quot;??_);_(@_)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91EBA-1875-4515-A355-FC2AD6A9E240}" name="ltMasterCabang" displayName="ltMasterCabang" ref="A1:D5" totalsRowShown="0" headerRowDxfId="6" headerRowBorderDxfId="5">
  <autoFilter ref="A1:D5" xr:uid="{C5291EBA-1875-4515-A355-FC2AD6A9E240}"/>
  <tableColumns count="4">
    <tableColumn id="1" xr3:uid="{B46F6C4D-5EBE-4B2A-9C96-30BDE177EA6E}" name="Kode Cabang"/>
    <tableColumn id="2" xr3:uid="{5ECEBE5A-2866-496D-AC5A-5F1BA2EEC48F}" name="Nama Cabang"/>
    <tableColumn id="3" xr3:uid="{BB83D0AA-189A-4744-BF81-044557B8E48A}" name="Lokasi"/>
    <tableColumn id="4" xr3:uid="{B156A655-C0A3-454F-89B3-DFEFC1426A3F}" name="Provinsi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D7E335-095A-4547-8A4B-CCE7E92476EA}" name="ltMasterProduk" displayName="ltMasterProduk" ref="A1:E26" totalsRowShown="0" headerRowDxfId="4" headerRowBorderDxfId="3">
  <autoFilter ref="A1:E26" xr:uid="{95D7E335-095A-4547-8A4B-CCE7E92476EA}"/>
  <tableColumns count="5">
    <tableColumn id="1" xr3:uid="{9699224F-4BF2-4B12-ADBC-2A6C5EF7908F}" name="No."/>
    <tableColumn id="2" xr3:uid="{131D683C-BB9B-4204-8FE3-F4BA1A65E161}" name="Kode Produk Final"/>
    <tableColumn id="3" xr3:uid="{DEF50C8E-749C-4EEE-9051-503DDBD54764}" name="Kategori"/>
    <tableColumn id="4" xr3:uid="{54E9A248-78B8-439F-8DB2-E5E87B3D1891}" name="Nama Produk"/>
    <tableColumn id="5" xr3:uid="{DDD8D221-F627-4F2E-BDF2-74F793828A6E}" name="Harga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28FAEA-6D6B-43DC-B7CF-A38210A4F7FB}" name="ltKatagori" displayName="ltKatagori" ref="A1:B6" totalsRowShown="0" headerRowDxfId="1" headerRowBorderDxfId="0">
  <autoFilter ref="A1:B6" xr:uid="{A828FAEA-6D6B-43DC-B7CF-A38210A4F7FB}"/>
  <tableColumns count="2">
    <tableColumn id="1" xr3:uid="{7FF5EE11-9A50-45B8-8D2D-A69013F4DC2D}" name="Kode Kategori"/>
    <tableColumn id="2" xr3:uid="{AEF71BC0-027C-437B-AAD1-C141804A2E63}" name="Nama Kategor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894-A76D-4E08-82B9-37CECD595A83}">
  <sheetPr>
    <tabColor theme="8" tint="-0.499984740745262"/>
  </sheetPr>
  <dimension ref="A1:D5"/>
  <sheetViews>
    <sheetView showGridLines="0" zoomScaleNormal="100" workbookViewId="0">
      <selection activeCell="G9" sqref="G9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3" width="13.85546875" bestFit="1" customWidth="1"/>
    <col min="4" max="4" width="15.5703125" bestFit="1" customWidth="1"/>
  </cols>
  <sheetData>
    <row r="1" spans="1:4" ht="15.75" thickBot="1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ht="15.75" thickTop="1" x14ac:dyDescent="0.25">
      <c r="A2" t="s">
        <v>12</v>
      </c>
      <c r="B2" t="s">
        <v>13</v>
      </c>
      <c r="C2" t="s">
        <v>1</v>
      </c>
      <c r="D2" t="s">
        <v>5</v>
      </c>
    </row>
    <row r="3" spans="1:4" x14ac:dyDescent="0.25">
      <c r="A3" t="s">
        <v>14</v>
      </c>
      <c r="B3" t="s">
        <v>15</v>
      </c>
      <c r="C3" t="s">
        <v>0</v>
      </c>
      <c r="D3" t="s">
        <v>4</v>
      </c>
    </row>
    <row r="4" spans="1:4" x14ac:dyDescent="0.25">
      <c r="A4" t="s">
        <v>16</v>
      </c>
      <c r="B4" t="s">
        <v>17</v>
      </c>
      <c r="C4" t="s">
        <v>2</v>
      </c>
      <c r="D4" t="s">
        <v>6</v>
      </c>
    </row>
    <row r="5" spans="1:4" x14ac:dyDescent="0.25">
      <c r="A5" t="s">
        <v>18</v>
      </c>
      <c r="B5" t="s">
        <v>84</v>
      </c>
      <c r="C5" t="s">
        <v>85</v>
      </c>
      <c r="D5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79D7-A832-4C54-B4A9-A81889F5492F}">
  <sheetPr>
    <tabColor theme="8" tint="-0.499984740745262"/>
  </sheetPr>
  <dimension ref="A1:E26"/>
  <sheetViews>
    <sheetView showGridLines="0" zoomScaleNormal="100" workbookViewId="0"/>
  </sheetViews>
  <sheetFormatPr defaultRowHeight="15" x14ac:dyDescent="0.25"/>
  <cols>
    <col min="2" max="2" width="18.42578125" customWidth="1"/>
    <col min="3" max="3" width="10.140625" customWidth="1"/>
    <col min="4" max="4" width="14.42578125" customWidth="1"/>
    <col min="5" max="5" width="12.570312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7</v>
      </c>
      <c r="E1" s="1" t="s">
        <v>86</v>
      </c>
    </row>
    <row r="2" spans="1:5" ht="15.75" thickTop="1" x14ac:dyDescent="0.25">
      <c r="A2">
        <v>1</v>
      </c>
      <c r="B2" s="2" t="s">
        <v>22</v>
      </c>
      <c r="C2" t="s">
        <v>23</v>
      </c>
      <c r="D2" t="s">
        <v>24</v>
      </c>
      <c r="E2" s="3">
        <v>165000</v>
      </c>
    </row>
    <row r="3" spans="1:5" x14ac:dyDescent="0.25">
      <c r="A3">
        <v>2</v>
      </c>
      <c r="B3" s="2" t="s">
        <v>25</v>
      </c>
      <c r="C3" t="s">
        <v>23</v>
      </c>
      <c r="D3" t="s">
        <v>26</v>
      </c>
      <c r="E3" s="3">
        <v>192000</v>
      </c>
    </row>
    <row r="4" spans="1:5" x14ac:dyDescent="0.25">
      <c r="A4">
        <v>3</v>
      </c>
      <c r="B4" s="2" t="s">
        <v>27</v>
      </c>
      <c r="C4" t="s">
        <v>23</v>
      </c>
      <c r="D4" t="s">
        <v>28</v>
      </c>
      <c r="E4" s="3">
        <v>249000</v>
      </c>
    </row>
    <row r="5" spans="1:5" x14ac:dyDescent="0.25">
      <c r="A5">
        <v>4</v>
      </c>
      <c r="B5" s="2" t="s">
        <v>29</v>
      </c>
      <c r="C5" t="s">
        <v>23</v>
      </c>
      <c r="D5" t="s">
        <v>30</v>
      </c>
      <c r="E5" s="3">
        <v>231000</v>
      </c>
    </row>
    <row r="6" spans="1:5" x14ac:dyDescent="0.25">
      <c r="A6">
        <v>5</v>
      </c>
      <c r="B6" s="2" t="s">
        <v>31</v>
      </c>
      <c r="C6" t="s">
        <v>23</v>
      </c>
      <c r="D6" t="s">
        <v>32</v>
      </c>
      <c r="E6" s="3">
        <v>801000</v>
      </c>
    </row>
    <row r="7" spans="1:5" x14ac:dyDescent="0.25">
      <c r="A7">
        <v>6</v>
      </c>
      <c r="B7" s="2" t="s">
        <v>33</v>
      </c>
      <c r="C7" t="s">
        <v>34</v>
      </c>
      <c r="D7" t="s">
        <v>35</v>
      </c>
      <c r="E7" s="3">
        <v>402000</v>
      </c>
    </row>
    <row r="8" spans="1:5" x14ac:dyDescent="0.25">
      <c r="A8">
        <v>7</v>
      </c>
      <c r="B8" s="2" t="s">
        <v>36</v>
      </c>
      <c r="C8" t="s">
        <v>34</v>
      </c>
      <c r="D8" t="s">
        <v>37</v>
      </c>
      <c r="E8" s="3">
        <v>288000</v>
      </c>
    </row>
    <row r="9" spans="1:5" x14ac:dyDescent="0.25">
      <c r="A9">
        <v>8</v>
      </c>
      <c r="B9" s="2" t="s">
        <v>38</v>
      </c>
      <c r="C9" t="s">
        <v>34</v>
      </c>
      <c r="D9" t="s">
        <v>39</v>
      </c>
      <c r="E9" s="3">
        <v>195000</v>
      </c>
    </row>
    <row r="10" spans="1:5" x14ac:dyDescent="0.25">
      <c r="A10">
        <v>9</v>
      </c>
      <c r="B10" s="2" t="s">
        <v>40</v>
      </c>
      <c r="C10" t="s">
        <v>34</v>
      </c>
      <c r="D10" t="s">
        <v>41</v>
      </c>
      <c r="E10" s="3">
        <v>168000</v>
      </c>
    </row>
    <row r="11" spans="1:5" x14ac:dyDescent="0.25">
      <c r="A11">
        <v>10</v>
      </c>
      <c r="B11" s="2" t="s">
        <v>42</v>
      </c>
      <c r="C11" t="s">
        <v>34</v>
      </c>
      <c r="D11" t="s">
        <v>43</v>
      </c>
      <c r="E11" s="3">
        <v>153000</v>
      </c>
    </row>
    <row r="12" spans="1:5" x14ac:dyDescent="0.25">
      <c r="A12">
        <v>11</v>
      </c>
      <c r="B12" s="2" t="s">
        <v>44</v>
      </c>
      <c r="C12" t="s">
        <v>45</v>
      </c>
      <c r="D12" t="s">
        <v>46</v>
      </c>
      <c r="E12" s="3">
        <v>597000</v>
      </c>
    </row>
    <row r="13" spans="1:5" x14ac:dyDescent="0.25">
      <c r="A13">
        <v>12</v>
      </c>
      <c r="B13" s="2" t="s">
        <v>47</v>
      </c>
      <c r="C13" t="s">
        <v>45</v>
      </c>
      <c r="D13" t="s">
        <v>48</v>
      </c>
      <c r="E13" s="3">
        <v>267000</v>
      </c>
    </row>
    <row r="14" spans="1:5" x14ac:dyDescent="0.25">
      <c r="A14">
        <v>13</v>
      </c>
      <c r="B14" s="2" t="s">
        <v>49</v>
      </c>
      <c r="C14" t="s">
        <v>45</v>
      </c>
      <c r="D14" t="s">
        <v>50</v>
      </c>
      <c r="E14" s="3">
        <v>705000</v>
      </c>
    </row>
    <row r="15" spans="1:5" x14ac:dyDescent="0.25">
      <c r="A15">
        <v>14</v>
      </c>
      <c r="B15" s="2" t="s">
        <v>51</v>
      </c>
      <c r="C15" t="s">
        <v>45</v>
      </c>
      <c r="D15" t="s">
        <v>52</v>
      </c>
      <c r="E15" s="3">
        <v>276000</v>
      </c>
    </row>
    <row r="16" spans="1:5" x14ac:dyDescent="0.25">
      <c r="A16">
        <v>15</v>
      </c>
      <c r="B16" s="2" t="s">
        <v>53</v>
      </c>
      <c r="C16" t="s">
        <v>45</v>
      </c>
      <c r="D16" t="s">
        <v>54</v>
      </c>
      <c r="E16" s="3">
        <v>234000</v>
      </c>
    </row>
    <row r="17" spans="1:5" x14ac:dyDescent="0.25">
      <c r="A17">
        <v>16</v>
      </c>
      <c r="B17" s="2" t="s">
        <v>55</v>
      </c>
      <c r="C17" t="s">
        <v>56</v>
      </c>
      <c r="D17" t="s">
        <v>57</v>
      </c>
      <c r="E17" s="3">
        <v>21000</v>
      </c>
    </row>
    <row r="18" spans="1:5" x14ac:dyDescent="0.25">
      <c r="A18">
        <v>17</v>
      </c>
      <c r="B18" s="2" t="s">
        <v>58</v>
      </c>
      <c r="C18" t="s">
        <v>56</v>
      </c>
      <c r="D18" t="s">
        <v>59</v>
      </c>
      <c r="E18" s="3">
        <v>135000</v>
      </c>
    </row>
    <row r="19" spans="1:5" x14ac:dyDescent="0.25">
      <c r="A19">
        <v>18</v>
      </c>
      <c r="B19" s="2" t="s">
        <v>60</v>
      </c>
      <c r="C19" t="s">
        <v>56</v>
      </c>
      <c r="D19" t="s">
        <v>61</v>
      </c>
      <c r="E19" s="3">
        <v>105000</v>
      </c>
    </row>
    <row r="20" spans="1:5" x14ac:dyDescent="0.25">
      <c r="A20">
        <v>19</v>
      </c>
      <c r="B20" s="2" t="s">
        <v>62</v>
      </c>
      <c r="C20" t="s">
        <v>56</v>
      </c>
      <c r="D20" t="s">
        <v>63</v>
      </c>
      <c r="E20" s="3">
        <v>75000</v>
      </c>
    </row>
    <row r="21" spans="1:5" x14ac:dyDescent="0.25">
      <c r="A21">
        <v>20</v>
      </c>
      <c r="B21" s="2" t="s">
        <v>64</v>
      </c>
      <c r="C21" t="s">
        <v>56</v>
      </c>
      <c r="D21" t="s">
        <v>65</v>
      </c>
      <c r="E21" s="3">
        <v>246000</v>
      </c>
    </row>
    <row r="22" spans="1:5" x14ac:dyDescent="0.25">
      <c r="A22">
        <v>21</v>
      </c>
      <c r="B22" s="2" t="s">
        <v>66</v>
      </c>
      <c r="C22" t="s">
        <v>67</v>
      </c>
      <c r="D22" t="s">
        <v>68</v>
      </c>
      <c r="E22" s="3">
        <v>195000</v>
      </c>
    </row>
    <row r="23" spans="1:5" x14ac:dyDescent="0.25">
      <c r="A23">
        <v>22</v>
      </c>
      <c r="B23" s="2" t="s">
        <v>69</v>
      </c>
      <c r="C23" t="s">
        <v>67</v>
      </c>
      <c r="D23" t="s">
        <v>70</v>
      </c>
      <c r="E23" s="3">
        <v>231000</v>
      </c>
    </row>
    <row r="24" spans="1:5" x14ac:dyDescent="0.25">
      <c r="A24">
        <v>23</v>
      </c>
      <c r="B24" s="2" t="s">
        <v>71</v>
      </c>
      <c r="C24" t="s">
        <v>67</v>
      </c>
      <c r="D24" t="s">
        <v>72</v>
      </c>
      <c r="E24" s="3">
        <v>135000</v>
      </c>
    </row>
    <row r="25" spans="1:5" x14ac:dyDescent="0.25">
      <c r="A25">
        <v>24</v>
      </c>
      <c r="B25" s="2" t="s">
        <v>73</v>
      </c>
      <c r="C25" t="s">
        <v>67</v>
      </c>
      <c r="D25" t="s">
        <v>74</v>
      </c>
      <c r="E25" s="3">
        <v>132000</v>
      </c>
    </row>
    <row r="26" spans="1:5" x14ac:dyDescent="0.25">
      <c r="A26">
        <v>25</v>
      </c>
      <c r="B26" s="2" t="s">
        <v>75</v>
      </c>
      <c r="C26" t="s">
        <v>67</v>
      </c>
      <c r="D26" t="s">
        <v>76</v>
      </c>
      <c r="E26" s="3">
        <v>141000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77BB-CC13-4C64-8FAB-127C746929EC}">
  <sheetPr>
    <tabColor theme="8" tint="-0.499984740745262"/>
  </sheetPr>
  <dimension ref="A1:B6"/>
  <sheetViews>
    <sheetView showGridLines="0" zoomScaleNormal="100" workbookViewId="0"/>
  </sheetViews>
  <sheetFormatPr defaultRowHeight="15" x14ac:dyDescent="0.25"/>
  <cols>
    <col min="1" max="1" width="15" customWidth="1"/>
    <col min="2" max="2" width="15.5703125" customWidth="1"/>
    <col min="4" max="4" width="16.7109375" bestFit="1" customWidth="1"/>
  </cols>
  <sheetData>
    <row r="1" spans="1:2" ht="15.75" thickBot="1" x14ac:dyDescent="0.3">
      <c r="A1" s="1" t="s">
        <v>77</v>
      </c>
      <c r="B1" s="1" t="s">
        <v>78</v>
      </c>
    </row>
    <row r="2" spans="1:2" ht="15.75" thickTop="1" x14ac:dyDescent="0.25">
      <c r="A2" t="s">
        <v>79</v>
      </c>
      <c r="B2" t="s">
        <v>23</v>
      </c>
    </row>
    <row r="3" spans="1:2" x14ac:dyDescent="0.25">
      <c r="A3" t="s">
        <v>80</v>
      </c>
      <c r="B3" t="s">
        <v>34</v>
      </c>
    </row>
    <row r="4" spans="1:2" x14ac:dyDescent="0.25">
      <c r="A4" t="s">
        <v>81</v>
      </c>
      <c r="B4" t="s">
        <v>45</v>
      </c>
    </row>
    <row r="5" spans="1:2" x14ac:dyDescent="0.25">
      <c r="A5" t="s">
        <v>82</v>
      </c>
      <c r="B5" t="s">
        <v>56</v>
      </c>
    </row>
    <row r="6" spans="1:2" x14ac:dyDescent="0.25">
      <c r="A6" t="s">
        <v>83</v>
      </c>
      <c r="B6" t="s">
        <v>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8015-A6C6-480C-80F6-562DCD1075D5}">
  <sheetPr>
    <outlinePr summaryBelow="0"/>
  </sheetPr>
  <dimension ref="B1:J17"/>
  <sheetViews>
    <sheetView showGridLines="0" workbookViewId="0">
      <selection activeCell="E13" sqref="E13"/>
    </sheetView>
  </sheetViews>
  <sheetFormatPr defaultRowHeight="15" outlineLevelRow="1" outlineLevelCol="1" x14ac:dyDescent="0.25"/>
  <cols>
    <col min="3" max="3" width="6.140625" bestFit="1" customWidth="1"/>
    <col min="4" max="7" width="18.28515625" bestFit="1" customWidth="1" outlineLevel="1"/>
    <col min="9" max="9" width="14.5703125" bestFit="1" customWidth="1"/>
    <col min="10" max="10" width="14.42578125" customWidth="1"/>
  </cols>
  <sheetData>
    <row r="1" spans="2:10" ht="15.75" thickBot="1" x14ac:dyDescent="0.3"/>
    <row r="2" spans="2:10" ht="15.75" x14ac:dyDescent="0.25">
      <c r="B2" s="42" t="s">
        <v>142</v>
      </c>
      <c r="C2" s="42"/>
      <c r="D2" s="47"/>
      <c r="E2" s="47"/>
      <c r="F2" s="47"/>
      <c r="G2" s="47"/>
    </row>
    <row r="3" spans="2:10" ht="15.75" collapsed="1" x14ac:dyDescent="0.25">
      <c r="B3" s="41"/>
      <c r="C3" s="41"/>
      <c r="D3" s="48" t="s">
        <v>144</v>
      </c>
      <c r="E3" s="48" t="s">
        <v>128</v>
      </c>
      <c r="F3" s="48" t="s">
        <v>134</v>
      </c>
      <c r="G3" s="48" t="s">
        <v>138</v>
      </c>
    </row>
    <row r="4" spans="2:10" ht="45" hidden="1" outlineLevel="1" x14ac:dyDescent="0.25">
      <c r="B4" s="44"/>
      <c r="C4" s="44"/>
      <c r="D4" s="37"/>
      <c r="E4" s="50" t="s">
        <v>129</v>
      </c>
      <c r="F4" s="50" t="s">
        <v>129</v>
      </c>
      <c r="G4" s="50" t="s">
        <v>139</v>
      </c>
    </row>
    <row r="5" spans="2:10" x14ac:dyDescent="0.25">
      <c r="B5" s="45" t="s">
        <v>143</v>
      </c>
      <c r="C5" s="45"/>
      <c r="D5" s="43"/>
      <c r="E5" s="43"/>
      <c r="F5" s="43"/>
      <c r="G5" s="43"/>
    </row>
    <row r="6" spans="2:10" outlineLevel="1" x14ac:dyDescent="0.25">
      <c r="B6" s="44" t="s">
        <v>95</v>
      </c>
      <c r="C6" s="44"/>
      <c r="D6" s="38">
        <v>0.30249999999999999</v>
      </c>
      <c r="E6" s="49" t="s">
        <v>130</v>
      </c>
      <c r="F6" s="49" t="s">
        <v>135</v>
      </c>
      <c r="G6" s="49" t="s">
        <v>130</v>
      </c>
      <c r="I6" t="s">
        <v>95</v>
      </c>
      <c r="J6">
        <v>21175000000</v>
      </c>
    </row>
    <row r="7" spans="2:10" outlineLevel="1" x14ac:dyDescent="0.25">
      <c r="B7" s="44" t="s">
        <v>94</v>
      </c>
      <c r="C7" s="44"/>
      <c r="D7" s="38">
        <v>6.0499999999999998E-2</v>
      </c>
      <c r="E7" s="49" t="s">
        <v>131</v>
      </c>
      <c r="F7" s="49" t="s">
        <v>136</v>
      </c>
      <c r="G7" s="49" t="s">
        <v>131</v>
      </c>
      <c r="I7" t="s">
        <v>94</v>
      </c>
      <c r="J7">
        <v>4235000000</v>
      </c>
    </row>
    <row r="8" spans="2:10" outlineLevel="1" x14ac:dyDescent="0.25">
      <c r="B8" s="44" t="s">
        <v>93</v>
      </c>
      <c r="C8" s="44"/>
      <c r="D8" s="38">
        <v>4.0750000000000001E-2</v>
      </c>
      <c r="E8" s="49" t="s">
        <v>132</v>
      </c>
      <c r="F8" s="49" t="s">
        <v>137</v>
      </c>
      <c r="G8" s="49" t="s">
        <v>140</v>
      </c>
      <c r="I8" t="s">
        <v>93</v>
      </c>
      <c r="J8">
        <v>2852500000</v>
      </c>
    </row>
    <row r="9" spans="2:10" outlineLevel="1" x14ac:dyDescent="0.25">
      <c r="B9" s="44" t="s">
        <v>92</v>
      </c>
      <c r="C9" s="44"/>
      <c r="D9" s="38">
        <v>0.2525</v>
      </c>
      <c r="E9" s="49" t="s">
        <v>130</v>
      </c>
      <c r="F9" s="49" t="s">
        <v>135</v>
      </c>
      <c r="G9" s="49" t="s">
        <v>141</v>
      </c>
      <c r="I9" t="s">
        <v>92</v>
      </c>
      <c r="J9">
        <v>17675000000</v>
      </c>
    </row>
    <row r="10" spans="2:10" outlineLevel="1" x14ac:dyDescent="0.25">
      <c r="B10" s="44" t="s">
        <v>91</v>
      </c>
      <c r="C10" s="44"/>
      <c r="D10" s="38">
        <v>6.0499999999999998E-2</v>
      </c>
      <c r="E10" s="49" t="s">
        <v>131</v>
      </c>
      <c r="F10" s="49" t="s">
        <v>136</v>
      </c>
      <c r="G10" s="49" t="s">
        <v>131</v>
      </c>
      <c r="I10" t="s">
        <v>91</v>
      </c>
      <c r="J10">
        <v>4235000000</v>
      </c>
    </row>
    <row r="11" spans="2:10" outlineLevel="1" x14ac:dyDescent="0.25">
      <c r="B11" s="44" t="s">
        <v>90</v>
      </c>
      <c r="C11" s="44"/>
      <c r="D11" s="38">
        <v>0.1452</v>
      </c>
      <c r="E11" s="49" t="s">
        <v>133</v>
      </c>
      <c r="F11" s="49" t="s">
        <v>133</v>
      </c>
      <c r="G11" s="49" t="s">
        <v>133</v>
      </c>
      <c r="I11" t="s">
        <v>90</v>
      </c>
      <c r="J11">
        <v>10164000000</v>
      </c>
    </row>
    <row r="12" spans="2:10" x14ac:dyDescent="0.25">
      <c r="B12" s="45" t="s">
        <v>145</v>
      </c>
      <c r="C12" s="45"/>
      <c r="D12" s="43"/>
      <c r="E12" s="43"/>
      <c r="F12" s="43"/>
      <c r="G12" s="43"/>
      <c r="I12" t="s">
        <v>98</v>
      </c>
      <c r="J12">
        <v>60336500000</v>
      </c>
    </row>
    <row r="13" spans="2:10" outlineLevel="1" x14ac:dyDescent="0.25">
      <c r="B13" s="44" t="s">
        <v>149</v>
      </c>
      <c r="C13" s="44"/>
      <c r="D13" s="39">
        <v>60336500000</v>
      </c>
      <c r="E13" s="39" t="e">
        <v>#VALUE!</v>
      </c>
      <c r="F13" s="39" t="e">
        <v>#VALUE!</v>
      </c>
      <c r="G13" s="39" t="e">
        <v>#VALUE!</v>
      </c>
      <c r="I13" t="s">
        <v>97</v>
      </c>
      <c r="J13">
        <v>9663500000</v>
      </c>
    </row>
    <row r="14" spans="2:10" ht="15.75" outlineLevel="1" thickBot="1" x14ac:dyDescent="0.3">
      <c r="B14" s="46" t="s">
        <v>97</v>
      </c>
      <c r="C14" s="46"/>
      <c r="D14" s="40">
        <v>9663500000</v>
      </c>
      <c r="E14" s="40" t="e">
        <v>#VALUE!</v>
      </c>
      <c r="F14" s="40" t="e">
        <v>#VALUE!</v>
      </c>
      <c r="G14" s="40" t="e">
        <v>#VALUE!</v>
      </c>
    </row>
    <row r="15" spans="2:10" x14ac:dyDescent="0.25">
      <c r="B15" t="s">
        <v>146</v>
      </c>
    </row>
    <row r="16" spans="2:10" x14ac:dyDescent="0.25">
      <c r="B16" t="s">
        <v>147</v>
      </c>
    </row>
    <row r="17" spans="2:2" x14ac:dyDescent="0.25">
      <c r="B17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F4C9-5A4E-495E-BC84-45571B4187D1}">
  <sheetPr>
    <tabColor rgb="FF002060"/>
  </sheetPr>
  <dimension ref="B1:C25"/>
  <sheetViews>
    <sheetView showGridLines="0" zoomScaleNormal="100" workbookViewId="0">
      <selection activeCell="C12" sqref="C12"/>
    </sheetView>
  </sheetViews>
  <sheetFormatPr defaultRowHeight="15" x14ac:dyDescent="0.25"/>
  <cols>
    <col min="1" max="1" width="5.5703125" customWidth="1"/>
    <col min="2" max="2" width="17.7109375" customWidth="1"/>
    <col min="3" max="3" width="18.42578125" customWidth="1"/>
    <col min="4" max="4" width="9.5703125" bestFit="1" customWidth="1"/>
  </cols>
  <sheetData>
    <row r="1" spans="2:3" ht="18.75" x14ac:dyDescent="0.3">
      <c r="B1" s="9" t="s">
        <v>100</v>
      </c>
    </row>
    <row r="3" spans="2:3" x14ac:dyDescent="0.25">
      <c r="B3" s="7" t="s">
        <v>87</v>
      </c>
      <c r="C3" s="7"/>
    </row>
    <row r="4" spans="2:3" x14ac:dyDescent="0.25">
      <c r="B4" t="s">
        <v>87</v>
      </c>
      <c r="C4" s="36">
        <v>70000000000</v>
      </c>
    </row>
    <row r="6" spans="2:3" x14ac:dyDescent="0.25">
      <c r="B6" s="4" t="s">
        <v>95</v>
      </c>
      <c r="C6" s="32">
        <f>C16*$C$4</f>
        <v>21175000000</v>
      </c>
    </row>
    <row r="7" spans="2:3" x14ac:dyDescent="0.25">
      <c r="B7" s="4" t="s">
        <v>94</v>
      </c>
      <c r="C7" s="32">
        <f t="shared" ref="C7:C11" si="0">C17*$C$4</f>
        <v>4235000000</v>
      </c>
    </row>
    <row r="8" spans="2:3" x14ac:dyDescent="0.25">
      <c r="B8" s="4" t="s">
        <v>93</v>
      </c>
      <c r="C8" s="32">
        <f t="shared" si="0"/>
        <v>2852500000</v>
      </c>
    </row>
    <row r="9" spans="2:3" x14ac:dyDescent="0.25">
      <c r="B9" s="4" t="s">
        <v>92</v>
      </c>
      <c r="C9" s="32">
        <f t="shared" si="0"/>
        <v>17675000000</v>
      </c>
    </row>
    <row r="10" spans="2:3" x14ac:dyDescent="0.25">
      <c r="B10" s="4" t="s">
        <v>91</v>
      </c>
      <c r="C10" s="32">
        <f t="shared" si="0"/>
        <v>4235000000</v>
      </c>
    </row>
    <row r="11" spans="2:3" x14ac:dyDescent="0.25">
      <c r="B11" s="4" t="s">
        <v>90</v>
      </c>
      <c r="C11" s="32">
        <f>C21*$C$4</f>
        <v>10164000000</v>
      </c>
    </row>
    <row r="12" spans="2:3" x14ac:dyDescent="0.25">
      <c r="B12" s="8" t="s">
        <v>98</v>
      </c>
      <c r="C12" s="34">
        <f>SUM(C6:C11)</f>
        <v>60336500000</v>
      </c>
    </row>
    <row r="13" spans="2:3" x14ac:dyDescent="0.25">
      <c r="B13" s="4" t="s">
        <v>97</v>
      </c>
      <c r="C13" s="33">
        <f>C4-C12</f>
        <v>9663500000</v>
      </c>
    </row>
    <row r="15" spans="2:3" x14ac:dyDescent="0.25">
      <c r="B15" s="7" t="s">
        <v>96</v>
      </c>
      <c r="C15" s="7"/>
    </row>
    <row r="16" spans="2:3" x14ac:dyDescent="0.25">
      <c r="B16" s="4" t="s">
        <v>95</v>
      </c>
      <c r="C16" s="6">
        <v>0.30249999999999999</v>
      </c>
    </row>
    <row r="17" spans="2:3" x14ac:dyDescent="0.25">
      <c r="B17" s="4" t="s">
        <v>94</v>
      </c>
      <c r="C17" s="6">
        <v>6.0499999999999998E-2</v>
      </c>
    </row>
    <row r="18" spans="2:3" x14ac:dyDescent="0.25">
      <c r="B18" s="4" t="s">
        <v>93</v>
      </c>
      <c r="C18" s="6">
        <v>4.0750000000000001E-2</v>
      </c>
    </row>
    <row r="19" spans="2:3" x14ac:dyDescent="0.25">
      <c r="B19" s="4" t="s">
        <v>92</v>
      </c>
      <c r="C19" s="6">
        <v>0.2525</v>
      </c>
    </row>
    <row r="20" spans="2:3" x14ac:dyDescent="0.25">
      <c r="B20" s="4" t="s">
        <v>91</v>
      </c>
      <c r="C20" s="6">
        <v>6.0499999999999998E-2</v>
      </c>
    </row>
    <row r="21" spans="2:3" x14ac:dyDescent="0.25">
      <c r="B21" s="4" t="s">
        <v>90</v>
      </c>
      <c r="C21" s="6">
        <v>0.1452</v>
      </c>
    </row>
    <row r="22" spans="2:3" x14ac:dyDescent="0.25">
      <c r="C22" s="5"/>
    </row>
    <row r="23" spans="2:3" x14ac:dyDescent="0.25">
      <c r="B23" s="4" t="s">
        <v>89</v>
      </c>
      <c r="C23" t="s">
        <v>124</v>
      </c>
    </row>
    <row r="24" spans="2:3" x14ac:dyDescent="0.25">
      <c r="B24" s="4" t="s">
        <v>88</v>
      </c>
      <c r="C24" t="s">
        <v>125</v>
      </c>
    </row>
    <row r="25" spans="2:3" x14ac:dyDescent="0.25">
      <c r="B25" s="4" t="s">
        <v>126</v>
      </c>
      <c r="C25" t="s">
        <v>127</v>
      </c>
    </row>
  </sheetData>
  <scenarios current="2" show="2" sqref="C12:C13">
    <scenario name="Case 1 - As-Is" locked="1" count="6" user="Ikin Solihin" comment="Created by Ikin Solihin on 8/2/2025_x000a_Modified by Ikin Solihin on 8/2/2025">
      <inputCells r="C16" val="0.3025" numFmtId="10"/>
      <inputCells r="C17" val="0.0605" numFmtId="10"/>
      <inputCells r="C18" val="0.09075" numFmtId="10"/>
      <inputCells r="C19" val="0.3025" numFmtId="10"/>
      <inputCells r="C20" val="0.0605" numFmtId="10"/>
      <inputCells r="C21" val="0.1452" numFmtId="10"/>
    </scenario>
    <scenario name="Case 2 - 10% Increase" locked="1" count="6" user="Ikin Solihin" comment="Created by Ikin Solihin on 8/2/2025_x000a_Modified by Ikin Solihin on 8/2/2025">
      <inputCells r="C16" val="0.33275" numFmtId="10"/>
      <inputCells r="C17" val="0.06655" numFmtId="10"/>
      <inputCells r="C18" val="0.099825" numFmtId="10"/>
      <inputCells r="C19" val="0.33275" numFmtId="10"/>
      <inputCells r="C20" val="0.06655" numFmtId="10"/>
      <inputCells r="C21" val="0.1452" numFmtId="10"/>
    </scenario>
    <scenario name="Case 3: Efficiency" locked="1" count="6" user="Fathurrahman" comment="Created by Ikin Solihin on 8/2/2025_x000a_Modified by Fathurrahman on 15/03/2026">
      <inputCells r="C16" val="0.3025" numFmtId="10"/>
      <inputCells r="C17" val="0.0605" numFmtId="10"/>
      <inputCells r="C18" val="0.04075" numFmtId="10"/>
      <inputCells r="C19" val="0.2525" numFmtId="10"/>
      <inputCells r="C20" val="0.0605" numFmtId="10"/>
      <inputCells r="C21" val="0.1452" numFmtId="10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4238-CCB1-4CD6-A6A0-A0CCE30DAEBB}">
  <sheetPr>
    <tabColor rgb="FF002060"/>
  </sheetPr>
  <dimension ref="B1:D21"/>
  <sheetViews>
    <sheetView showGridLines="0" tabSelected="1" zoomScaleNormal="100" workbookViewId="0">
      <selection activeCell="K12" sqref="K12"/>
    </sheetView>
  </sheetViews>
  <sheetFormatPr defaultRowHeight="15" x14ac:dyDescent="0.25"/>
  <cols>
    <col min="1" max="1" width="5.5703125" customWidth="1"/>
    <col min="2" max="2" width="27" bestFit="1" customWidth="1"/>
    <col min="3" max="3" width="22.7109375" style="10" bestFit="1" customWidth="1"/>
    <col min="5" max="5" width="6.85546875" customWidth="1"/>
    <col min="6" max="6" width="18.5703125" bestFit="1" customWidth="1"/>
    <col min="7" max="7" width="8.140625" bestFit="1" customWidth="1"/>
    <col min="8" max="8" width="12.28515625" bestFit="1" customWidth="1"/>
    <col min="9" max="9" width="12.85546875" bestFit="1" customWidth="1"/>
  </cols>
  <sheetData>
    <row r="1" spans="2:4" ht="18.75" x14ac:dyDescent="0.3">
      <c r="B1" s="9" t="s">
        <v>107</v>
      </c>
    </row>
    <row r="2" spans="2:4" x14ac:dyDescent="0.25">
      <c r="C2"/>
    </row>
    <row r="3" spans="2:4" x14ac:dyDescent="0.25">
      <c r="B3" s="12" t="s">
        <v>105</v>
      </c>
      <c r="C3" s="14">
        <v>16666.666666666657</v>
      </c>
    </row>
    <row r="4" spans="2:4" x14ac:dyDescent="0.25">
      <c r="B4" s="12" t="s">
        <v>104</v>
      </c>
      <c r="C4" s="14">
        <v>21000</v>
      </c>
    </row>
    <row r="5" spans="2:4" x14ac:dyDescent="0.25">
      <c r="B5" s="12" t="s">
        <v>99</v>
      </c>
      <c r="C5" s="13"/>
      <c r="D5" t="str">
        <f ca="1">IFERROR(_xlfn.FORMULATEXT(C5),"")</f>
        <v/>
      </c>
    </row>
    <row r="7" spans="2:4" x14ac:dyDescent="0.25">
      <c r="B7" s="12" t="s">
        <v>103</v>
      </c>
      <c r="C7" s="14">
        <v>15000</v>
      </c>
    </row>
    <row r="8" spans="2:4" x14ac:dyDescent="0.25">
      <c r="B8" s="12" t="s">
        <v>102</v>
      </c>
      <c r="C8" s="13"/>
      <c r="D8" t="str">
        <f ca="1">IFERROR(_xlfn.FORMULATEXT(C8),"")</f>
        <v/>
      </c>
    </row>
    <row r="10" spans="2:4" x14ac:dyDescent="0.25">
      <c r="B10" s="12" t="s">
        <v>101</v>
      </c>
      <c r="C10" s="11"/>
      <c r="D10" t="str">
        <f ca="1">IFERROR(_xlfn.FORMULATEXT(C10),"")</f>
        <v/>
      </c>
    </row>
    <row r="12" spans="2:4" ht="18.75" x14ac:dyDescent="0.3">
      <c r="B12" s="9" t="s">
        <v>106</v>
      </c>
    </row>
    <row r="14" spans="2:4" x14ac:dyDescent="0.25">
      <c r="B14" s="12" t="s">
        <v>105</v>
      </c>
      <c r="C14" s="14">
        <v>12500</v>
      </c>
    </row>
    <row r="15" spans="2:4" x14ac:dyDescent="0.25">
      <c r="B15" s="12" t="s">
        <v>104</v>
      </c>
      <c r="C15" s="14">
        <v>21999.999999999996</v>
      </c>
    </row>
    <row r="16" spans="2:4" x14ac:dyDescent="0.25">
      <c r="B16" s="12" t="s">
        <v>99</v>
      </c>
      <c r="C16" s="13"/>
      <c r="D16" t="str">
        <f ca="1">IFERROR(_xlfn.FORMULATEXT(C16),"")</f>
        <v/>
      </c>
    </row>
    <row r="18" spans="2:4" x14ac:dyDescent="0.25">
      <c r="B18" s="12" t="s">
        <v>103</v>
      </c>
      <c r="C18" s="14">
        <v>14000</v>
      </c>
    </row>
    <row r="19" spans="2:4" x14ac:dyDescent="0.25">
      <c r="B19" s="12" t="s">
        <v>102</v>
      </c>
      <c r="C19" s="13"/>
      <c r="D19" t="str">
        <f ca="1">IFERROR(_xlfn.FORMULATEXT(C19),"")</f>
        <v/>
      </c>
    </row>
    <row r="21" spans="2:4" x14ac:dyDescent="0.25">
      <c r="B21" s="12" t="s">
        <v>101</v>
      </c>
      <c r="C21" s="11"/>
      <c r="D21" t="str">
        <f ca="1">IFERROR(_xlfn.FORMULATEXT(C21),"")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CD8A-93EA-4FFD-8BB4-706AFC29F8CF}">
  <sheetPr>
    <tabColor rgb="FF002060"/>
  </sheetPr>
  <dimension ref="B1:K50"/>
  <sheetViews>
    <sheetView showGridLines="0" zoomScaleNormal="100" workbookViewId="0">
      <selection activeCell="F4" sqref="F4"/>
    </sheetView>
  </sheetViews>
  <sheetFormatPr defaultColWidth="9.140625" defaultRowHeight="15" x14ac:dyDescent="0.25"/>
  <cols>
    <col min="2" max="2" width="22.140625" bestFit="1" customWidth="1"/>
    <col min="3" max="3" width="15.140625" bestFit="1" customWidth="1"/>
    <col min="6" max="6" width="12.42578125" bestFit="1" customWidth="1"/>
    <col min="7" max="8" width="15" bestFit="1" customWidth="1"/>
    <col min="9" max="9" width="17.42578125" bestFit="1" customWidth="1"/>
    <col min="10" max="10" width="14.5703125" bestFit="1" customWidth="1"/>
    <col min="11" max="11" width="15" bestFit="1" customWidth="1"/>
  </cols>
  <sheetData>
    <row r="1" spans="2:11" ht="18.75" x14ac:dyDescent="0.3">
      <c r="B1" s="9" t="s">
        <v>121</v>
      </c>
    </row>
    <row r="3" spans="2:11" x14ac:dyDescent="0.25">
      <c r="B3" s="18" t="s">
        <v>99</v>
      </c>
      <c r="C3" s="29"/>
      <c r="D3" s="22"/>
      <c r="E3" s="18" t="s">
        <v>120</v>
      </c>
      <c r="F3" s="17"/>
      <c r="G3" s="18" t="s">
        <v>99</v>
      </c>
      <c r="H3" s="18" t="s">
        <v>118</v>
      </c>
      <c r="I3" s="18" t="s">
        <v>117</v>
      </c>
      <c r="J3" s="18" t="s">
        <v>97</v>
      </c>
      <c r="K3" s="18" t="s">
        <v>116</v>
      </c>
    </row>
    <row r="4" spans="2:11" ht="15.75" thickBot="1" x14ac:dyDescent="0.3">
      <c r="B4" s="18" t="s">
        <v>118</v>
      </c>
      <c r="C4" s="28"/>
      <c r="D4" s="22"/>
      <c r="E4" s="22"/>
      <c r="F4" s="18"/>
      <c r="G4" s="26"/>
      <c r="H4" s="26"/>
      <c r="I4" s="26"/>
      <c r="J4" s="26"/>
      <c r="K4" s="26"/>
    </row>
    <row r="5" spans="2:11" x14ac:dyDescent="0.25">
      <c r="B5" s="18" t="s">
        <v>117</v>
      </c>
      <c r="C5" s="25"/>
      <c r="D5" s="22"/>
      <c r="E5" s="22"/>
      <c r="F5" s="16"/>
      <c r="G5" s="15"/>
      <c r="H5" s="15"/>
      <c r="I5" s="15"/>
      <c r="J5" s="15"/>
      <c r="K5" s="15"/>
    </row>
    <row r="6" spans="2:11" ht="15.75" thickBot="1" x14ac:dyDescent="0.3">
      <c r="B6" s="18" t="s">
        <v>112</v>
      </c>
      <c r="C6" s="24"/>
      <c r="D6" s="22"/>
      <c r="E6" s="22"/>
      <c r="F6" s="16"/>
      <c r="G6" s="15"/>
      <c r="H6" s="15"/>
      <c r="I6" s="15"/>
      <c r="J6" s="15"/>
      <c r="K6" s="15"/>
    </row>
    <row r="7" spans="2:11" ht="15.75" thickBot="1" x14ac:dyDescent="0.3">
      <c r="B7" s="18" t="s">
        <v>97</v>
      </c>
      <c r="C7" s="23"/>
      <c r="D7" s="22"/>
      <c r="E7" s="22"/>
      <c r="F7" s="16"/>
      <c r="G7" s="15"/>
      <c r="H7" s="15"/>
      <c r="I7" s="15"/>
      <c r="J7" s="15"/>
      <c r="K7" s="15"/>
    </row>
    <row r="8" spans="2:11" ht="15.75" thickTop="1" x14ac:dyDescent="0.25">
      <c r="B8" s="22"/>
      <c r="C8" s="22"/>
      <c r="D8" s="22"/>
      <c r="E8" s="22"/>
      <c r="F8" s="16"/>
      <c r="G8" s="15"/>
      <c r="H8" s="15"/>
      <c r="I8" s="15"/>
      <c r="J8" s="15"/>
      <c r="K8" s="15"/>
    </row>
    <row r="9" spans="2:11" x14ac:dyDescent="0.25">
      <c r="B9" s="17" t="s">
        <v>116</v>
      </c>
      <c r="C9" s="21">
        <f>C4+C6</f>
        <v>0</v>
      </c>
      <c r="D9" s="22"/>
      <c r="E9" s="22"/>
      <c r="F9" s="16"/>
      <c r="G9" s="15"/>
      <c r="H9" s="15"/>
      <c r="I9" s="15"/>
      <c r="J9" s="15"/>
      <c r="K9" s="15"/>
    </row>
    <row r="10" spans="2:11" x14ac:dyDescent="0.25">
      <c r="D10" s="22"/>
      <c r="E10" s="22"/>
      <c r="F10" s="16"/>
      <c r="G10" s="15"/>
      <c r="H10" s="15"/>
      <c r="I10" s="15"/>
      <c r="J10" s="15"/>
      <c r="K10" s="15"/>
    </row>
    <row r="11" spans="2:11" x14ac:dyDescent="0.25">
      <c r="B11" s="20" t="s">
        <v>115</v>
      </c>
      <c r="C11" s="20"/>
      <c r="D11" s="22"/>
      <c r="E11" s="22"/>
      <c r="F11" s="16"/>
      <c r="G11" s="15"/>
      <c r="H11" s="15"/>
      <c r="I11" s="15"/>
      <c r="J11" s="15"/>
      <c r="K11" s="15"/>
    </row>
    <row r="12" spans="2:11" x14ac:dyDescent="0.25">
      <c r="B12" s="18" t="s">
        <v>114</v>
      </c>
      <c r="C12" s="14">
        <v>3000</v>
      </c>
      <c r="D12" s="22"/>
      <c r="E12" s="22"/>
      <c r="F12" s="16"/>
      <c r="G12" s="15"/>
      <c r="H12" s="15"/>
      <c r="I12" s="15"/>
      <c r="J12" s="15"/>
      <c r="K12" s="15"/>
    </row>
    <row r="13" spans="2:11" x14ac:dyDescent="0.25">
      <c r="B13" s="18" t="s">
        <v>104</v>
      </c>
      <c r="C13" s="19">
        <v>10900</v>
      </c>
      <c r="D13" s="22"/>
      <c r="E13" s="22"/>
      <c r="F13" s="16"/>
      <c r="G13" s="15"/>
      <c r="H13" s="15"/>
      <c r="I13" s="15"/>
      <c r="J13" s="15"/>
      <c r="K13" s="15"/>
    </row>
    <row r="14" spans="2:11" x14ac:dyDescent="0.25">
      <c r="B14" s="18" t="s">
        <v>113</v>
      </c>
      <c r="C14" s="19">
        <v>7000</v>
      </c>
      <c r="D14" s="22"/>
      <c r="E14" s="22"/>
      <c r="F14" s="16"/>
      <c r="G14" s="15"/>
      <c r="H14" s="15"/>
      <c r="I14" s="15"/>
      <c r="J14" s="15"/>
      <c r="K14" s="15"/>
    </row>
    <row r="15" spans="2:11" x14ac:dyDescent="0.25">
      <c r="B15" s="18" t="s">
        <v>112</v>
      </c>
      <c r="C15" s="19">
        <v>10000000</v>
      </c>
      <c r="D15" s="22"/>
      <c r="E15" s="22"/>
      <c r="F15" s="16"/>
      <c r="G15" s="15"/>
      <c r="H15" s="15"/>
      <c r="I15" s="15"/>
      <c r="J15" s="15"/>
      <c r="K15" s="15"/>
    </row>
    <row r="16" spans="2:11" x14ac:dyDescent="0.25">
      <c r="B16" s="18" t="s">
        <v>111</v>
      </c>
      <c r="C16" s="18">
        <v>0</v>
      </c>
      <c r="D16" s="22"/>
      <c r="E16" s="22"/>
      <c r="F16" s="16"/>
      <c r="G16" s="15"/>
      <c r="H16" s="15"/>
      <c r="I16" s="15"/>
      <c r="J16" s="15"/>
      <c r="K16" s="15"/>
    </row>
    <row r="17" spans="2:11" x14ac:dyDescent="0.25">
      <c r="B17" s="18" t="s">
        <v>110</v>
      </c>
      <c r="C17" s="18">
        <v>250</v>
      </c>
      <c r="D17" s="22"/>
      <c r="E17" s="22"/>
      <c r="F17" s="16"/>
      <c r="G17" s="15"/>
      <c r="H17" s="15"/>
      <c r="I17" s="15"/>
      <c r="J17" s="15"/>
      <c r="K17" s="15"/>
    </row>
    <row r="18" spans="2:11" x14ac:dyDescent="0.25">
      <c r="D18" s="22"/>
      <c r="E18" s="22"/>
      <c r="F18" s="16"/>
      <c r="G18" s="15"/>
      <c r="H18" s="15"/>
      <c r="I18" s="15"/>
      <c r="J18" s="15"/>
      <c r="K18" s="15"/>
    </row>
    <row r="19" spans="2:11" x14ac:dyDescent="0.25">
      <c r="D19" s="22"/>
      <c r="E19" s="22"/>
      <c r="F19" s="16"/>
      <c r="G19" s="15"/>
      <c r="H19" s="15"/>
      <c r="I19" s="15"/>
      <c r="J19" s="15"/>
      <c r="K19" s="15"/>
    </row>
    <row r="20" spans="2:11" x14ac:dyDescent="0.25">
      <c r="D20" s="22"/>
      <c r="E20" s="22"/>
      <c r="F20" s="16"/>
      <c r="G20" s="15"/>
      <c r="H20" s="15"/>
      <c r="I20" s="15"/>
      <c r="J20" s="15"/>
      <c r="K20" s="15"/>
    </row>
    <row r="21" spans="2:11" x14ac:dyDescent="0.25">
      <c r="B21" s="22"/>
      <c r="C21" s="22"/>
      <c r="D21" s="22"/>
      <c r="E21" s="22"/>
      <c r="F21" s="16"/>
      <c r="G21" s="15"/>
      <c r="H21" s="15"/>
      <c r="I21" s="15"/>
      <c r="J21" s="15"/>
      <c r="K21" s="15"/>
    </row>
    <row r="22" spans="2:11" x14ac:dyDescent="0.25">
      <c r="B22" s="22"/>
      <c r="C22" s="22"/>
      <c r="D22" s="22"/>
      <c r="E22" s="22"/>
      <c r="F22" s="16"/>
      <c r="G22" s="15"/>
      <c r="H22" s="15"/>
      <c r="I22" s="15"/>
      <c r="J22" s="15"/>
      <c r="K22" s="15"/>
    </row>
    <row r="23" spans="2:11" x14ac:dyDescent="0.25">
      <c r="B23" s="22"/>
      <c r="C23" s="22"/>
      <c r="D23" s="22"/>
      <c r="E23" s="22"/>
      <c r="F23" s="16"/>
      <c r="G23" s="15"/>
      <c r="H23" s="15"/>
      <c r="I23" s="15"/>
      <c r="J23" s="15"/>
      <c r="K23" s="15"/>
    </row>
    <row r="24" spans="2:11" x14ac:dyDescent="0.25">
      <c r="F24" s="16"/>
      <c r="G24" s="15"/>
      <c r="H24" s="15"/>
      <c r="I24" s="15"/>
      <c r="J24" s="15"/>
      <c r="K24" s="15"/>
    </row>
    <row r="27" spans="2:11" ht="18.75" x14ac:dyDescent="0.3">
      <c r="B27" s="9" t="s">
        <v>119</v>
      </c>
    </row>
    <row r="29" spans="2:11" x14ac:dyDescent="0.25">
      <c r="B29" s="18" t="s">
        <v>99</v>
      </c>
      <c r="C29" s="29"/>
      <c r="F29" s="17"/>
      <c r="G29" s="18"/>
      <c r="H29" s="18"/>
      <c r="I29" s="18"/>
      <c r="J29" s="18"/>
      <c r="K29" s="18"/>
    </row>
    <row r="30" spans="2:11" ht="15.75" thickBot="1" x14ac:dyDescent="0.3">
      <c r="B30" s="18" t="s">
        <v>118</v>
      </c>
      <c r="C30" s="28"/>
      <c r="F30" s="27">
        <f>C33</f>
        <v>0</v>
      </c>
      <c r="G30" s="26"/>
      <c r="H30" s="26"/>
      <c r="I30" s="26"/>
      <c r="J30" s="26"/>
      <c r="K30" s="26"/>
    </row>
    <row r="31" spans="2:11" x14ac:dyDescent="0.25">
      <c r="B31" s="18" t="s">
        <v>117</v>
      </c>
      <c r="C31" s="25"/>
      <c r="F31" s="16"/>
      <c r="G31" s="15"/>
      <c r="H31" s="15"/>
      <c r="I31" s="15"/>
      <c r="J31" s="15"/>
      <c r="K31" s="15"/>
    </row>
    <row r="32" spans="2:11" ht="15.75" thickBot="1" x14ac:dyDescent="0.3">
      <c r="B32" s="18" t="s">
        <v>112</v>
      </c>
      <c r="C32" s="24"/>
      <c r="F32" s="16"/>
      <c r="G32" s="15"/>
      <c r="H32" s="15"/>
      <c r="I32" s="15"/>
      <c r="J32" s="15"/>
      <c r="K32" s="15"/>
    </row>
    <row r="33" spans="2:11" ht="15.75" thickBot="1" x14ac:dyDescent="0.3">
      <c r="B33" s="18" t="s">
        <v>97</v>
      </c>
      <c r="C33" s="23"/>
      <c r="F33" s="16"/>
      <c r="G33" s="15"/>
      <c r="H33" s="15"/>
      <c r="I33" s="15"/>
      <c r="J33" s="15"/>
      <c r="K33" s="15"/>
    </row>
    <row r="34" spans="2:11" ht="15.75" thickTop="1" x14ac:dyDescent="0.25">
      <c r="B34" s="22"/>
      <c r="C34" s="22"/>
      <c r="F34" s="16"/>
      <c r="G34" s="15"/>
      <c r="H34" s="15"/>
      <c r="I34" s="15"/>
      <c r="J34" s="15"/>
      <c r="K34" s="15"/>
    </row>
    <row r="35" spans="2:11" x14ac:dyDescent="0.25">
      <c r="B35" s="17" t="s">
        <v>116</v>
      </c>
      <c r="C35" s="21">
        <f>C30+C32</f>
        <v>0</v>
      </c>
      <c r="F35" s="16"/>
      <c r="G35" s="15"/>
      <c r="H35" s="15"/>
      <c r="I35" s="15"/>
      <c r="J35" s="15"/>
      <c r="K35" s="15"/>
    </row>
    <row r="36" spans="2:11" x14ac:dyDescent="0.25">
      <c r="F36" s="16"/>
      <c r="G36" s="15"/>
      <c r="H36" s="15"/>
      <c r="I36" s="15"/>
      <c r="J36" s="15"/>
      <c r="K36" s="15"/>
    </row>
    <row r="37" spans="2:11" x14ac:dyDescent="0.25">
      <c r="B37" s="20" t="s">
        <v>115</v>
      </c>
      <c r="C37" s="20"/>
      <c r="F37" s="16"/>
      <c r="G37" s="15"/>
      <c r="H37" s="15"/>
      <c r="I37" s="15"/>
      <c r="J37" s="15"/>
      <c r="K37" s="15"/>
    </row>
    <row r="38" spans="2:11" x14ac:dyDescent="0.25">
      <c r="B38" s="18" t="s">
        <v>114</v>
      </c>
      <c r="C38" s="14">
        <v>3000</v>
      </c>
      <c r="F38" s="16"/>
      <c r="G38" s="15"/>
      <c r="H38" s="15"/>
      <c r="I38" s="15"/>
      <c r="J38" s="15"/>
      <c r="K38" s="15"/>
    </row>
    <row r="39" spans="2:11" x14ac:dyDescent="0.25">
      <c r="B39" s="18" t="s">
        <v>104</v>
      </c>
      <c r="C39" s="19">
        <v>10900</v>
      </c>
      <c r="F39" s="16"/>
      <c r="G39" s="15"/>
      <c r="H39" s="15"/>
      <c r="I39" s="15"/>
      <c r="J39" s="15"/>
      <c r="K39" s="15"/>
    </row>
    <row r="40" spans="2:11" x14ac:dyDescent="0.25">
      <c r="B40" s="18" t="s">
        <v>113</v>
      </c>
      <c r="C40" s="19">
        <v>7000</v>
      </c>
      <c r="F40" s="16"/>
      <c r="G40" s="15"/>
      <c r="H40" s="15"/>
      <c r="I40" s="15"/>
      <c r="J40" s="15"/>
      <c r="K40" s="15"/>
    </row>
    <row r="41" spans="2:11" x14ac:dyDescent="0.25">
      <c r="B41" s="18" t="s">
        <v>112</v>
      </c>
      <c r="C41" s="19">
        <v>10000000</v>
      </c>
      <c r="F41" s="16"/>
      <c r="G41" s="15"/>
      <c r="H41" s="15"/>
      <c r="I41" s="15"/>
      <c r="J41" s="15"/>
      <c r="K41" s="15"/>
    </row>
    <row r="42" spans="2:11" x14ac:dyDescent="0.25">
      <c r="B42" s="18" t="s">
        <v>111</v>
      </c>
      <c r="C42" s="18">
        <v>0</v>
      </c>
      <c r="F42" s="16"/>
      <c r="G42" s="15"/>
      <c r="H42" s="15"/>
      <c r="I42" s="15"/>
      <c r="J42" s="15"/>
      <c r="K42" s="15"/>
    </row>
    <row r="43" spans="2:11" x14ac:dyDescent="0.25">
      <c r="B43" s="18" t="s">
        <v>110</v>
      </c>
      <c r="C43" s="18">
        <v>250</v>
      </c>
      <c r="F43" s="16"/>
      <c r="G43" s="15"/>
      <c r="H43" s="15"/>
      <c r="I43" s="15"/>
      <c r="J43" s="15"/>
      <c r="K43" s="15"/>
    </row>
    <row r="44" spans="2:11" x14ac:dyDescent="0.25">
      <c r="B44" s="18" t="s">
        <v>109</v>
      </c>
      <c r="C44" s="17">
        <v>9000</v>
      </c>
      <c r="F44" s="16"/>
      <c r="G44" s="15"/>
      <c r="H44" s="15"/>
      <c r="I44" s="15"/>
      <c r="J44" s="15"/>
      <c r="K44" s="15"/>
    </row>
    <row r="45" spans="2:11" x14ac:dyDescent="0.25">
      <c r="B45" s="18" t="s">
        <v>108</v>
      </c>
      <c r="C45" s="17">
        <v>1000</v>
      </c>
      <c r="F45" s="16"/>
      <c r="G45" s="15"/>
      <c r="H45" s="15"/>
      <c r="I45" s="15"/>
      <c r="J45" s="15"/>
      <c r="K45" s="15"/>
    </row>
    <row r="46" spans="2:11" x14ac:dyDescent="0.25">
      <c r="F46" s="16"/>
      <c r="G46" s="15"/>
      <c r="H46" s="15"/>
      <c r="I46" s="15"/>
      <c r="J46" s="15"/>
      <c r="K46" s="15"/>
    </row>
    <row r="47" spans="2:11" x14ac:dyDescent="0.25">
      <c r="F47" s="16"/>
      <c r="G47" s="15"/>
      <c r="H47" s="15"/>
      <c r="I47" s="15"/>
      <c r="J47" s="15"/>
      <c r="K47" s="15"/>
    </row>
    <row r="48" spans="2:11" x14ac:dyDescent="0.25">
      <c r="F48" s="16"/>
      <c r="G48" s="15"/>
      <c r="H48" s="15"/>
      <c r="I48" s="15"/>
      <c r="J48" s="15"/>
      <c r="K48" s="15"/>
    </row>
    <row r="49" spans="6:11" x14ac:dyDescent="0.25">
      <c r="F49" s="16"/>
      <c r="G49" s="15"/>
      <c r="H49" s="15"/>
      <c r="I49" s="15"/>
      <c r="J49" s="15"/>
      <c r="K49" s="15"/>
    </row>
    <row r="50" spans="6:11" x14ac:dyDescent="0.25">
      <c r="F50" s="16"/>
      <c r="G50" s="15"/>
      <c r="H50" s="15"/>
      <c r="I50" s="15"/>
      <c r="J50" s="15"/>
      <c r="K5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6C24-B37D-427B-A54B-9517FEE43795}">
  <sheetPr>
    <tabColor rgb="FF002060"/>
  </sheetPr>
  <dimension ref="B2:C26"/>
  <sheetViews>
    <sheetView showGridLines="0" workbookViewId="0">
      <selection activeCell="K29" sqref="K29"/>
    </sheetView>
  </sheetViews>
  <sheetFormatPr defaultRowHeight="15" x14ac:dyDescent="0.25"/>
  <cols>
    <col min="2" max="2" width="10.5703125" bestFit="1" customWidth="1"/>
    <col min="3" max="3" width="14.140625" style="10" bestFit="1" customWidth="1"/>
    <col min="5" max="5" width="9" customWidth="1"/>
    <col min="6" max="7" width="12.7109375" bestFit="1" customWidth="1"/>
    <col min="14" max="14" width="12.7109375" bestFit="1" customWidth="1"/>
  </cols>
  <sheetData>
    <row r="2" spans="2:3" x14ac:dyDescent="0.25">
      <c r="B2" s="4" t="s">
        <v>123</v>
      </c>
      <c r="C2" s="35" t="s">
        <v>122</v>
      </c>
    </row>
    <row r="3" spans="2:3" x14ac:dyDescent="0.25">
      <c r="B3" s="31"/>
    </row>
    <row r="4" spans="2:3" x14ac:dyDescent="0.25">
      <c r="B4" s="31"/>
    </row>
    <row r="5" spans="2:3" x14ac:dyDescent="0.25">
      <c r="B5" s="31"/>
    </row>
    <row r="6" spans="2:3" x14ac:dyDescent="0.25">
      <c r="B6" s="31"/>
    </row>
    <row r="7" spans="2:3" x14ac:dyDescent="0.25">
      <c r="B7" s="31"/>
    </row>
    <row r="8" spans="2:3" x14ac:dyDescent="0.25">
      <c r="B8" s="31"/>
    </row>
    <row r="9" spans="2:3" x14ac:dyDescent="0.25">
      <c r="B9" s="31"/>
    </row>
    <row r="10" spans="2:3" x14ac:dyDescent="0.25">
      <c r="B10" s="31"/>
    </row>
    <row r="11" spans="2:3" x14ac:dyDescent="0.25">
      <c r="B11" s="31"/>
    </row>
    <row r="18" spans="2:2" x14ac:dyDescent="0.25">
      <c r="B18" s="31"/>
    </row>
    <row r="19" spans="2:2" x14ac:dyDescent="0.25">
      <c r="B19" s="31"/>
    </row>
    <row r="20" spans="2:2" x14ac:dyDescent="0.25">
      <c r="B20" s="31"/>
    </row>
    <row r="21" spans="2:2" x14ac:dyDescent="0.25">
      <c r="B21" s="31"/>
    </row>
    <row r="22" spans="2:2" x14ac:dyDescent="0.25">
      <c r="B22" s="31"/>
    </row>
    <row r="23" spans="2:2" x14ac:dyDescent="0.25">
      <c r="B23" s="31"/>
    </row>
    <row r="24" spans="2:2" x14ac:dyDescent="0.25">
      <c r="B24" s="31"/>
    </row>
    <row r="25" spans="2:2" x14ac:dyDescent="0.25">
      <c r="B25" s="31"/>
    </row>
    <row r="26" spans="2:2" x14ac:dyDescent="0.25">
      <c r="B26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3E0D-67D3-4F02-A817-2C6A0C01E381}">
  <sheetPr>
    <tabColor rgb="FF002060"/>
  </sheetPr>
  <dimension ref="B2:I17"/>
  <sheetViews>
    <sheetView showGridLines="0" workbookViewId="0">
      <selection activeCell="K15" sqref="K15"/>
    </sheetView>
  </sheetViews>
  <sheetFormatPr defaultRowHeight="15" x14ac:dyDescent="0.25"/>
  <cols>
    <col min="2" max="2" width="10.5703125" bestFit="1" customWidth="1"/>
    <col min="3" max="3" width="14.140625" style="30" bestFit="1" customWidth="1"/>
    <col min="5" max="5" width="15.140625" bestFit="1" customWidth="1"/>
    <col min="8" max="8" width="14.140625" bestFit="1" customWidth="1"/>
  </cols>
  <sheetData>
    <row r="2" spans="2:9" x14ac:dyDescent="0.25">
      <c r="B2" s="4" t="s">
        <v>123</v>
      </c>
      <c r="C2" s="35" t="s">
        <v>122</v>
      </c>
      <c r="H2" s="4" t="s">
        <v>123</v>
      </c>
      <c r="I2" s="35" t="s">
        <v>122</v>
      </c>
    </row>
    <row r="3" spans="2:9" x14ac:dyDescent="0.25">
      <c r="B3" s="31"/>
      <c r="C3" s="10"/>
      <c r="G3" s="31"/>
      <c r="H3" s="10"/>
      <c r="I3" s="30"/>
    </row>
    <row r="4" spans="2:9" x14ac:dyDescent="0.25">
      <c r="B4" s="31"/>
      <c r="C4" s="10"/>
      <c r="E4" s="10"/>
      <c r="G4" s="31"/>
      <c r="H4" s="10"/>
      <c r="I4" s="30"/>
    </row>
    <row r="5" spans="2:9" x14ac:dyDescent="0.25">
      <c r="B5" s="31"/>
      <c r="C5" s="10"/>
      <c r="G5" s="31"/>
      <c r="H5" s="10"/>
      <c r="I5" s="30"/>
    </row>
    <row r="6" spans="2:9" x14ac:dyDescent="0.25">
      <c r="B6" s="31"/>
      <c r="C6" s="10"/>
      <c r="G6" s="31"/>
      <c r="H6" s="10"/>
      <c r="I6" s="30"/>
    </row>
    <row r="7" spans="2:9" x14ac:dyDescent="0.25">
      <c r="B7" s="31"/>
      <c r="C7" s="10"/>
      <c r="G7" s="31"/>
      <c r="H7" s="10"/>
      <c r="I7" s="30"/>
    </row>
    <row r="8" spans="2:9" x14ac:dyDescent="0.25">
      <c r="B8" s="31"/>
      <c r="C8" s="10"/>
      <c r="G8" s="31"/>
      <c r="H8" s="10"/>
      <c r="I8" s="30"/>
    </row>
    <row r="9" spans="2:9" x14ac:dyDescent="0.25">
      <c r="B9" s="31"/>
      <c r="C9" s="10"/>
      <c r="G9" s="31"/>
      <c r="H9" s="10"/>
      <c r="I9" s="30"/>
    </row>
    <row r="10" spans="2:9" x14ac:dyDescent="0.25">
      <c r="B10" s="31"/>
      <c r="C10" s="10"/>
      <c r="G10" s="31"/>
      <c r="H10" s="10"/>
      <c r="I10" s="30"/>
    </row>
    <row r="11" spans="2:9" x14ac:dyDescent="0.25">
      <c r="B11" s="31"/>
      <c r="C11" s="10"/>
      <c r="G11" s="31"/>
      <c r="H11" s="10"/>
      <c r="I11" s="30"/>
    </row>
    <row r="12" spans="2:9" x14ac:dyDescent="0.25">
      <c r="B12" s="31"/>
      <c r="C12" s="10"/>
      <c r="G12" s="31"/>
      <c r="H12" s="10"/>
      <c r="I12" s="30"/>
    </row>
    <row r="13" spans="2:9" x14ac:dyDescent="0.25">
      <c r="B13" s="31"/>
      <c r="C13" s="10"/>
      <c r="G13" s="31"/>
      <c r="H13" s="10"/>
      <c r="I13" s="30"/>
    </row>
    <row r="14" spans="2:9" x14ac:dyDescent="0.25">
      <c r="B14" s="31"/>
      <c r="C14" s="10"/>
      <c r="G14" s="31"/>
      <c r="H14" s="10"/>
      <c r="I14" s="30"/>
    </row>
    <row r="15" spans="2:9" x14ac:dyDescent="0.25">
      <c r="B15" s="31"/>
      <c r="C15" s="10"/>
      <c r="G15" s="31"/>
      <c r="H15" s="10"/>
      <c r="I15" s="30"/>
    </row>
    <row r="16" spans="2:9" x14ac:dyDescent="0.25">
      <c r="B16" s="31"/>
      <c r="C16" s="10"/>
      <c r="G16" s="31"/>
      <c r="H16" s="10"/>
      <c r="I16" s="30"/>
    </row>
    <row r="17" spans="2:9" x14ac:dyDescent="0.25">
      <c r="B17" s="31"/>
      <c r="C17" s="10"/>
      <c r="G17" s="31"/>
      <c r="H17" s="10"/>
      <c r="I17" s="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DC0E184E-3F71-4774-A0D1-760809E99E45}">
  <ds:schemaRefs/>
</ds:datastoreItem>
</file>

<file path=customXml/itemProps2.xml><?xml version="1.0" encoding="utf-8"?>
<ds:datastoreItem xmlns:ds="http://schemas.openxmlformats.org/officeDocument/2006/customXml" ds:itemID="{C0D505C1-B690-4024-8D82-B6101AFA644B}">
  <ds:schemaRefs/>
</ds:datastoreItem>
</file>

<file path=customXml/itemProps3.xml><?xml version="1.0" encoding="utf-8"?>
<ds:datastoreItem xmlns:ds="http://schemas.openxmlformats.org/officeDocument/2006/customXml" ds:itemID="{09484D01-2BF8-4E4D-8ACD-64DB58E4A741}">
  <ds:schemaRefs/>
</ds:datastoreItem>
</file>

<file path=customXml/itemProps4.xml><?xml version="1.0" encoding="utf-8"?>
<ds:datastoreItem xmlns:ds="http://schemas.openxmlformats.org/officeDocument/2006/customXml" ds:itemID="{93CD3173-EE96-4FC4-935A-97224F778B8A}">
  <ds:schemaRefs/>
</ds:datastoreItem>
</file>

<file path=customXml/itemProps5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0D36743F-D167-439A-A3AA-DC34341387D3}">
  <ds:schemaRefs/>
</ds:datastoreItem>
</file>

<file path=customXml/itemProps7.xml><?xml version="1.0" encoding="utf-8"?>
<ds:datastoreItem xmlns:ds="http://schemas.openxmlformats.org/officeDocument/2006/customXml" ds:itemID="{4FF8008F-7E66-4BC0-9124-21FA79856E2D}">
  <ds:schemaRefs/>
</ds:datastoreItem>
</file>

<file path=customXml/itemProps8.xml><?xml version="1.0" encoding="utf-8"?>
<ds:datastoreItem xmlns:ds="http://schemas.openxmlformats.org/officeDocument/2006/customXml" ds:itemID="{3149CFD8-0663-46A3-98AE-5EF93B04F995}">
  <ds:schemaRefs/>
</ds:datastoreItem>
</file>

<file path=customXml/itemProps9.xml><?xml version="1.0" encoding="utf-8"?>
<ds:datastoreItem xmlns:ds="http://schemas.openxmlformats.org/officeDocument/2006/customXml" ds:itemID="{7046B7D7-2C31-4309-AE48-2E0690A76A67}">
  <ds:schemaRefs/>
</ds:datastoreItem>
</file>

<file path=customXml/itemProps10.xml><?xml version="1.0" encoding="utf-8"?>
<ds:datastoreItem xmlns:ds="http://schemas.openxmlformats.org/officeDocument/2006/customXml" ds:itemID="{CF6615D1-F1BB-42F2-858A-42DCB9BDB409}">
  <ds:schemaRefs/>
</ds:datastoreItem>
</file>

<file path=customXml/itemProps11.xml><?xml version="1.0" encoding="utf-8"?>
<ds:datastoreItem xmlns:ds="http://schemas.openxmlformats.org/officeDocument/2006/customXml" ds:itemID="{79A1F346-B944-44FB-AF2A-F8E6D324FB64}">
  <ds:schemaRefs/>
</ds:datastoreItem>
</file>

<file path=customXml/itemProps12.xml><?xml version="1.0" encoding="utf-8"?>
<ds:datastoreItem xmlns:ds="http://schemas.openxmlformats.org/officeDocument/2006/customXml" ds:itemID="{07F28040-489A-49B7-89F0-A153F62D79B2}">
  <ds:schemaRefs/>
</ds:datastoreItem>
</file>

<file path=customXml/itemProps13.xml><?xml version="1.0" encoding="utf-8"?>
<ds:datastoreItem xmlns:ds="http://schemas.openxmlformats.org/officeDocument/2006/customXml" ds:itemID="{15BB8C93-80A4-48C6-B8BC-DF8534BA6939}">
  <ds:schemaRefs/>
</ds:datastoreItem>
</file>

<file path=customXml/itemProps14.xml><?xml version="1.0" encoding="utf-8"?>
<ds:datastoreItem xmlns:ds="http://schemas.openxmlformats.org/officeDocument/2006/customXml" ds:itemID="{8DD2B5FB-F5C3-409F-8790-760659A1CA66}">
  <ds:schemaRefs/>
</ds:datastoreItem>
</file>

<file path=customXml/itemProps15.xml><?xml version="1.0" encoding="utf-8"?>
<ds:datastoreItem xmlns:ds="http://schemas.openxmlformats.org/officeDocument/2006/customXml" ds:itemID="{8B754CF2-3414-4ED4-9C23-6CBA01D721B1}">
  <ds:schemaRefs/>
</ds:datastoreItem>
</file>

<file path=customXml/itemProps16.xml><?xml version="1.0" encoding="utf-8"?>
<ds:datastoreItem xmlns:ds="http://schemas.openxmlformats.org/officeDocument/2006/customXml" ds:itemID="{674B61E4-D2B6-4B12-B3F1-67BDB805E886}">
  <ds:schemaRefs/>
</ds:datastoreItem>
</file>

<file path=customXml/itemProps17.xml><?xml version="1.0" encoding="utf-8"?>
<ds:datastoreItem xmlns:ds="http://schemas.openxmlformats.org/officeDocument/2006/customXml" ds:itemID="{D8E03C10-B546-4DED-B85B-C8858DBDF357}">
  <ds:schemaRefs/>
</ds:datastoreItem>
</file>

<file path=customXml/itemProps18.xml><?xml version="1.0" encoding="utf-8"?>
<ds:datastoreItem xmlns:ds="http://schemas.openxmlformats.org/officeDocument/2006/customXml" ds:itemID="{17B52547-6644-4ABF-BBE4-9E5EF39D9764}">
  <ds:schemaRefs/>
</ds:datastoreItem>
</file>

<file path=customXml/itemProps19.xml><?xml version="1.0" encoding="utf-8"?>
<ds:datastoreItem xmlns:ds="http://schemas.openxmlformats.org/officeDocument/2006/customXml" ds:itemID="{C2A5D50C-DDDE-4EEA-8A20-E01AD7AD906F}">
  <ds:schemaRefs/>
</ds:datastoreItem>
</file>

<file path=customXml/itemProps20.xml><?xml version="1.0" encoding="utf-8"?>
<ds:datastoreItem xmlns:ds="http://schemas.openxmlformats.org/officeDocument/2006/customXml" ds:itemID="{AE616B34-42BA-496F-99E6-0972749270F7}">
  <ds:schemaRefs/>
</ds:datastoreItem>
</file>

<file path=customXml/itemProps21.xml><?xml version="1.0" encoding="utf-8"?>
<ds:datastoreItem xmlns:ds="http://schemas.openxmlformats.org/officeDocument/2006/customXml" ds:itemID="{E811C082-E351-49B9-A90C-E56767553C94}">
  <ds:schemaRefs/>
</ds:datastoreItem>
</file>

<file path=customXml/itemProps22.xml><?xml version="1.0" encoding="utf-8"?>
<ds:datastoreItem xmlns:ds="http://schemas.openxmlformats.org/officeDocument/2006/customXml" ds:itemID="{91614D89-EB01-4599-874A-3AF3E58713D9}">
  <ds:schemaRefs/>
</ds:datastoreItem>
</file>

<file path=customXml/itemProps23.xml><?xml version="1.0" encoding="utf-8"?>
<ds:datastoreItem xmlns:ds="http://schemas.openxmlformats.org/officeDocument/2006/customXml" ds:itemID="{92751D9D-3F4A-46F9-B58A-75DF362DF9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Cabang</vt:lpstr>
      <vt:lpstr>Master Produk</vt:lpstr>
      <vt:lpstr>Katagori Produk</vt:lpstr>
      <vt:lpstr>Scenario Summary</vt:lpstr>
      <vt:lpstr>Scenario</vt:lpstr>
      <vt:lpstr>GoalSeek</vt:lpstr>
      <vt:lpstr>DataTable</vt:lpstr>
      <vt:lpstr>ForecastSheet</vt:lpstr>
      <vt:lpstr>ForecastFunc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Fathurrahman</cp:lastModifiedBy>
  <dcterms:created xsi:type="dcterms:W3CDTF">2023-07-13T23:23:17Z</dcterms:created>
  <dcterms:modified xsi:type="dcterms:W3CDTF">2026-03-23T22:53:13Z</dcterms:modified>
</cp:coreProperties>
</file>