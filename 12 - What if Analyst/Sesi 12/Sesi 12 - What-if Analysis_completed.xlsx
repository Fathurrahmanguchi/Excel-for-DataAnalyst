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c95be8f6d39ccd/Documents OneDrive/01. BUSINESS/10. DQLab Bootcamp/BoothCamp Batch 18/Materi/SESI 12 Advanced Data Analysis/Released/"/>
    </mc:Choice>
  </mc:AlternateContent>
  <xr:revisionPtr revIDLastSave="3" documentId="13_ncr:1_{61634098-CD88-45E9-A622-4128761F7DFF}" xr6:coauthVersionLast="47" xr6:coauthVersionMax="47" xr10:uidLastSave="{B8971FB7-BF86-474F-881B-2DC7E8A3190C}"/>
  <bookViews>
    <workbookView xWindow="-1272" yWindow="-13068" windowWidth="23256" windowHeight="12456" tabRatio="917" activeTab="4" xr2:uid="{9FDCABC1-371F-431B-9ADE-12799A3764A4}"/>
  </bookViews>
  <sheets>
    <sheet name="Master Cabang" sheetId="1" r:id="rId1"/>
    <sheet name="Master Produk" sheetId="3" r:id="rId2"/>
    <sheet name="Katagori Produk" sheetId="4" r:id="rId3"/>
    <sheet name="Scenario Summary" sheetId="36" r:id="rId4"/>
    <sheet name="Scenario" sheetId="27" r:id="rId5"/>
    <sheet name="GoalSeek" sheetId="28" r:id="rId6"/>
    <sheet name="DataTable" sheetId="29" r:id="rId7"/>
    <sheet name="ForecastSheet Result" sheetId="38" r:id="rId8"/>
    <sheet name="ForecastSheet" sheetId="30" r:id="rId9"/>
    <sheet name="ForecastFunc" sheetId="31" r:id="rId10"/>
  </sheets>
  <definedNames>
    <definedName name="BiayaAdmin">Scenario!$C$18</definedName>
    <definedName name="BiayaKantor">Scenario!$C$17</definedName>
    <definedName name="BiayaLain">Scenario!$C$20</definedName>
    <definedName name="COGS">Scenario!$C$16</definedName>
    <definedName name="Depreciation">Scenario!$C$21</definedName>
    <definedName name="ExternalData_1" localSheetId="8" hidden="1">ForecastSheet!$B$3:$C$15</definedName>
    <definedName name="GajiTunjangan">Scenario!$C$19</definedName>
    <definedName name="NetIncome">Scenario!$C$13</definedName>
    <definedName name="solver_adj" localSheetId="5" hidden="1">GoalSeek!$C$14:$C$15</definedName>
    <definedName name="solver_cvg" localSheetId="5" hidden="1">0.0001</definedName>
    <definedName name="solver_drv" localSheetId="5" hidden="1">1</definedName>
    <definedName name="solver_eng" localSheetId="6" hidden="1">1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lhs1" localSheetId="5" hidden="1">GoalSeek!$C$14</definedName>
    <definedName name="solver_lhs2" localSheetId="5" hidden="1">GoalSeek!$C$15</definedName>
    <definedName name="solver_lhs3" localSheetId="5" hidden="1">GoalSeek!$C$18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6" hidden="1">1</definedName>
    <definedName name="solver_neg" localSheetId="5" hidden="1">1</definedName>
    <definedName name="solver_nod" localSheetId="5" hidden="1">2147483647</definedName>
    <definedName name="solver_num" localSheetId="6" hidden="1">0</definedName>
    <definedName name="solver_num" localSheetId="5" hidden="1">2</definedName>
    <definedName name="solver_nwt" localSheetId="5" hidden="1">1</definedName>
    <definedName name="solver_opt" localSheetId="6" hidden="1">DataTable!$D$17</definedName>
    <definedName name="solver_opt" localSheetId="5" hidden="1">GoalSeek!$C$21</definedName>
    <definedName name="solver_pre" localSheetId="5" hidden="1">0.000001</definedName>
    <definedName name="solver_rbv" localSheetId="5" hidden="1">1</definedName>
    <definedName name="solver_rel1" localSheetId="5" hidden="1">3</definedName>
    <definedName name="solver_rel2" localSheetId="5" hidden="1">3</definedName>
    <definedName name="solver_rel3" localSheetId="5" hidden="1">3</definedName>
    <definedName name="solver_rhs1" localSheetId="5" hidden="1">10000</definedName>
    <definedName name="solver_rhs2" localSheetId="5" hidden="1">20000</definedName>
    <definedName name="solver_rhs3" localSheetId="5" hidden="1">14000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6" hidden="1">1</definedName>
    <definedName name="solver_typ" localSheetId="5" hidden="1">3</definedName>
    <definedName name="solver_val" localSheetId="6" hidden="1">0</definedName>
    <definedName name="solver_val" localSheetId="5" hidden="1">150000000</definedName>
    <definedName name="solver_ver" localSheetId="6" hidden="1">3</definedName>
    <definedName name="solver_ver" localSheetId="5" hidden="1">3</definedName>
    <definedName name="TotalBiaya">Scenario!$C$12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7" l="1"/>
  <c r="C9" i="27"/>
  <c r="C10" i="27"/>
  <c r="C11" i="27"/>
  <c r="C7" i="27"/>
  <c r="C14" i="38"/>
  <c r="C15" i="38"/>
  <c r="C16" i="38"/>
  <c r="C17" i="38"/>
  <c r="C18" i="38"/>
  <c r="C19" i="38"/>
  <c r="C20" i="38"/>
  <c r="C21" i="38"/>
  <c r="C22" i="38"/>
  <c r="C23" i="38"/>
  <c r="C24" i="38"/>
  <c r="C25" i="38"/>
  <c r="C26" i="38"/>
  <c r="L16" i="31"/>
  <c r="L17" i="31"/>
  <c r="L20" i="31"/>
  <c r="L21" i="31"/>
  <c r="L23" i="31"/>
  <c r="L25" i="31"/>
  <c r="L26" i="31"/>
  <c r="L18" i="31"/>
  <c r="L22" i="31"/>
  <c r="L19" i="31"/>
  <c r="L24" i="31"/>
  <c r="L27" i="31"/>
  <c r="L15" i="31"/>
  <c r="K16" i="31"/>
  <c r="K17" i="31"/>
  <c r="K18" i="31"/>
  <c r="K22" i="31"/>
  <c r="K25" i="31"/>
  <c r="K19" i="31"/>
  <c r="K24" i="31"/>
  <c r="K27" i="31"/>
  <c r="K20" i="31"/>
  <c r="K23" i="31"/>
  <c r="K26" i="31"/>
  <c r="K21" i="31"/>
  <c r="K15" i="31"/>
  <c r="J18" i="31"/>
  <c r="J19" i="31"/>
  <c r="J24" i="31"/>
  <c r="J27" i="31"/>
  <c r="J17" i="31"/>
  <c r="J20" i="31"/>
  <c r="J22" i="31"/>
  <c r="J23" i="31"/>
  <c r="J26" i="31"/>
  <c r="J16" i="31"/>
  <c r="J21" i="31"/>
  <c r="J25" i="31"/>
  <c r="J15" i="31"/>
  <c r="I30" i="29" l="1"/>
  <c r="J30" i="29" s="1"/>
  <c r="K30" i="29" s="1"/>
  <c r="H30" i="29"/>
  <c r="G30" i="29"/>
  <c r="F33" i="29"/>
  <c r="F34" i="29"/>
  <c r="F35" i="29"/>
  <c r="F36" i="29"/>
  <c r="F37" i="29" s="1"/>
  <c r="F38" i="29" s="1"/>
  <c r="F39" i="29" s="1"/>
  <c r="F40" i="29" s="1"/>
  <c r="F41" i="29" s="1"/>
  <c r="F42" i="29" s="1"/>
  <c r="F43" i="29" s="1"/>
  <c r="F44" i="29" s="1"/>
  <c r="F45" i="29" s="1"/>
  <c r="F46" i="29" s="1"/>
  <c r="F47" i="29" s="1"/>
  <c r="F48" i="29" s="1"/>
  <c r="F49" i="29" s="1"/>
  <c r="F50" i="29" s="1"/>
  <c r="F32" i="29"/>
  <c r="F31" i="29"/>
  <c r="C32" i="29"/>
  <c r="C31" i="29"/>
  <c r="C33" i="29" s="1"/>
  <c r="C30" i="29"/>
  <c r="C29" i="29"/>
  <c r="F5" i="29"/>
  <c r="F4" i="29"/>
  <c r="C6" i="29"/>
  <c r="C4" i="29"/>
  <c r="H4" i="29" s="1"/>
  <c r="C3" i="29"/>
  <c r="C5" i="29" s="1"/>
  <c r="E26" i="38"/>
  <c r="D20" i="38"/>
  <c r="D14" i="38"/>
  <c r="D26" i="38"/>
  <c r="E20" i="38"/>
  <c r="E14" i="38"/>
  <c r="E19" i="38"/>
  <c r="E25" i="38"/>
  <c r="D19" i="38"/>
  <c r="D24" i="38"/>
  <c r="D18" i="38"/>
  <c r="E24" i="38"/>
  <c r="E18" i="38"/>
  <c r="D23" i="38"/>
  <c r="E17" i="38"/>
  <c r="D22" i="38"/>
  <c r="D16" i="38"/>
  <c r="E22" i="38"/>
  <c r="D21" i="38"/>
  <c r="D25" i="38"/>
  <c r="D17" i="38"/>
  <c r="E15" i="38"/>
  <c r="D15" i="38"/>
  <c r="E23" i="38"/>
  <c r="E21" i="38"/>
  <c r="E16" i="38"/>
  <c r="G4" i="29" l="1"/>
  <c r="F6" i="29"/>
  <c r="F7" i="29" s="1"/>
  <c r="F8" i="29" s="1"/>
  <c r="F9" i="29" s="1"/>
  <c r="F10" i="29" s="1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F21" i="29" s="1"/>
  <c r="F22" i="29" s="1"/>
  <c r="F23" i="29" s="1"/>
  <c r="F24" i="29" s="1"/>
  <c r="I4" i="29"/>
  <c r="C7" i="29"/>
  <c r="J4" i="29" s="1"/>
  <c r="C19" i="28"/>
  <c r="C16" i="28"/>
  <c r="C8" i="28"/>
  <c r="C5" i="28"/>
  <c r="C10" i="28" s="1"/>
  <c r="C9" i="29"/>
  <c r="K4" i="29" s="1"/>
  <c r="F30" i="29"/>
  <c r="C35" i="29"/>
  <c r="C21" i="28" l="1"/>
  <c r="C12" i="27"/>
  <c r="C13" i="2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Ikin Solihin</author>
  </authors>
  <commentList>
    <comment ref="J15" authorId="0" shapeId="0" xr:uid="{FC26965A-01C9-4D3C-9B30-28987742D6B5}">
      <text>
        <r>
          <rPr>
            <b/>
            <sz val="12"/>
            <color indexed="81"/>
            <rFont val="Tahoma"/>
            <family val="2"/>
          </rPr>
          <t>=FORECAST.ETS(H15, $I$3:$I$14, $H$3:$H$14)</t>
        </r>
      </text>
    </comment>
    <comment ref="K15" authorId="0" shapeId="0" xr:uid="{E6D23B59-2481-42AA-849A-F6B392B0F521}">
      <text>
        <r>
          <rPr>
            <b/>
            <sz val="12"/>
            <color indexed="81"/>
            <rFont val="Tahoma"/>
            <family val="2"/>
          </rPr>
          <t>=J15 - FORECAST.ETS.CONFINT(H15, $I$3:$I$14, $H$3:$H$14, 0.95)</t>
        </r>
      </text>
    </comment>
    <comment ref="L15" authorId="0" shapeId="0" xr:uid="{76AA12B0-A05D-43AD-A975-D06392577CCC}">
      <text>
        <r>
          <rPr>
            <b/>
            <sz val="12"/>
            <color indexed="81"/>
            <rFont val="Tahoma"/>
            <family val="2"/>
          </rPr>
          <t>=J15 + FORECAST.ETS.CONFINT(H15, $I$3:$I$14, $H$3:$H$14, 0.95)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88194F-BB84-4389-ACE1-8627B491CCA0}" keepAlive="1" name="Query - Katagori" description="Connection to the 'Katagori' query in the workbook." type="5" refreshedVersion="0" background="1">
    <dbPr connection="Provider=Microsoft.Mashup.OleDb.1;Data Source=$Workbook$;Location=Katagori;Extended Properties=&quot;&quot;" command="SELECT * FROM [Katagori]"/>
  </connection>
  <connection id="2" xr16:uid="{DA5D5711-FCC0-48AC-967C-1F2057BBD9C8}" keepAlive="1" name="Query - MasterCabang" description="Connection to the 'MasterCabang' query in the workbook." type="5" refreshedVersion="0" background="1">
    <dbPr connection="Provider=Microsoft.Mashup.OleDb.1;Data Source=$Workbook$;Location=MasterCabang;Extended Properties=&quot;&quot;" command="SELECT * FROM [MasterCabang]"/>
  </connection>
  <connection id="3" xr16:uid="{51797F3C-ACC1-4C7A-9015-0912560C3904}" keepAlive="1" name="Query - MasterProduk" description="Connection to the 'MasterProduk' query in the workbook." type="5" refreshedVersion="0" background="1">
    <dbPr connection="Provider=Microsoft.Mashup.OleDb.1;Data Source=$Workbook$;Location=MasterProduk;Extended Properties=&quot;&quot;" command="SELECT * FROM [MasterProduk]"/>
  </connection>
  <connection id="4" xr16:uid="{E15FB6A0-F463-456F-9B38-BF86065D30CD}" keepAlive="1" name="Query - Tabel Komprehensif" description="Connection to the 'Tabel Komprehensif' query in the workbook." type="5" refreshedVersion="0" background="1" saveData="1">
    <dbPr connection="Provider=Microsoft.Mashup.OleDb.1;Data Source=$Workbook$;Location=&quot;Tabel Komprehensif&quot;;Extended Properties=&quot;&quot;" command="SELECT * FROM [Tabel Komprehensif]"/>
  </connection>
  <connection id="5" xr16:uid="{14CB5906-8176-4BE9-8326-AA684EBAD007}" keepAlive="1" name="Query - Transaksi Penjualan" description="Connection to the 'Transaksi Penjualan' query in the workbook." type="5" refreshedVersion="8" background="1" saveData="1">
    <dbPr connection="Provider=Microsoft.Mashup.OleDb.1;Data Source=$Workbook$;Location=&quot;Transaksi Penjualan&quot;;Extended Properties=&quot;&quot;" command="SELECT * FROM [Transaksi Penjualan]"/>
  </connection>
  <connection id="6" xr16:uid="{13E4D4A3-2733-4DC1-B022-6BE6B5550824}" keepAlive="1" name="Query - Transaksi Penjualan (2)" description="Connection to the 'Transaksi Penjualan (2)' query in the workbook." type="5" refreshedVersion="8" background="1" saveData="1">
    <dbPr connection="Provider=Microsoft.Mashup.OleDb.1;Data Source=$Workbook$;Location=&quot;Transaksi Penjualan (2)&quot;;Extended Properties=&quot;&quot;" command="SELECT * FROM [Transaksi Penjualan (2)]"/>
  </connection>
</connections>
</file>

<file path=xl/sharedStrings.xml><?xml version="1.0" encoding="utf-8"?>
<sst xmlns="http://schemas.openxmlformats.org/spreadsheetml/2006/main" count="225" uniqueCount="147">
  <si>
    <t>Surabaya</t>
  </si>
  <si>
    <t>Medan</t>
  </si>
  <si>
    <t>Makassar</t>
  </si>
  <si>
    <t>DKI Jakarta</t>
  </si>
  <si>
    <t>Jawa Timur</t>
  </si>
  <si>
    <t>Sumatera Utara</t>
  </si>
  <si>
    <t>Sulawesi Selatan</t>
  </si>
  <si>
    <t>Nama Produk</t>
  </si>
  <si>
    <t>Kode Cabang</t>
  </si>
  <si>
    <t>Nama Cabang</t>
  </si>
  <si>
    <t>Lokasi</t>
  </si>
  <si>
    <t>Provinsi</t>
  </si>
  <si>
    <t>CAB001</t>
  </si>
  <si>
    <t>Cabang Medan</t>
  </si>
  <si>
    <t>CAB002</t>
  </si>
  <si>
    <t>Cabang Surabaya</t>
  </si>
  <si>
    <t>CAB003</t>
  </si>
  <si>
    <t>Cabang Makasar</t>
  </si>
  <si>
    <t>CAB004</t>
  </si>
  <si>
    <t>No.</t>
  </si>
  <si>
    <t>Kode Produk Final</t>
  </si>
  <si>
    <t>Kategori</t>
  </si>
  <si>
    <t>ATS-0001</t>
  </si>
  <si>
    <t>Atasan</t>
  </si>
  <si>
    <t>T-shirt</t>
  </si>
  <si>
    <t>ATS-0002</t>
  </si>
  <si>
    <t>Blus</t>
  </si>
  <si>
    <t>ATS-0003</t>
  </si>
  <si>
    <t>Kemeja</t>
  </si>
  <si>
    <t>ATS-0004</t>
  </si>
  <si>
    <t>Sweater</t>
  </si>
  <si>
    <t>ATS-0005</t>
  </si>
  <si>
    <t>Jaket</t>
  </si>
  <si>
    <t>BWH-0006</t>
  </si>
  <si>
    <t>Bawahan</t>
  </si>
  <si>
    <t>Celana Jeans</t>
  </si>
  <si>
    <t>BWH-0007</t>
  </si>
  <si>
    <t>Rok</t>
  </si>
  <si>
    <t>BWH-0008</t>
  </si>
  <si>
    <t>Legging</t>
  </si>
  <si>
    <t>BWH-0009</t>
  </si>
  <si>
    <t>Celana Panjang</t>
  </si>
  <si>
    <t>BWH-0010</t>
  </si>
  <si>
    <t>Hot Pants</t>
  </si>
  <si>
    <t>GUN-0011</t>
  </si>
  <si>
    <t>Gaun</t>
  </si>
  <si>
    <t>Dress</t>
  </si>
  <si>
    <t>GUN-0012</t>
  </si>
  <si>
    <t>Jumpsuit</t>
  </si>
  <si>
    <t>GUN-0013</t>
  </si>
  <si>
    <t>Maxi Dress</t>
  </si>
  <si>
    <t>GUN-0014</t>
  </si>
  <si>
    <t>Kaftan</t>
  </si>
  <si>
    <t>GUN-0015</t>
  </si>
  <si>
    <t>Overall</t>
  </si>
  <si>
    <t>AKS-0016</t>
  </si>
  <si>
    <t>Aksesoris</t>
  </si>
  <si>
    <t>Kaus Kaki</t>
  </si>
  <si>
    <t>AKS-0017</t>
  </si>
  <si>
    <t>Syal</t>
  </si>
  <si>
    <t>AKS-0018</t>
  </si>
  <si>
    <t>Topi</t>
  </si>
  <si>
    <t>AKS-0019</t>
  </si>
  <si>
    <t>Ikat Pinggang</t>
  </si>
  <si>
    <t>AKS-0020</t>
  </si>
  <si>
    <t>Kacamata</t>
  </si>
  <si>
    <t>OLR-0021</t>
  </si>
  <si>
    <t>Pakaian Olahraga</t>
  </si>
  <si>
    <t>Legging Olahraga</t>
  </si>
  <si>
    <t>OLR-0022</t>
  </si>
  <si>
    <t>Jersey</t>
  </si>
  <si>
    <t>OLR-0023</t>
  </si>
  <si>
    <t>Celana Pendek</t>
  </si>
  <si>
    <t>OLR-0024</t>
  </si>
  <si>
    <t>Kaos Olahraga</t>
  </si>
  <si>
    <t>OLR-0025</t>
  </si>
  <si>
    <t>Celana Training</t>
  </si>
  <si>
    <t>Kode Kategori</t>
  </si>
  <si>
    <t>Nama Kategori</t>
  </si>
  <si>
    <t>ATS</t>
  </si>
  <si>
    <t>BWH</t>
  </si>
  <si>
    <t>GUN</t>
  </si>
  <si>
    <t>AKS</t>
  </si>
  <si>
    <t>OLR</t>
  </si>
  <si>
    <t>Cabang Jakarta</t>
  </si>
  <si>
    <t>Jakarta</t>
  </si>
  <si>
    <t>Harga</t>
  </si>
  <si>
    <t>Revenue</t>
  </si>
  <si>
    <t>case 2</t>
  </si>
  <si>
    <t>case 1</t>
  </si>
  <si>
    <t>Depreciation</t>
  </si>
  <si>
    <t>Biaya Lain</t>
  </si>
  <si>
    <t>Gaji/Tunjangan</t>
  </si>
  <si>
    <t>Biaya Admin</t>
  </si>
  <si>
    <t>Biaya Kantor</t>
  </si>
  <si>
    <t>COGS</t>
  </si>
  <si>
    <t>Asumsi</t>
  </si>
  <si>
    <t>Net Income</t>
  </si>
  <si>
    <t>Total Biaya</t>
  </si>
  <si>
    <t>Omset</t>
  </si>
  <si>
    <t>Profit &amp; Loss DQFashions - Scenario Manager</t>
  </si>
  <si>
    <t>Income</t>
  </si>
  <si>
    <t>Total Cost</t>
  </si>
  <si>
    <t>COGS per produk</t>
  </si>
  <si>
    <t>Harga per Produk</t>
  </si>
  <si>
    <t>Jumlah Produk Terjual</t>
  </si>
  <si>
    <t>Solver (Advanced Goal Seek)</t>
  </si>
  <si>
    <t>Goal Seek</t>
  </si>
  <si>
    <t>Harga Jual (Kelipatan)</t>
  </si>
  <si>
    <t>Harga Jual (Start)</t>
  </si>
  <si>
    <t>Jumlah Terjual (Kelipatan)</t>
  </si>
  <si>
    <t>Jumlah Terjual (Start)</t>
  </si>
  <si>
    <t>Fixed Costs</t>
  </si>
  <si>
    <t>Variable Cost per Produk</t>
  </si>
  <si>
    <t>Produk Terjual</t>
  </si>
  <si>
    <t>Assumptions</t>
  </si>
  <si>
    <t>Total Costs</t>
  </si>
  <si>
    <t>Contribution Margin</t>
  </si>
  <si>
    <t>Variable Costs</t>
  </si>
  <si>
    <t>Double Variable</t>
  </si>
  <si>
    <t>Units</t>
  </si>
  <si>
    <t>Single Variable</t>
  </si>
  <si>
    <t>Sales</t>
  </si>
  <si>
    <t>Bulan</t>
  </si>
  <si>
    <t>Target Income</t>
  </si>
  <si>
    <t>Case 1 - As-Is</t>
  </si>
  <si>
    <t>Created by Ikin Solihin on 8/2/2025
Modified by Ikin Solihin on 8/2/2025</t>
  </si>
  <si>
    <t>Case 2 - 10% Increase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</si>
  <si>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</si>
  <si>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</si>
  <si>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</si>
  <si>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</si>
  <si>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</si>
  <si>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</si>
  <si>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</si>
  <si>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case 3</t>
  </si>
  <si>
    <t>10% Increase: Semua komponen biaya dinaikan 10%</t>
  </si>
  <si>
    <t>As-Is</t>
  </si>
  <si>
    <t>Efficiency: Biaya Admin dan Gaji dikurangi 5%, yang lain tetap</t>
  </si>
  <si>
    <t>Case 3: Efficiency</t>
  </si>
  <si>
    <t>Created by Ikin Solihin on 8/2/2025</t>
  </si>
  <si>
    <t>Forecast(Sales)</t>
  </si>
  <si>
    <t>Lower Confidence Bound(Sales)</t>
  </si>
  <si>
    <t>Upper Confidence Bound(Sales)</t>
  </si>
  <si>
    <t>Forecast</t>
  </si>
  <si>
    <t>Lower Confidence</t>
  </si>
  <si>
    <t>Upper Confident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</si>
</sst>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Rp&quot;#,##0;[Red]\-&quot;Rp&quot;#,##0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  <numFmt numFmtId="168" formatCode="#,##0,,&quot; juta&quot;"/>
    <numFmt numFmtId="169" formatCode="mmm\ 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1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1" xfId="0" applyFont="1" applyBorder="1"/>
    <xf numFmtId="0" fontId="0" fillId="0" borderId="0" xfId="0" quotePrefix="1"/>
    <xf numFmtId="167" fontId="0" fillId="0" borderId="0" xfId="0" applyNumberFormat="1"/>
    <xf numFmtId="0" fontId="2" fillId="0" borderId="0" xfId="0" applyFont="1"/>
    <xf numFmtId="10" fontId="0" fillId="0" borderId="0" xfId="0" applyNumberFormat="1"/>
    <xf numFmtId="10" fontId="0" fillId="0" borderId="0" xfId="2" applyNumberFormat="1" applyFont="1" applyBorder="1"/>
    <xf numFmtId="0" fontId="3" fillId="3" borderId="0" xfId="0" applyFont="1" applyFill="1"/>
    <xf numFmtId="0" fontId="2" fillId="2" borderId="0" xfId="0" applyFont="1" applyFill="1"/>
    <xf numFmtId="0" fontId="4" fillId="0" borderId="0" xfId="0" applyFont="1"/>
    <xf numFmtId="165" fontId="0" fillId="0" borderId="0" xfId="1" applyFont="1"/>
    <xf numFmtId="165" fontId="2" fillId="2" borderId="2" xfId="1" applyFont="1" applyFill="1" applyBorder="1"/>
    <xf numFmtId="0" fontId="2" fillId="0" borderId="2" xfId="0" applyFont="1" applyBorder="1"/>
    <xf numFmtId="165" fontId="0" fillId="2" borderId="2" xfId="1" applyFont="1" applyFill="1" applyBorder="1"/>
    <xf numFmtId="165" fontId="0" fillId="0" borderId="2" xfId="1" applyFont="1" applyBorder="1"/>
    <xf numFmtId="8" fontId="6" fillId="0" borderId="2" xfId="3" applyNumberFormat="1" applyFont="1" applyBorder="1"/>
    <xf numFmtId="0" fontId="6" fillId="2" borderId="2" xfId="3" applyFont="1" applyFill="1" applyBorder="1"/>
    <xf numFmtId="0" fontId="0" fillId="0" borderId="2" xfId="0" applyBorder="1"/>
    <xf numFmtId="0" fontId="6" fillId="0" borderId="2" xfId="3" applyFont="1" applyBorder="1"/>
    <xf numFmtId="164" fontId="6" fillId="0" borderId="2" xfId="3" applyNumberFormat="1" applyFont="1" applyBorder="1"/>
    <xf numFmtId="0" fontId="7" fillId="4" borderId="2" xfId="3" applyFont="1" applyFill="1" applyBorder="1" applyAlignment="1">
      <alignment horizontal="centerContinuous" wrapText="1"/>
    </xf>
    <xf numFmtId="166" fontId="0" fillId="2" borderId="2" xfId="0" applyNumberFormat="1" applyFill="1" applyBorder="1"/>
    <xf numFmtId="0" fontId="6" fillId="0" borderId="0" xfId="3" applyFont="1"/>
    <xf numFmtId="166" fontId="0" fillId="2" borderId="3" xfId="4" applyNumberFormat="1" applyFont="1" applyFill="1" applyBorder="1"/>
    <xf numFmtId="164" fontId="0" fillId="2" borderId="4" xfId="4" applyNumberFormat="1" applyFont="1" applyFill="1" applyBorder="1"/>
    <xf numFmtId="166" fontId="0" fillId="2" borderId="5" xfId="4" applyNumberFormat="1" applyFont="1" applyFill="1" applyBorder="1"/>
    <xf numFmtId="166" fontId="6" fillId="2" borderId="2" xfId="3" applyNumberFormat="1" applyFont="1" applyFill="1" applyBorder="1"/>
    <xf numFmtId="166" fontId="6" fillId="0" borderId="2" xfId="3" applyNumberFormat="1" applyFont="1" applyBorder="1"/>
    <xf numFmtId="166" fontId="0" fillId="2" borderId="6" xfId="4" applyNumberFormat="1" applyFont="1" applyFill="1" applyBorder="1"/>
    <xf numFmtId="166" fontId="0" fillId="2" borderId="2" xfId="4" applyNumberFormat="1" applyFont="1" applyFill="1" applyBorder="1"/>
    <xf numFmtId="168" fontId="0" fillId="0" borderId="0" xfId="0" applyNumberFormat="1"/>
    <xf numFmtId="169" fontId="0" fillId="0" borderId="0" xfId="0" applyNumberFormat="1"/>
    <xf numFmtId="165" fontId="0" fillId="0" borderId="0" xfId="1" applyFont="1" applyFill="1" applyBorder="1"/>
    <xf numFmtId="165" fontId="2" fillId="0" borderId="0" xfId="1" applyFont="1" applyFill="1" applyBorder="1"/>
    <xf numFmtId="165" fontId="2" fillId="2" borderId="0" xfId="1" applyFont="1" applyFill="1" applyBorder="1"/>
    <xf numFmtId="165" fontId="2" fillId="0" borderId="0" xfId="1" applyFont="1"/>
    <xf numFmtId="167" fontId="0" fillId="0" borderId="0" xfId="5" applyNumberFormat="1" applyFont="1"/>
    <xf numFmtId="167" fontId="0" fillId="2" borderId="0" xfId="5" applyNumberFormat="1" applyFont="1" applyFill="1"/>
    <xf numFmtId="37" fontId="6" fillId="0" borderId="2" xfId="3" applyNumberFormat="1" applyFont="1" applyBorder="1"/>
    <xf numFmtId="165" fontId="6" fillId="0" borderId="2" xfId="3" applyNumberFormat="1" applyFont="1" applyBorder="1"/>
    <xf numFmtId="14" fontId="0" fillId="0" borderId="0" xfId="0" applyNumberFormat="1"/>
    <xf numFmtId="11" fontId="0" fillId="0" borderId="0" xfId="0" applyNumberFormat="1"/>
    <xf numFmtId="0" fontId="8" fillId="5" borderId="9" xfId="0" applyFont="1" applyFill="1" applyBorder="1" applyAlignment="1">
      <alignment horizontal="left"/>
    </xf>
    <xf numFmtId="0" fontId="8" fillId="5" borderId="7" xfId="0" applyFont="1" applyFill="1" applyBorder="1" applyAlignment="1">
      <alignment horizontal="left"/>
    </xf>
    <xf numFmtId="0" fontId="0" fillId="0" borderId="10" xfId="0" applyBorder="1"/>
    <xf numFmtId="0" fontId="9" fillId="6" borderId="0" xfId="0" applyFont="1" applyFill="1" applyAlignment="1">
      <alignment horizontal="left"/>
    </xf>
    <xf numFmtId="0" fontId="10" fillId="6" borderId="10" xfId="0" applyFont="1" applyFill="1" applyBorder="1" applyAlignment="1">
      <alignment horizontal="left"/>
    </xf>
    <xf numFmtId="0" fontId="9" fillId="6" borderId="8" xfId="0" applyFont="1" applyFill="1" applyBorder="1" applyAlignment="1">
      <alignment horizontal="left"/>
    </xf>
    <xf numFmtId="0" fontId="11" fillId="5" borderId="7" xfId="0" applyFont="1" applyFill="1" applyBorder="1" applyAlignment="1">
      <alignment horizontal="right"/>
    </xf>
    <xf numFmtId="0" fontId="11" fillId="5" borderId="9" xfId="0" applyFont="1" applyFill="1" applyBorder="1" applyAlignment="1">
      <alignment horizontal="right"/>
    </xf>
    <xf numFmtId="10" fontId="0" fillId="7" borderId="0" xfId="0" applyNumberFormat="1" applyFill="1"/>
    <xf numFmtId="0" fontId="12" fillId="0" borderId="0" xfId="0" applyFont="1" applyAlignment="1">
      <alignment vertical="top" wrapText="1"/>
    </xf>
    <xf numFmtId="165" fontId="0" fillId="0" borderId="0" xfId="0" applyNumberFormat="1"/>
    <xf numFmtId="165" fontId="0" fillId="0" borderId="8" xfId="0" applyNumberFormat="1" applyBorder="1"/>
  </cellXfs>
  <cellStyles count="6">
    <cellStyle name="Comma" xfId="5" builtinId="3"/>
    <cellStyle name="Comma [0]" xfId="1" builtinId="6"/>
    <cellStyle name="Currency 2" xfId="4" xr:uid="{B17163B8-7901-48C5-A223-02E4B710C78F}"/>
    <cellStyle name="Normal" xfId="0" builtinId="0"/>
    <cellStyle name="Normal 2 2" xfId="3" xr:uid="{9881230B-7A96-4BE0-A39C-9CC0B83EF88B}"/>
    <cellStyle name="Percent" xfId="2" builtinId="5"/>
  </cellStyles>
  <dxfs count="11">
    <dxf>
      <numFmt numFmtId="19" formatCode="m/d/yyyy"/>
    </dxf>
    <dxf>
      <numFmt numFmtId="15" formatCode="0.00E+00"/>
    </dxf>
    <dxf>
      <numFmt numFmtId="15" formatCode="0.00E+00"/>
    </dxf>
    <dxf>
      <numFmt numFmtId="19" formatCode="m/d/yyyy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7" formatCode="_(* #,##0_);_(* \(#,##0\);_(* &quot;-&quot;??_);_(@_)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1D6F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'ForecastSheet Result'!$B$1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'ForecastSheet Result'!$B$2:$B$26</c:f>
              <c:numCache>
                <c:formatCode>General</c:formatCode>
                <c:ptCount val="25"/>
                <c:pt idx="0">
                  <c:v>4721088000</c:v>
                </c:pt>
                <c:pt idx="1">
                  <c:v>4082589000</c:v>
                </c:pt>
                <c:pt idx="2">
                  <c:v>4768815000</c:v>
                </c:pt>
                <c:pt idx="3">
                  <c:v>4692711000</c:v>
                </c:pt>
                <c:pt idx="4">
                  <c:v>4858890000</c:v>
                </c:pt>
                <c:pt idx="5">
                  <c:v>7943226000</c:v>
                </c:pt>
                <c:pt idx="6">
                  <c:v>4865133000</c:v>
                </c:pt>
                <c:pt idx="7">
                  <c:v>4943376000</c:v>
                </c:pt>
                <c:pt idx="8">
                  <c:v>4686954000</c:v>
                </c:pt>
                <c:pt idx="9">
                  <c:v>4824009000</c:v>
                </c:pt>
                <c:pt idx="10">
                  <c:v>4724394000</c:v>
                </c:pt>
                <c:pt idx="11">
                  <c:v>4849944000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3B-4E7B-B736-903FBC4F0B22}"/>
            </c:ext>
          </c:extLst>
        </c:ser>
        <c:ser>
          <c:idx val="1"/>
          <c:order val="1"/>
          <c:tx>
            <c:strRef>
              <c:f>'ForecastSheet Result'!$C$1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'ForecastSheet Result'!$A$2:$A$26</c:f>
              <c:numCache>
                <c:formatCode>m/d/yyyy</c:formatCode>
                <c:ptCount val="2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43465</c:v>
                </c:pt>
              </c:numCache>
            </c:numRef>
          </c:cat>
          <c:val>
            <c:numRef>
              <c:f>'ForecastSheet Result'!$C$2:$C$26</c:f>
              <c:numCache>
                <c:formatCode>General</c:formatCode>
                <c:ptCount val="25"/>
                <c:pt idx="11">
                  <c:v>4849944000</c:v>
                </c:pt>
                <c:pt idx="12">
                  <c:v>4938051071.6129379</c:v>
                </c:pt>
                <c:pt idx="13">
                  <c:v>4956740344.8595276</c:v>
                </c:pt>
                <c:pt idx="14">
                  <c:v>4975429618.1061172</c:v>
                </c:pt>
                <c:pt idx="15">
                  <c:v>4994118891.3527069</c:v>
                </c:pt>
                <c:pt idx="16">
                  <c:v>5012808164.5992966</c:v>
                </c:pt>
                <c:pt idx="17">
                  <c:v>5031497437.8458862</c:v>
                </c:pt>
                <c:pt idx="18">
                  <c:v>5050186711.0924759</c:v>
                </c:pt>
                <c:pt idx="19">
                  <c:v>5068875984.3390656</c:v>
                </c:pt>
                <c:pt idx="20">
                  <c:v>5087565257.5856552</c:v>
                </c:pt>
                <c:pt idx="21">
                  <c:v>5106254530.8322449</c:v>
                </c:pt>
                <c:pt idx="22">
                  <c:v>5124943804.0788345</c:v>
                </c:pt>
                <c:pt idx="23">
                  <c:v>5143633077.3254242</c:v>
                </c:pt>
                <c:pt idx="24">
                  <c:v>5161719470.7898655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3B-4E7B-B736-903FBC4F0B22}"/>
            </c:ext>
          </c:extLst>
        </c:ser>
        <c:ser>
          <c:idx val="2"/>
          <c:order val="2"/>
          <c:tx>
            <c:strRef>
              <c:f>'ForecastSheet Result'!$D$1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'ForecastSheet Result'!$A$2:$A$26</c:f>
              <c:numCache>
                <c:formatCode>m/d/yyyy</c:formatCode>
                <c:ptCount val="2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43465</c:v>
                </c:pt>
              </c:numCache>
            </c:numRef>
          </c:cat>
          <c:val>
            <c:numRef>
              <c:f>'ForecastSheet Result'!$D$2:$D$26</c:f>
              <c:numCache>
                <c:formatCode>General</c:formatCode>
                <c:ptCount val="25"/>
                <c:pt idx="11" formatCode="0.00E+00">
                  <c:v>4849944000</c:v>
                </c:pt>
                <c:pt idx="12" formatCode="0.00E+00">
                  <c:v>3113081690.2578077</c:v>
                </c:pt>
                <c:pt idx="13" formatCode="0.00E+00">
                  <c:v>3131762751.1606588</c:v>
                </c:pt>
                <c:pt idx="14" formatCode="0.00E+00">
                  <c:v>3150437424.7762938</c:v>
                </c:pt>
                <c:pt idx="15" formatCode="0.00E+00">
                  <c:v>3169103886.3333311</c:v>
                </c:pt>
                <c:pt idx="16" formatCode="0.00E+00">
                  <c:v>3187760311.2478795</c:v>
                </c:pt>
                <c:pt idx="17" formatCode="0.00E+00">
                  <c:v>3206404875.2147422</c:v>
                </c:pt>
                <c:pt idx="18" formatCode="0.00E+00">
                  <c:v>3225035754.3168287</c:v>
                </c:pt>
                <c:pt idx="19" formatCode="0.00E+00">
                  <c:v>3243651125.1527419</c:v>
                </c:pt>
                <c:pt idx="20" formatCode="0.00E+00">
                  <c:v>3262249164.9825077</c:v>
                </c:pt>
                <c:pt idx="21" formatCode="0.00E+00">
                  <c:v>3280828051.8913889</c:v>
                </c:pt>
                <c:pt idx="22" formatCode="0.00E+00">
                  <c:v>3299385964.9717336</c:v>
                </c:pt>
                <c:pt idx="23" formatCode="0.00E+00">
                  <c:v>3317921084.5227709</c:v>
                </c:pt>
                <c:pt idx="24" formatCode="0.00E+00">
                  <c:v>3335834478.8419957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3B-4E7B-B736-903FBC4F0B22}"/>
            </c:ext>
          </c:extLst>
        </c:ser>
        <c:ser>
          <c:idx val="3"/>
          <c:order val="3"/>
          <c:tx>
            <c:strRef>
              <c:f>'ForecastSheet Result'!$E$1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'ForecastSheet Result'!$A$2:$A$26</c:f>
              <c:numCache>
                <c:formatCode>m/d/yyyy</c:formatCode>
                <c:ptCount val="2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43465</c:v>
                </c:pt>
              </c:numCache>
            </c:numRef>
          </c:cat>
          <c:val>
            <c:numRef>
              <c:f>'ForecastSheet Result'!$E$2:$E$26</c:f>
              <c:numCache>
                <c:formatCode>General</c:formatCode>
                <c:ptCount val="25"/>
                <c:pt idx="11" formatCode="0.00E+00">
                  <c:v>4849944000</c:v>
                </c:pt>
                <c:pt idx="12" formatCode="0.00E+00">
                  <c:v>6763020452.9680681</c:v>
                </c:pt>
                <c:pt idx="13" formatCode="0.00E+00">
                  <c:v>6781717938.5583963</c:v>
                </c:pt>
                <c:pt idx="14" formatCode="0.00E+00">
                  <c:v>6800421811.4359407</c:v>
                </c:pt>
                <c:pt idx="15" formatCode="0.00E+00">
                  <c:v>6819133896.3720827</c:v>
                </c:pt>
                <c:pt idx="16" formatCode="0.00E+00">
                  <c:v>6837856017.9507141</c:v>
                </c:pt>
                <c:pt idx="17" formatCode="0.00E+00">
                  <c:v>6856590000.4770298</c:v>
                </c:pt>
                <c:pt idx="18" formatCode="0.00E+00">
                  <c:v>6875337667.8681231</c:v>
                </c:pt>
                <c:pt idx="19" formatCode="0.00E+00">
                  <c:v>6894100843.5253887</c:v>
                </c:pt>
                <c:pt idx="20" formatCode="0.00E+00">
                  <c:v>6912881350.1888027</c:v>
                </c:pt>
                <c:pt idx="21" formatCode="0.00E+00">
                  <c:v>6931681009.7731009</c:v>
                </c:pt>
                <c:pt idx="22" formatCode="0.00E+00">
                  <c:v>6950501643.185936</c:v>
                </c:pt>
                <c:pt idx="23" formatCode="0.00E+00">
                  <c:v>6969345070.1280775</c:v>
                </c:pt>
                <c:pt idx="24" formatCode="0.00E+00">
                  <c:v>6987604462.7377357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3B-4E7B-B736-903FBC4F0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2632239"/>
        <c:axId val="1472626959"/>
      </c:lineChart>
      <c:catAx>
        <c:axId val="147263223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626959"/>
        <c:crosses val="autoZero"/>
        <c:auto val="1"/>
        <c:lblAlgn val="ctr"/>
        <c:lblOffset val="100"/>
        <c:noMultiLvlLbl val="0"/>
      </c:catAx>
      <c:valAx>
        <c:axId val="147262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63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ForecastFunc!$I$2</c:f>
              <c:strCache>
                <c:ptCount val="1"/>
                <c:pt idx="0">
                  <c:v> Sales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ForecastFunc!$H$3:$H$27</c:f>
              <c:numCache>
                <c:formatCode>mmm\ yy</c:formatCode>
                <c:ptCount val="2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</c:numCache>
            </c:numRef>
          </c:cat>
          <c:val>
            <c:numRef>
              <c:f>ForecastFunc!$I$3:$I$27</c:f>
              <c:numCache>
                <c:formatCode>_-* #,##0_-;\-* #,##0_-;_-* "-"_-;_-@_-</c:formatCode>
                <c:ptCount val="25"/>
                <c:pt idx="0">
                  <c:v>4721088000</c:v>
                </c:pt>
                <c:pt idx="1">
                  <c:v>4082589000</c:v>
                </c:pt>
                <c:pt idx="2">
                  <c:v>4768815000</c:v>
                </c:pt>
                <c:pt idx="3">
                  <c:v>4692711000</c:v>
                </c:pt>
                <c:pt idx="4">
                  <c:v>4858890000</c:v>
                </c:pt>
                <c:pt idx="5">
                  <c:v>7943226000</c:v>
                </c:pt>
                <c:pt idx="6">
                  <c:v>4865133000</c:v>
                </c:pt>
                <c:pt idx="7">
                  <c:v>4943376000</c:v>
                </c:pt>
                <c:pt idx="8">
                  <c:v>4686954000</c:v>
                </c:pt>
                <c:pt idx="9">
                  <c:v>4824009000</c:v>
                </c:pt>
                <c:pt idx="10">
                  <c:v>4724394000</c:v>
                </c:pt>
                <c:pt idx="11">
                  <c:v>4849944000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5C-4E12-8501-D6F4E640F0E3}"/>
            </c:ext>
          </c:extLst>
        </c:ser>
        <c:ser>
          <c:idx val="1"/>
          <c:order val="1"/>
          <c:tx>
            <c:strRef>
              <c:f>ForecastFunc!$J$2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ForecastFunc!$H$3:$H$27</c:f>
              <c:numCache>
                <c:formatCode>mmm\ yy</c:formatCode>
                <c:ptCount val="2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</c:numCache>
            </c:numRef>
          </c:cat>
          <c:val>
            <c:numRef>
              <c:f>ForecastFunc!$J$3:$J$27</c:f>
              <c:numCache>
                <c:formatCode>#,##0,," juta"</c:formatCode>
                <c:ptCount val="25"/>
                <c:pt idx="11" formatCode="_-* #,##0_-;\-* #,##0_-;_-* &quot;-&quot;_-;_-@_-">
                  <c:v>4849944000</c:v>
                </c:pt>
                <c:pt idx="12" formatCode="_-* #,##0_-;\-* #,##0_-;_-* &quot;-&quot;_-;_-@_-">
                  <c:v>4938051071.6129379</c:v>
                </c:pt>
                <c:pt idx="13" formatCode="_-* #,##0_-;\-* #,##0_-;_-* &quot;-&quot;_-;_-@_-">
                  <c:v>4956740344.8595276</c:v>
                </c:pt>
                <c:pt idx="14" formatCode="_-* #,##0_-;\-* #,##0_-;_-* &quot;-&quot;_-;_-@_-">
                  <c:v>4975429618.1061172</c:v>
                </c:pt>
                <c:pt idx="15" formatCode="_-* #,##0_-;\-* #,##0_-;_-* &quot;-&quot;_-;_-@_-">
                  <c:v>4994118891.3527069</c:v>
                </c:pt>
                <c:pt idx="16" formatCode="_-* #,##0_-;\-* #,##0_-;_-* &quot;-&quot;_-;_-@_-">
                  <c:v>5012808164.5992966</c:v>
                </c:pt>
                <c:pt idx="17" formatCode="_-* #,##0_-;\-* #,##0_-;_-* &quot;-&quot;_-;_-@_-">
                  <c:v>5031497437.8458862</c:v>
                </c:pt>
                <c:pt idx="18" formatCode="_-* #,##0_-;\-* #,##0_-;_-* &quot;-&quot;_-;_-@_-">
                  <c:v>5050186711.0924759</c:v>
                </c:pt>
                <c:pt idx="19" formatCode="_-* #,##0_-;\-* #,##0_-;_-* &quot;-&quot;_-;_-@_-">
                  <c:v>5068875984.3390656</c:v>
                </c:pt>
                <c:pt idx="20" formatCode="_-* #,##0_-;\-* #,##0_-;_-* &quot;-&quot;_-;_-@_-">
                  <c:v>5087565257.5856552</c:v>
                </c:pt>
                <c:pt idx="21" formatCode="_-* #,##0_-;\-* #,##0_-;_-* &quot;-&quot;_-;_-@_-">
                  <c:v>5106254530.8322449</c:v>
                </c:pt>
                <c:pt idx="22" formatCode="_-* #,##0_-;\-* #,##0_-;_-* &quot;-&quot;_-;_-@_-">
                  <c:v>5124943804.0788345</c:v>
                </c:pt>
                <c:pt idx="23" formatCode="_-* #,##0_-;\-* #,##0_-;_-* &quot;-&quot;_-;_-@_-">
                  <c:v>5143633077.3254242</c:v>
                </c:pt>
                <c:pt idx="24" formatCode="_-* #,##0_-;\-* #,##0_-;_-* &quot;-&quot;_-;_-@_-">
                  <c:v>5162322350.5720139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5C-4E12-8501-D6F4E640F0E3}"/>
            </c:ext>
          </c:extLst>
        </c:ser>
        <c:ser>
          <c:idx val="2"/>
          <c:order val="2"/>
          <c:tx>
            <c:strRef>
              <c:f>ForecastFunc!$K$2</c:f>
              <c:strCache>
                <c:ptCount val="1"/>
                <c:pt idx="0">
                  <c:v>Lower Confidence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ForecastFunc!$H$3:$H$27</c:f>
              <c:numCache>
                <c:formatCode>mmm\ yy</c:formatCode>
                <c:ptCount val="2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</c:numCache>
            </c:numRef>
          </c:cat>
          <c:val>
            <c:numRef>
              <c:f>ForecastFunc!$K$3:$K$27</c:f>
              <c:numCache>
                <c:formatCode>General</c:formatCode>
                <c:ptCount val="25"/>
                <c:pt idx="11" formatCode="_-* #,##0_-;\-* #,##0_-;_-* &quot;-&quot;_-;_-@_-">
                  <c:v>4849944000</c:v>
                </c:pt>
                <c:pt idx="12" formatCode="_-* #,##0_-;\-* #,##0_-;_-* &quot;-&quot;_-;_-@_-">
                  <c:v>3113081690.2578077</c:v>
                </c:pt>
                <c:pt idx="13" formatCode="_-* #,##0_-;\-* #,##0_-;_-* &quot;-&quot;_-;_-@_-">
                  <c:v>3131762751.1606588</c:v>
                </c:pt>
                <c:pt idx="14" formatCode="_-* #,##0_-;\-* #,##0_-;_-* &quot;-&quot;_-;_-@_-">
                  <c:v>3150437424.7762938</c:v>
                </c:pt>
                <c:pt idx="15" formatCode="_-* #,##0_-;\-* #,##0_-;_-* &quot;-&quot;_-;_-@_-">
                  <c:v>3169103886.3333311</c:v>
                </c:pt>
                <c:pt idx="16" formatCode="_-* #,##0_-;\-* #,##0_-;_-* &quot;-&quot;_-;_-@_-">
                  <c:v>3187760311.2478795</c:v>
                </c:pt>
                <c:pt idx="17" formatCode="_-* #,##0_-;\-* #,##0_-;_-* &quot;-&quot;_-;_-@_-">
                  <c:v>3206404875.2147422</c:v>
                </c:pt>
                <c:pt idx="18" formatCode="_-* #,##0_-;\-* #,##0_-;_-* &quot;-&quot;_-;_-@_-">
                  <c:v>3225035754.3168287</c:v>
                </c:pt>
                <c:pt idx="19" formatCode="_-* #,##0_-;\-* #,##0_-;_-* &quot;-&quot;_-;_-@_-">
                  <c:v>3243651125.1527419</c:v>
                </c:pt>
                <c:pt idx="20" formatCode="_-* #,##0_-;\-* #,##0_-;_-* &quot;-&quot;_-;_-@_-">
                  <c:v>3262249164.9825077</c:v>
                </c:pt>
                <c:pt idx="21" formatCode="_-* #,##0_-;\-* #,##0_-;_-* &quot;-&quot;_-;_-@_-">
                  <c:v>3280828051.8913889</c:v>
                </c:pt>
                <c:pt idx="22" formatCode="_-* #,##0_-;\-* #,##0_-;_-* &quot;-&quot;_-;_-@_-">
                  <c:v>3299385964.9717336</c:v>
                </c:pt>
                <c:pt idx="23" formatCode="_-* #,##0_-;\-* #,##0_-;_-* &quot;-&quot;_-;_-@_-">
                  <c:v>3317921084.5227709</c:v>
                </c:pt>
                <c:pt idx="24" formatCode="_-* #,##0_-;\-* #,##0_-;_-* &quot;-&quot;_-;_-@_-">
                  <c:v>3336431592.2682648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5C-4E12-8501-D6F4E640F0E3}"/>
            </c:ext>
          </c:extLst>
        </c:ser>
        <c:ser>
          <c:idx val="3"/>
          <c:order val="3"/>
          <c:tx>
            <c:strRef>
              <c:f>ForecastFunc!$L$2</c:f>
              <c:strCache>
                <c:ptCount val="1"/>
                <c:pt idx="0">
                  <c:v>Upper Confident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ForecastFunc!$H$3:$H$27</c:f>
              <c:numCache>
                <c:formatCode>mmm\ yy</c:formatCode>
                <c:ptCount val="25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</c:numCache>
            </c:numRef>
          </c:cat>
          <c:val>
            <c:numRef>
              <c:f>ForecastFunc!$L$3:$L$27</c:f>
              <c:numCache>
                <c:formatCode>General</c:formatCode>
                <c:ptCount val="25"/>
                <c:pt idx="11" formatCode="_-* #,##0_-;\-* #,##0_-;_-* &quot;-&quot;_-;_-@_-">
                  <c:v>4849944000</c:v>
                </c:pt>
                <c:pt idx="12" formatCode="_-* #,##0_-;\-* #,##0_-;_-* &quot;-&quot;_-;_-@_-">
                  <c:v>6763020452.9680681</c:v>
                </c:pt>
                <c:pt idx="13" formatCode="_-* #,##0_-;\-* #,##0_-;_-* &quot;-&quot;_-;_-@_-">
                  <c:v>6781717938.5583963</c:v>
                </c:pt>
                <c:pt idx="14" formatCode="_-* #,##0_-;\-* #,##0_-;_-* &quot;-&quot;_-;_-@_-">
                  <c:v>6800421811.4359407</c:v>
                </c:pt>
                <c:pt idx="15" formatCode="_-* #,##0_-;\-* #,##0_-;_-* &quot;-&quot;_-;_-@_-">
                  <c:v>6819133896.3720827</c:v>
                </c:pt>
                <c:pt idx="16" formatCode="_-* #,##0_-;\-* #,##0_-;_-* &quot;-&quot;_-;_-@_-">
                  <c:v>6837856017.9507141</c:v>
                </c:pt>
                <c:pt idx="17" formatCode="_-* #,##0_-;\-* #,##0_-;_-* &quot;-&quot;_-;_-@_-">
                  <c:v>6856590000.4770298</c:v>
                </c:pt>
                <c:pt idx="18" formatCode="_-* #,##0_-;\-* #,##0_-;_-* &quot;-&quot;_-;_-@_-">
                  <c:v>6875337667.8681231</c:v>
                </c:pt>
                <c:pt idx="19" formatCode="_-* #,##0_-;\-* #,##0_-;_-* &quot;-&quot;_-;_-@_-">
                  <c:v>6894100843.5253887</c:v>
                </c:pt>
                <c:pt idx="20" formatCode="_-* #,##0_-;\-* #,##0_-;_-* &quot;-&quot;_-;_-@_-">
                  <c:v>6912881350.1888027</c:v>
                </c:pt>
                <c:pt idx="21" formatCode="_-* #,##0_-;\-* #,##0_-;_-* &quot;-&quot;_-;_-@_-">
                  <c:v>6931681009.7731009</c:v>
                </c:pt>
                <c:pt idx="22" formatCode="_-* #,##0_-;\-* #,##0_-;_-* &quot;-&quot;_-;_-@_-">
                  <c:v>6950501643.185936</c:v>
                </c:pt>
                <c:pt idx="23" formatCode="_-* #,##0_-;\-* #,##0_-;_-* &quot;-&quot;_-;_-@_-">
                  <c:v>6969345070.1280775</c:v>
                </c:pt>
                <c:pt idx="24" formatCode="_-* #,##0_-;\-* #,##0_-;_-* &quot;-&quot;_-;_-@_-">
                  <c:v>6988213108.8757629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5C-4E12-8501-D6F4E640F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376976"/>
        <c:axId val="299377456"/>
      </c:lineChart>
      <c:dateAx>
        <c:axId val="29937697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377456"/>
        <c:crosses val="autoZero"/>
        <c:auto val="1"/>
        <c:lblOffset val="100"/>
        <c:baseTimeUnit val="months"/>
      </c:dateAx>
      <c:valAx>
        <c:axId val="29937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3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1</xdr:row>
      <xdr:rowOff>129540</xdr:rowOff>
    </xdr:from>
    <xdr:to>
      <xdr:col>16</xdr:col>
      <xdr:colOff>1905</xdr:colOff>
      <xdr:row>18</xdr:row>
      <xdr:rowOff>108585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3E7AB0-1487-217C-C71B-5D9FAEF87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335280</xdr:colOff>
      <xdr:row>12</xdr:row>
      <xdr:rowOff>106680</xdr:rowOff>
    </xdr:from>
    <xdr:to>
      <xdr:col>20</xdr:col>
      <xdr:colOff>571500</xdr:colOff>
      <xdr:row>30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15857A-28FB-80F8-CF0D-A87F81F10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30B94B7-8650-4233-8CF4-CDFC8646F70E}" autoFormatId="16" applyNumberFormats="0" applyBorderFormats="0" applyFontFormats="0" applyPatternFormats="0" applyAlignmentFormats="0" applyWidthHeightFormats="0">
  <queryTableRefresh nextId="3">
    <queryTableFields count="2">
      <queryTableField id="1" name="Bulan" tableColumnId="1"/>
      <queryTableField id="2" name="Sales" tableColumnId="2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291EBA-1875-4515-A355-FC2AD6A9E240}" name="ltMasterCabang" displayName="ltMasterCabang" ref="A1:D5" totalsRowShown="0" headerRowDxfId="10" headerRowBorderDxfId="9">
  <autoFilter ref="A1:D5" xr:uid="{C5291EBA-1875-4515-A355-FC2AD6A9E240}"/>
  <tableColumns count="4">
    <tableColumn id="1" xr3:uid="{B46F6C4D-5EBE-4B2A-9C96-30BDE177EA6E}" name="Kode Cabang"/>
    <tableColumn id="2" xr3:uid="{5ECEBE5A-2866-496D-AC5A-5F1BA2EEC48F}" name="Nama Cabang"/>
    <tableColumn id="3" xr3:uid="{BB83D0AA-189A-4744-BF81-044557B8E48A}" name="Lokasi"/>
    <tableColumn id="4" xr3:uid="{B156A655-C0A3-454F-89B3-DFEFC1426A3F}" name="Provinsi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D7E335-095A-4547-8A4B-CCE7E92476EA}" name="ltMasterProduk" displayName="ltMasterProduk" ref="A1:E26" totalsRowShown="0" headerRowDxfId="8" headerRowBorderDxfId="7">
  <autoFilter ref="A1:E26" xr:uid="{95D7E335-095A-4547-8A4B-CCE7E92476EA}"/>
  <tableColumns count="5">
    <tableColumn id="1" xr3:uid="{9699224F-4BF2-4B12-ADBC-2A6C5EF7908F}" name="No."/>
    <tableColumn id="2" xr3:uid="{131D683C-BB9B-4204-8FE3-F4BA1A65E161}" name="Kode Produk Final"/>
    <tableColumn id="3" xr3:uid="{DEF50C8E-749C-4EEE-9051-503DDBD54764}" name="Kategori"/>
    <tableColumn id="4" xr3:uid="{54E9A248-78B8-439F-8DB2-E5E87B3D1891}" name="Nama Produk"/>
    <tableColumn id="5" xr3:uid="{DDD8D221-F627-4F2E-BDF2-74F793828A6E}" name="Harga" dataDxfId="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828FAEA-6D6B-43DC-B7CF-A38210A4F7FB}" name="ltKatagori" displayName="ltKatagori" ref="A1:B6" totalsRowShown="0" headerRowDxfId="5" headerRowBorderDxfId="4">
  <autoFilter ref="A1:B6" xr:uid="{A828FAEA-6D6B-43DC-B7CF-A38210A4F7FB}"/>
  <tableColumns count="2">
    <tableColumn id="1" xr3:uid="{7FF5EE11-9A50-45B8-8D2D-A69013F4DC2D}" name="Kode Kategori"/>
    <tableColumn id="2" xr3:uid="{AEF71BC0-027C-437B-AAD1-C141804A2E63}" name="Nama Kategori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0456F79-8E8B-407B-8072-909BFCEDA103}" name="Table9" displayName="Table9" ref="A1:E26" totalsRowShown="0">
  <autoFilter ref="A1:E26" xr:uid="{20456F79-8E8B-407B-8072-909BFCEDA103}"/>
  <tableColumns count="5">
    <tableColumn id="1" xr3:uid="{51351945-E8C1-4C11-A8CC-ED5B971BC2BB}" name="Bulan" dataDxfId="3"/>
    <tableColumn id="2" xr3:uid="{1EA1134C-D272-48EE-8274-885789A60157}" name="Sales"/>
    <tableColumn id="3" xr3:uid="{862EEEA6-2DE4-4556-A71D-3ECDF0133AF0}" name="Forecast(Sales)">
      <calculatedColumnFormula>_xlfn.FORECAST.ETS(A2,$B$2:$B$13,$A$2:$A$13,1,1)</calculatedColumnFormula>
    </tableColumn>
    <tableColumn id="4" xr3:uid="{4E9742EA-51CB-4100-85A0-D89484076DE8}" name="Lower Confidence Bound(Sales)" dataDxfId="2">
      <calculatedColumnFormula>C2-_xlfn.FORECAST.ETS.CONFINT(A2,$B$2:$B$13,$A$2:$A$13,0.95,1,1)</calculatedColumnFormula>
    </tableColumn>
    <tableColumn id="5" xr3:uid="{B0339E9E-D13D-462A-97DB-FF26FB64C7D4}" name="Upper Confidence Bound(Sales)" dataDxfId="1">
      <calculatedColumnFormula>C2+_xlfn.FORECAST.ETS.CONFINT(A2,$B$2:$B$13,$A$2:$A$13,0.95,1,1)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C748A79-2AE3-4DAE-A35A-A0AC6395F5F0}" name="Transaksi_Penjualan__2" displayName="Transaksi_Penjualan__2" ref="B3:C15" tableType="queryTable" totalsRowShown="0">
  <autoFilter ref="B3:C15" xr:uid="{4C748A79-2AE3-4DAE-A35A-A0AC6395F5F0}"/>
  <tableColumns count="2">
    <tableColumn id="1" xr3:uid="{61897980-51C2-4EBC-94F6-83F8D1C9A629}" uniqueName="1" name="Bulan" queryTableFieldId="1" dataDxfId="0"/>
    <tableColumn id="2" xr3:uid="{C590703D-0271-4BFE-BC47-6FEAC5FECF9D}" uniqueName="2" name="Sale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4894-A76D-4E08-82B9-37CECD595A83}">
  <sheetPr>
    <tabColor theme="8" tint="-0.499984740745262"/>
  </sheetPr>
  <dimension ref="A1:D5"/>
  <sheetViews>
    <sheetView showGridLines="0" zoomScaleNormal="100" workbookViewId="0">
      <selection activeCell="F15" sqref="F15"/>
    </sheetView>
  </sheetViews>
  <sheetFormatPr defaultRowHeight="14.4" x14ac:dyDescent="0.3"/>
  <cols>
    <col min="1" max="1" width="14.33203125" bestFit="1" customWidth="1"/>
    <col min="2" max="2" width="15.5546875" bestFit="1" customWidth="1"/>
    <col min="3" max="3" width="13.88671875" bestFit="1" customWidth="1"/>
    <col min="4" max="4" width="15.5546875" bestFit="1" customWidth="1"/>
  </cols>
  <sheetData>
    <row r="1" spans="1:4" ht="15" thickBot="1" x14ac:dyDescent="0.35">
      <c r="A1" s="1" t="s">
        <v>8</v>
      </c>
      <c r="B1" s="1" t="s">
        <v>9</v>
      </c>
      <c r="C1" s="1" t="s">
        <v>10</v>
      </c>
      <c r="D1" s="1" t="s">
        <v>11</v>
      </c>
    </row>
    <row r="2" spans="1:4" ht="15" thickTop="1" x14ac:dyDescent="0.3">
      <c r="A2" t="s">
        <v>12</v>
      </c>
      <c r="B2" t="s">
        <v>13</v>
      </c>
      <c r="C2" t="s">
        <v>1</v>
      </c>
      <c r="D2" t="s">
        <v>5</v>
      </c>
    </row>
    <row r="3" spans="1:4" x14ac:dyDescent="0.3">
      <c r="A3" t="s">
        <v>14</v>
      </c>
      <c r="B3" t="s">
        <v>15</v>
      </c>
      <c r="C3" t="s">
        <v>0</v>
      </c>
      <c r="D3" t="s">
        <v>4</v>
      </c>
    </row>
    <row r="4" spans="1:4" x14ac:dyDescent="0.3">
      <c r="A4" t="s">
        <v>16</v>
      </c>
      <c r="B4" t="s">
        <v>17</v>
      </c>
      <c r="C4" t="s">
        <v>2</v>
      </c>
      <c r="D4" t="s">
        <v>6</v>
      </c>
    </row>
    <row r="5" spans="1:4" x14ac:dyDescent="0.3">
      <c r="A5" t="s">
        <v>18</v>
      </c>
      <c r="B5" t="s">
        <v>84</v>
      </c>
      <c r="C5" t="s">
        <v>85</v>
      </c>
      <c r="D5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79D7-A832-4C54-B4A9-A81889F5492F}">
  <sheetPr>
    <tabColor theme="8" tint="-0.499984740745262"/>
  </sheetPr>
  <dimension ref="A1:E26"/>
  <sheetViews>
    <sheetView showGridLines="0" zoomScaleNormal="100" workbookViewId="0">
      <selection activeCell="D14" sqref="D14"/>
    </sheetView>
  </sheetViews>
  <sheetFormatPr defaultRowHeight="14.4" x14ac:dyDescent="0.3"/>
  <cols>
    <col min="2" max="2" width="18.44140625" customWidth="1"/>
    <col min="3" max="3" width="10.109375" customWidth="1"/>
    <col min="4" max="4" width="14.44140625" customWidth="1"/>
    <col min="5" max="5" width="12.5546875" customWidth="1"/>
  </cols>
  <sheetData>
    <row r="1" spans="1:5" ht="15" thickBot="1" x14ac:dyDescent="0.35">
      <c r="A1" s="1" t="s">
        <v>19</v>
      </c>
      <c r="B1" s="1" t="s">
        <v>20</v>
      </c>
      <c r="C1" s="1" t="s">
        <v>21</v>
      </c>
      <c r="D1" s="1" t="s">
        <v>7</v>
      </c>
      <c r="E1" s="1" t="s">
        <v>86</v>
      </c>
    </row>
    <row r="2" spans="1:5" ht="15" thickTop="1" x14ac:dyDescent="0.3">
      <c r="A2">
        <v>1</v>
      </c>
      <c r="B2" s="2" t="s">
        <v>22</v>
      </c>
      <c r="C2" t="s">
        <v>23</v>
      </c>
      <c r="D2" t="s">
        <v>24</v>
      </c>
      <c r="E2" s="3">
        <v>165000</v>
      </c>
    </row>
    <row r="3" spans="1:5" x14ac:dyDescent="0.3">
      <c r="A3">
        <v>2</v>
      </c>
      <c r="B3" s="2" t="s">
        <v>25</v>
      </c>
      <c r="C3" t="s">
        <v>23</v>
      </c>
      <c r="D3" t="s">
        <v>26</v>
      </c>
      <c r="E3" s="3">
        <v>192000</v>
      </c>
    </row>
    <row r="4" spans="1:5" x14ac:dyDescent="0.3">
      <c r="A4">
        <v>3</v>
      </c>
      <c r="B4" s="2" t="s">
        <v>27</v>
      </c>
      <c r="C4" t="s">
        <v>23</v>
      </c>
      <c r="D4" t="s">
        <v>28</v>
      </c>
      <c r="E4" s="3">
        <v>249000</v>
      </c>
    </row>
    <row r="5" spans="1:5" x14ac:dyDescent="0.3">
      <c r="A5">
        <v>4</v>
      </c>
      <c r="B5" s="2" t="s">
        <v>29</v>
      </c>
      <c r="C5" t="s">
        <v>23</v>
      </c>
      <c r="D5" t="s">
        <v>30</v>
      </c>
      <c r="E5" s="3">
        <v>231000</v>
      </c>
    </row>
    <row r="6" spans="1:5" x14ac:dyDescent="0.3">
      <c r="A6">
        <v>5</v>
      </c>
      <c r="B6" s="2" t="s">
        <v>31</v>
      </c>
      <c r="C6" t="s">
        <v>23</v>
      </c>
      <c r="D6" t="s">
        <v>32</v>
      </c>
      <c r="E6" s="3">
        <v>801000</v>
      </c>
    </row>
    <row r="7" spans="1:5" x14ac:dyDescent="0.3">
      <c r="A7">
        <v>6</v>
      </c>
      <c r="B7" s="2" t="s">
        <v>33</v>
      </c>
      <c r="C7" t="s">
        <v>34</v>
      </c>
      <c r="D7" t="s">
        <v>35</v>
      </c>
      <c r="E7" s="3">
        <v>402000</v>
      </c>
    </row>
    <row r="8" spans="1:5" x14ac:dyDescent="0.3">
      <c r="A8">
        <v>7</v>
      </c>
      <c r="B8" s="2" t="s">
        <v>36</v>
      </c>
      <c r="C8" t="s">
        <v>34</v>
      </c>
      <c r="D8" t="s">
        <v>37</v>
      </c>
      <c r="E8" s="3">
        <v>288000</v>
      </c>
    </row>
    <row r="9" spans="1:5" x14ac:dyDescent="0.3">
      <c r="A9">
        <v>8</v>
      </c>
      <c r="B9" s="2" t="s">
        <v>38</v>
      </c>
      <c r="C9" t="s">
        <v>34</v>
      </c>
      <c r="D9" t="s">
        <v>39</v>
      </c>
      <c r="E9" s="3">
        <v>195000</v>
      </c>
    </row>
    <row r="10" spans="1:5" x14ac:dyDescent="0.3">
      <c r="A10">
        <v>9</v>
      </c>
      <c r="B10" s="2" t="s">
        <v>40</v>
      </c>
      <c r="C10" t="s">
        <v>34</v>
      </c>
      <c r="D10" t="s">
        <v>41</v>
      </c>
      <c r="E10" s="3">
        <v>168000</v>
      </c>
    </row>
    <row r="11" spans="1:5" x14ac:dyDescent="0.3">
      <c r="A11">
        <v>10</v>
      </c>
      <c r="B11" s="2" t="s">
        <v>42</v>
      </c>
      <c r="C11" t="s">
        <v>34</v>
      </c>
      <c r="D11" t="s">
        <v>43</v>
      </c>
      <c r="E11" s="3">
        <v>153000</v>
      </c>
    </row>
    <row r="12" spans="1:5" x14ac:dyDescent="0.3">
      <c r="A12">
        <v>11</v>
      </c>
      <c r="B12" s="2" t="s">
        <v>44</v>
      </c>
      <c r="C12" t="s">
        <v>45</v>
      </c>
      <c r="D12" t="s">
        <v>46</v>
      </c>
      <c r="E12" s="3">
        <v>597000</v>
      </c>
    </row>
    <row r="13" spans="1:5" x14ac:dyDescent="0.3">
      <c r="A13">
        <v>12</v>
      </c>
      <c r="B13" s="2" t="s">
        <v>47</v>
      </c>
      <c r="C13" t="s">
        <v>45</v>
      </c>
      <c r="D13" t="s">
        <v>48</v>
      </c>
      <c r="E13" s="3">
        <v>267000</v>
      </c>
    </row>
    <row r="14" spans="1:5" x14ac:dyDescent="0.3">
      <c r="A14">
        <v>13</v>
      </c>
      <c r="B14" s="2" t="s">
        <v>49</v>
      </c>
      <c r="C14" t="s">
        <v>45</v>
      </c>
      <c r="D14" t="s">
        <v>50</v>
      </c>
      <c r="E14" s="3">
        <v>705000</v>
      </c>
    </row>
    <row r="15" spans="1:5" x14ac:dyDescent="0.3">
      <c r="A15">
        <v>14</v>
      </c>
      <c r="B15" s="2" t="s">
        <v>51</v>
      </c>
      <c r="C15" t="s">
        <v>45</v>
      </c>
      <c r="D15" t="s">
        <v>52</v>
      </c>
      <c r="E15" s="3">
        <v>276000</v>
      </c>
    </row>
    <row r="16" spans="1:5" x14ac:dyDescent="0.3">
      <c r="A16">
        <v>15</v>
      </c>
      <c r="B16" s="2" t="s">
        <v>53</v>
      </c>
      <c r="C16" t="s">
        <v>45</v>
      </c>
      <c r="D16" t="s">
        <v>54</v>
      </c>
      <c r="E16" s="3">
        <v>234000</v>
      </c>
    </row>
    <row r="17" spans="1:5" x14ac:dyDescent="0.3">
      <c r="A17">
        <v>16</v>
      </c>
      <c r="B17" s="2" t="s">
        <v>55</v>
      </c>
      <c r="C17" t="s">
        <v>56</v>
      </c>
      <c r="D17" t="s">
        <v>57</v>
      </c>
      <c r="E17" s="3">
        <v>21000</v>
      </c>
    </row>
    <row r="18" spans="1:5" x14ac:dyDescent="0.3">
      <c r="A18">
        <v>17</v>
      </c>
      <c r="B18" s="2" t="s">
        <v>58</v>
      </c>
      <c r="C18" t="s">
        <v>56</v>
      </c>
      <c r="D18" t="s">
        <v>59</v>
      </c>
      <c r="E18" s="3">
        <v>135000</v>
      </c>
    </row>
    <row r="19" spans="1:5" x14ac:dyDescent="0.3">
      <c r="A19">
        <v>18</v>
      </c>
      <c r="B19" s="2" t="s">
        <v>60</v>
      </c>
      <c r="C19" t="s">
        <v>56</v>
      </c>
      <c r="D19" t="s">
        <v>61</v>
      </c>
      <c r="E19" s="3">
        <v>105000</v>
      </c>
    </row>
    <row r="20" spans="1:5" x14ac:dyDescent="0.3">
      <c r="A20">
        <v>19</v>
      </c>
      <c r="B20" s="2" t="s">
        <v>62</v>
      </c>
      <c r="C20" t="s">
        <v>56</v>
      </c>
      <c r="D20" t="s">
        <v>63</v>
      </c>
      <c r="E20" s="3">
        <v>75000</v>
      </c>
    </row>
    <row r="21" spans="1:5" x14ac:dyDescent="0.3">
      <c r="A21">
        <v>20</v>
      </c>
      <c r="B21" s="2" t="s">
        <v>64</v>
      </c>
      <c r="C21" t="s">
        <v>56</v>
      </c>
      <c r="D21" t="s">
        <v>65</v>
      </c>
      <c r="E21" s="3">
        <v>246000</v>
      </c>
    </row>
    <row r="22" spans="1:5" x14ac:dyDescent="0.3">
      <c r="A22">
        <v>21</v>
      </c>
      <c r="B22" s="2" t="s">
        <v>66</v>
      </c>
      <c r="C22" t="s">
        <v>67</v>
      </c>
      <c r="D22" t="s">
        <v>68</v>
      </c>
      <c r="E22" s="3">
        <v>195000</v>
      </c>
    </row>
    <row r="23" spans="1:5" x14ac:dyDescent="0.3">
      <c r="A23">
        <v>22</v>
      </c>
      <c r="B23" s="2" t="s">
        <v>69</v>
      </c>
      <c r="C23" t="s">
        <v>67</v>
      </c>
      <c r="D23" t="s">
        <v>70</v>
      </c>
      <c r="E23" s="3">
        <v>231000</v>
      </c>
    </row>
    <row r="24" spans="1:5" x14ac:dyDescent="0.3">
      <c r="A24">
        <v>23</v>
      </c>
      <c r="B24" s="2" t="s">
        <v>71</v>
      </c>
      <c r="C24" t="s">
        <v>67</v>
      </c>
      <c r="D24" t="s">
        <v>72</v>
      </c>
      <c r="E24" s="3">
        <v>135000</v>
      </c>
    </row>
    <row r="25" spans="1:5" x14ac:dyDescent="0.3">
      <c r="A25">
        <v>24</v>
      </c>
      <c r="B25" s="2" t="s">
        <v>73</v>
      </c>
      <c r="C25" t="s">
        <v>67</v>
      </c>
      <c r="D25" t="s">
        <v>74</v>
      </c>
      <c r="E25" s="3">
        <v>132000</v>
      </c>
    </row>
    <row r="26" spans="1:5" x14ac:dyDescent="0.3">
      <c r="A26">
        <v>25</v>
      </c>
      <c r="B26" s="2" t="s">
        <v>75</v>
      </c>
      <c r="C26" t="s">
        <v>67</v>
      </c>
      <c r="D26" t="s">
        <v>76</v>
      </c>
      <c r="E26" s="3">
        <v>141000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077BB-CC13-4C64-8FAB-127C746929EC}">
  <sheetPr>
    <tabColor theme="8" tint="-0.499984740745262"/>
  </sheetPr>
  <dimension ref="A1:B6"/>
  <sheetViews>
    <sheetView showGridLines="0" zoomScaleNormal="100" workbookViewId="0">
      <selection activeCell="B4" sqref="B4"/>
    </sheetView>
  </sheetViews>
  <sheetFormatPr defaultRowHeight="14.4" x14ac:dyDescent="0.3"/>
  <cols>
    <col min="1" max="1" width="15" customWidth="1"/>
    <col min="2" max="2" width="15.5546875" customWidth="1"/>
    <col min="4" max="4" width="16.77734375" bestFit="1" customWidth="1"/>
  </cols>
  <sheetData>
    <row r="1" spans="1:2" ht="15" thickBot="1" x14ac:dyDescent="0.35">
      <c r="A1" s="1" t="s">
        <v>77</v>
      </c>
      <c r="B1" s="1" t="s">
        <v>78</v>
      </c>
    </row>
    <row r="2" spans="1:2" ht="15" thickTop="1" x14ac:dyDescent="0.3">
      <c r="A2" t="s">
        <v>79</v>
      </c>
      <c r="B2" t="s">
        <v>23</v>
      </c>
    </row>
    <row r="3" spans="1:2" x14ac:dyDescent="0.3">
      <c r="A3" t="s">
        <v>80</v>
      </c>
      <c r="B3" t="s">
        <v>34</v>
      </c>
    </row>
    <row r="4" spans="1:2" x14ac:dyDescent="0.3">
      <c r="A4" t="s">
        <v>81</v>
      </c>
      <c r="B4" t="s">
        <v>45</v>
      </c>
    </row>
    <row r="5" spans="1:2" x14ac:dyDescent="0.3">
      <c r="A5" t="s">
        <v>82</v>
      </c>
      <c r="B5" t="s">
        <v>56</v>
      </c>
    </row>
    <row r="6" spans="1:2" x14ac:dyDescent="0.3">
      <c r="A6" t="s">
        <v>83</v>
      </c>
      <c r="B6" t="s">
        <v>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7E28B-2274-4C05-9091-E6CD67A4A77A}">
  <sheetPr>
    <outlinePr summaryBelow="0"/>
  </sheetPr>
  <dimension ref="B1:G17"/>
  <sheetViews>
    <sheetView showGridLines="0" workbookViewId="0">
      <selection activeCell="H22" sqref="H22"/>
    </sheetView>
  </sheetViews>
  <sheetFormatPr defaultRowHeight="14.4" outlineLevelRow="1" outlineLevelCol="1" x14ac:dyDescent="0.3"/>
  <cols>
    <col min="3" max="3" width="6.109375" bestFit="1" customWidth="1"/>
    <col min="4" max="7" width="17.77734375" bestFit="1" customWidth="1" outlineLevel="1"/>
  </cols>
  <sheetData>
    <row r="1" spans="2:7" ht="15" thickBot="1" x14ac:dyDescent="0.35"/>
    <row r="2" spans="2:7" ht="15.6" x14ac:dyDescent="0.3">
      <c r="B2" s="43" t="s">
        <v>128</v>
      </c>
      <c r="C2" s="43"/>
      <c r="D2" s="48"/>
      <c r="E2" s="48"/>
      <c r="F2" s="48"/>
      <c r="G2" s="48"/>
    </row>
    <row r="3" spans="2:7" ht="15.6" collapsed="1" x14ac:dyDescent="0.3">
      <c r="B3" s="42"/>
      <c r="C3" s="42"/>
      <c r="D3" s="49" t="s">
        <v>130</v>
      </c>
      <c r="E3" s="49" t="s">
        <v>125</v>
      </c>
      <c r="F3" s="49" t="s">
        <v>127</v>
      </c>
      <c r="G3" s="49" t="s">
        <v>139</v>
      </c>
    </row>
    <row r="4" spans="2:7" ht="40.799999999999997" hidden="1" outlineLevel="1" x14ac:dyDescent="0.3">
      <c r="B4" s="45"/>
      <c r="C4" s="45"/>
      <c r="E4" s="51" t="s">
        <v>126</v>
      </c>
      <c r="F4" s="51" t="s">
        <v>126</v>
      </c>
      <c r="G4" s="51" t="s">
        <v>140</v>
      </c>
    </row>
    <row r="5" spans="2:7" x14ac:dyDescent="0.3">
      <c r="B5" s="46" t="s">
        <v>129</v>
      </c>
      <c r="C5" s="46"/>
      <c r="D5" s="44"/>
      <c r="E5" s="44"/>
      <c r="F5" s="44"/>
      <c r="G5" s="44"/>
    </row>
    <row r="6" spans="2:7" outlineLevel="1" x14ac:dyDescent="0.3">
      <c r="B6" s="45" t="s">
        <v>95</v>
      </c>
      <c r="C6" s="45"/>
      <c r="D6" s="5">
        <v>0.30249999999999999</v>
      </c>
      <c r="E6" s="50">
        <v>0.30249999999999999</v>
      </c>
      <c r="F6" s="50">
        <v>0.33274999999999999</v>
      </c>
      <c r="G6" s="50">
        <v>0.30249999999999999</v>
      </c>
    </row>
    <row r="7" spans="2:7" outlineLevel="1" x14ac:dyDescent="0.3">
      <c r="B7" s="45" t="s">
        <v>94</v>
      </c>
      <c r="C7" s="45"/>
      <c r="D7" s="5">
        <v>6.0499999999999998E-2</v>
      </c>
      <c r="E7" s="50">
        <v>6.0499999999999998E-2</v>
      </c>
      <c r="F7" s="50">
        <v>6.6549999999999998E-2</v>
      </c>
      <c r="G7" s="50">
        <v>6.0499999999999998E-2</v>
      </c>
    </row>
    <row r="8" spans="2:7" outlineLevel="1" x14ac:dyDescent="0.3">
      <c r="B8" s="45" t="s">
        <v>93</v>
      </c>
      <c r="C8" s="45"/>
      <c r="D8" s="5">
        <v>4.0750000000000001E-2</v>
      </c>
      <c r="E8" s="50">
        <v>9.0749999999999997E-2</v>
      </c>
      <c r="F8" s="50">
        <v>9.9824999999999997E-2</v>
      </c>
      <c r="G8" s="50">
        <v>4.0750000000000001E-2</v>
      </c>
    </row>
    <row r="9" spans="2:7" outlineLevel="1" x14ac:dyDescent="0.3">
      <c r="B9" s="45" t="s">
        <v>92</v>
      </c>
      <c r="C9" s="45"/>
      <c r="D9" s="5">
        <v>0.2525</v>
      </c>
      <c r="E9" s="50">
        <v>0.30249999999999999</v>
      </c>
      <c r="F9" s="50">
        <v>0.33274999999999999</v>
      </c>
      <c r="G9" s="50">
        <v>0.2525</v>
      </c>
    </row>
    <row r="10" spans="2:7" outlineLevel="1" x14ac:dyDescent="0.3">
      <c r="B10" s="45" t="s">
        <v>91</v>
      </c>
      <c r="C10" s="45"/>
      <c r="D10" s="5">
        <v>6.0499999999999998E-2</v>
      </c>
      <c r="E10" s="50">
        <v>6.0499999999999998E-2</v>
      </c>
      <c r="F10" s="50">
        <v>6.6549999999999998E-2</v>
      </c>
      <c r="G10" s="50">
        <v>6.0499999999999998E-2</v>
      </c>
    </row>
    <row r="11" spans="2:7" outlineLevel="1" x14ac:dyDescent="0.3">
      <c r="B11" s="45" t="s">
        <v>90</v>
      </c>
      <c r="C11" s="45"/>
      <c r="D11" s="5">
        <v>0.1452</v>
      </c>
      <c r="E11" s="50">
        <v>0.1452</v>
      </c>
      <c r="F11" s="50">
        <v>0.1452</v>
      </c>
      <c r="G11" s="50">
        <v>0.1452</v>
      </c>
    </row>
    <row r="12" spans="2:7" x14ac:dyDescent="0.3">
      <c r="B12" s="46" t="s">
        <v>131</v>
      </c>
      <c r="C12" s="46"/>
      <c r="D12" s="44"/>
      <c r="E12" s="44"/>
      <c r="F12" s="44"/>
      <c r="G12" s="44"/>
    </row>
    <row r="13" spans="2:7" outlineLevel="1" x14ac:dyDescent="0.3">
      <c r="B13" s="45" t="s">
        <v>98</v>
      </c>
      <c r="C13" s="45"/>
      <c r="D13" s="52">
        <v>50172500000</v>
      </c>
      <c r="E13" s="52">
        <v>57172500000</v>
      </c>
      <c r="F13" s="52">
        <v>62889750000</v>
      </c>
      <c r="G13" s="52">
        <v>50172500000</v>
      </c>
    </row>
    <row r="14" spans="2:7" ht="15" outlineLevel="1" thickBot="1" x14ac:dyDescent="0.35">
      <c r="B14" s="47" t="s">
        <v>97</v>
      </c>
      <c r="C14" s="47"/>
      <c r="D14" s="53">
        <v>19827500000</v>
      </c>
      <c r="E14" s="53">
        <v>12827500000</v>
      </c>
      <c r="F14" s="53">
        <v>7110250000</v>
      </c>
      <c r="G14" s="53">
        <v>19827500000</v>
      </c>
    </row>
    <row r="15" spans="2:7" x14ac:dyDescent="0.3">
      <c r="B15" t="s">
        <v>132</v>
      </c>
    </row>
    <row r="16" spans="2:7" x14ac:dyDescent="0.3">
      <c r="B16" t="s">
        <v>133</v>
      </c>
    </row>
    <row r="17" spans="2:2" x14ac:dyDescent="0.3">
      <c r="B17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F4C9-5A4E-495E-BC84-45571B4187D1}">
  <sheetPr>
    <tabColor rgb="FF002060"/>
  </sheetPr>
  <dimension ref="B1:C25"/>
  <sheetViews>
    <sheetView showGridLines="0" tabSelected="1" zoomScale="115" zoomScaleNormal="115" workbookViewId="0">
      <selection activeCell="G14" sqref="G14"/>
    </sheetView>
  </sheetViews>
  <sheetFormatPr defaultRowHeight="14.4" x14ac:dyDescent="0.3"/>
  <cols>
    <col min="1" max="1" width="5.5546875" customWidth="1"/>
    <col min="2" max="2" width="17.77734375" customWidth="1"/>
    <col min="3" max="3" width="18.44140625" customWidth="1"/>
    <col min="4" max="4" width="9.5546875" bestFit="1" customWidth="1"/>
  </cols>
  <sheetData>
    <row r="1" spans="2:3" ht="18" x14ac:dyDescent="0.35">
      <c r="B1" s="9" t="s">
        <v>100</v>
      </c>
    </row>
    <row r="3" spans="2:3" x14ac:dyDescent="0.3">
      <c r="B3" s="7" t="s">
        <v>87</v>
      </c>
      <c r="C3" s="7"/>
    </row>
    <row r="4" spans="2:3" x14ac:dyDescent="0.3">
      <c r="B4" t="s">
        <v>87</v>
      </c>
      <c r="C4" s="36">
        <v>70000000000</v>
      </c>
    </row>
    <row r="6" spans="2:3" x14ac:dyDescent="0.3">
      <c r="B6" s="4" t="s">
        <v>95</v>
      </c>
      <c r="C6" s="32"/>
    </row>
    <row r="7" spans="2:3" x14ac:dyDescent="0.3">
      <c r="B7" s="4" t="s">
        <v>94</v>
      </c>
      <c r="C7" s="32">
        <f>$C$4*C16</f>
        <v>21175000000</v>
      </c>
    </row>
    <row r="8" spans="2:3" x14ac:dyDescent="0.3">
      <c r="B8" s="4" t="s">
        <v>93</v>
      </c>
      <c r="C8" s="32">
        <f t="shared" ref="C8:C11" si="0">$C$4*C17</f>
        <v>4235000000</v>
      </c>
    </row>
    <row r="9" spans="2:3" x14ac:dyDescent="0.3">
      <c r="B9" s="4" t="s">
        <v>92</v>
      </c>
      <c r="C9" s="32">
        <f t="shared" si="0"/>
        <v>2852500000</v>
      </c>
    </row>
    <row r="10" spans="2:3" x14ac:dyDescent="0.3">
      <c r="B10" s="4" t="s">
        <v>91</v>
      </c>
      <c r="C10" s="32">
        <f t="shared" si="0"/>
        <v>17675000000</v>
      </c>
    </row>
    <row r="11" spans="2:3" x14ac:dyDescent="0.3">
      <c r="B11" s="4" t="s">
        <v>90</v>
      </c>
      <c r="C11" s="32">
        <f t="shared" si="0"/>
        <v>4235000000</v>
      </c>
    </row>
    <row r="12" spans="2:3" x14ac:dyDescent="0.3">
      <c r="B12" s="8" t="s">
        <v>98</v>
      </c>
      <c r="C12" s="34">
        <f>SUM(C6:C11)</f>
        <v>50172500000</v>
      </c>
    </row>
    <row r="13" spans="2:3" x14ac:dyDescent="0.3">
      <c r="B13" s="4" t="s">
        <v>97</v>
      </c>
      <c r="C13" s="33">
        <f>C4-C12</f>
        <v>19827500000</v>
      </c>
    </row>
    <row r="15" spans="2:3" x14ac:dyDescent="0.3">
      <c r="B15" s="7" t="s">
        <v>96</v>
      </c>
      <c r="C15" s="7"/>
    </row>
    <row r="16" spans="2:3" x14ac:dyDescent="0.3">
      <c r="B16" s="4" t="s">
        <v>95</v>
      </c>
      <c r="C16" s="6">
        <v>0.30249999999999999</v>
      </c>
    </row>
    <row r="17" spans="2:3" x14ac:dyDescent="0.3">
      <c r="B17" s="4" t="s">
        <v>94</v>
      </c>
      <c r="C17" s="6">
        <v>6.0499999999999998E-2</v>
      </c>
    </row>
    <row r="18" spans="2:3" x14ac:dyDescent="0.3">
      <c r="B18" s="4" t="s">
        <v>93</v>
      </c>
      <c r="C18" s="6">
        <v>4.0750000000000001E-2</v>
      </c>
    </row>
    <row r="19" spans="2:3" x14ac:dyDescent="0.3">
      <c r="B19" s="4" t="s">
        <v>92</v>
      </c>
      <c r="C19" s="6">
        <v>0.2525</v>
      </c>
    </row>
    <row r="20" spans="2:3" x14ac:dyDescent="0.3">
      <c r="B20" s="4" t="s">
        <v>91</v>
      </c>
      <c r="C20" s="6">
        <v>6.0499999999999998E-2</v>
      </c>
    </row>
    <row r="21" spans="2:3" x14ac:dyDescent="0.3">
      <c r="B21" s="4" t="s">
        <v>90</v>
      </c>
      <c r="C21" s="6">
        <v>0.1452</v>
      </c>
    </row>
    <row r="22" spans="2:3" x14ac:dyDescent="0.3">
      <c r="C22" s="5"/>
    </row>
    <row r="23" spans="2:3" x14ac:dyDescent="0.3">
      <c r="B23" s="4" t="s">
        <v>89</v>
      </c>
      <c r="C23" t="s">
        <v>137</v>
      </c>
    </row>
    <row r="24" spans="2:3" x14ac:dyDescent="0.3">
      <c r="B24" s="4" t="s">
        <v>88</v>
      </c>
      <c r="C24" t="s">
        <v>136</v>
      </c>
    </row>
    <row r="25" spans="2:3" x14ac:dyDescent="0.3">
      <c r="B25" s="4" t="s">
        <v>135</v>
      </c>
      <c r="C25" t="s">
        <v>138</v>
      </c>
    </row>
  </sheetData>
  <scenarios current="0" show="2" sqref="C12:C13">
    <scenario name="Case 1 - As-Is" locked="1" count="6" user="Ikin Solihin" comment="Created by Ikin Solihin on 8/2/2025_x000a_Modified by Ikin Solihin on 8/2/2025">
      <inputCells r="C16" val="0.3025" numFmtId="10"/>
      <inputCells r="C17" val="0.0605" numFmtId="10"/>
      <inputCells r="C18" val="0.09075" numFmtId="10"/>
      <inputCells r="C19" val="0.3025" numFmtId="10"/>
      <inputCells r="C20" val="0.0605" numFmtId="10"/>
      <inputCells r="C21" val="0.1452" numFmtId="10"/>
    </scenario>
    <scenario name="Case 2 - 10% Increase" locked="1" count="6" user="Ikin Solihin" comment="Created by Ikin Solihin on 8/2/2025_x000a_Modified by Ikin Solihin on 8/2/2025">
      <inputCells r="C16" val="0.33275" numFmtId="10"/>
      <inputCells r="C17" val="0.06655" numFmtId="10"/>
      <inputCells r="C18" val="0.099825" numFmtId="10"/>
      <inputCells r="C19" val="0.33275" numFmtId="10"/>
      <inputCells r="C20" val="0.06655" numFmtId="10"/>
      <inputCells r="C21" val="0.1452" numFmtId="10"/>
    </scenario>
    <scenario name="Case 3: Efficiency" locked="1" count="6" user="Ikin Solihin" comment="Created by Ikin Solihin on 8/2/2025">
      <inputCells r="C16" val="0.3025" numFmtId="10"/>
      <inputCells r="C17" val="0.0605" numFmtId="10"/>
      <inputCells r="C18" val="0.04075" numFmtId="10"/>
      <inputCells r="C19" val="0.2525" numFmtId="10"/>
      <inputCells r="C20" val="0.0605" numFmtId="10"/>
      <inputCells r="C21" val="0.1452" numFmtId="10"/>
    </scenario>
  </scenario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C4238-CCB1-4CD6-A6A0-A0CCE30DAEBB}">
  <sheetPr>
    <tabColor rgb="FF002060"/>
  </sheetPr>
  <dimension ref="B1:F21"/>
  <sheetViews>
    <sheetView showGridLines="0" zoomScaleNormal="100" workbookViewId="0">
      <selection activeCell="G20" sqref="G20"/>
    </sheetView>
  </sheetViews>
  <sheetFormatPr defaultRowHeight="14.4" x14ac:dyDescent="0.3"/>
  <cols>
    <col min="1" max="1" width="5.5546875" customWidth="1"/>
    <col min="2" max="2" width="27" bestFit="1" customWidth="1"/>
    <col min="3" max="3" width="22.6640625" style="10" bestFit="1" customWidth="1"/>
    <col min="4" max="4" width="8.6640625" customWidth="1"/>
    <col min="5" max="5" width="13.77734375" customWidth="1"/>
    <col min="6" max="6" width="12.88671875" customWidth="1"/>
    <col min="7" max="7" width="12.21875" bestFit="1" customWidth="1"/>
    <col min="8" max="8" width="12.88671875" bestFit="1" customWidth="1"/>
  </cols>
  <sheetData>
    <row r="1" spans="2:6" ht="18" x14ac:dyDescent="0.35">
      <c r="B1" s="9" t="s">
        <v>107</v>
      </c>
    </row>
    <row r="2" spans="2:6" x14ac:dyDescent="0.3">
      <c r="C2"/>
    </row>
    <row r="3" spans="2:6" x14ac:dyDescent="0.3">
      <c r="B3" s="12" t="s">
        <v>105</v>
      </c>
      <c r="C3" s="14">
        <v>24999.999999999996</v>
      </c>
    </row>
    <row r="4" spans="2:6" x14ac:dyDescent="0.3">
      <c r="B4" s="12" t="s">
        <v>104</v>
      </c>
      <c r="C4" s="14">
        <v>21000</v>
      </c>
    </row>
    <row r="5" spans="2:6" x14ac:dyDescent="0.3">
      <c r="B5" s="12" t="s">
        <v>99</v>
      </c>
      <c r="C5" s="13">
        <f>C3*C4</f>
        <v>524999999.99999994</v>
      </c>
      <c r="F5" s="36"/>
    </row>
    <row r="7" spans="2:6" x14ac:dyDescent="0.3">
      <c r="B7" s="12" t="s">
        <v>103</v>
      </c>
      <c r="C7" s="14">
        <v>15000</v>
      </c>
    </row>
    <row r="8" spans="2:6" x14ac:dyDescent="0.3">
      <c r="B8" s="12" t="s">
        <v>102</v>
      </c>
      <c r="C8" s="13">
        <f>C7*C3</f>
        <v>374999999.99999994</v>
      </c>
    </row>
    <row r="10" spans="2:6" x14ac:dyDescent="0.3">
      <c r="B10" s="12" t="s">
        <v>101</v>
      </c>
      <c r="C10" s="11">
        <f>C5-C8</f>
        <v>150000000</v>
      </c>
      <c r="E10" s="4" t="s">
        <v>124</v>
      </c>
      <c r="F10" s="37">
        <v>150000000</v>
      </c>
    </row>
    <row r="12" spans="2:6" ht="18" x14ac:dyDescent="0.35">
      <c r="B12" s="9" t="s">
        <v>106</v>
      </c>
    </row>
    <row r="14" spans="2:6" x14ac:dyDescent="0.3">
      <c r="B14" s="12" t="s">
        <v>105</v>
      </c>
      <c r="C14" s="14">
        <v>13195.726238708663</v>
      </c>
    </row>
    <row r="15" spans="2:6" x14ac:dyDescent="0.3">
      <c r="B15" s="12" t="s">
        <v>104</v>
      </c>
      <c r="C15" s="14">
        <v>25367.314995349923</v>
      </c>
    </row>
    <row r="16" spans="2:6" x14ac:dyDescent="0.3">
      <c r="B16" s="12" t="s">
        <v>99</v>
      </c>
      <c r="C16" s="13">
        <f>C14*C15</f>
        <v>334740144.08972669</v>
      </c>
    </row>
    <row r="18" spans="2:3" x14ac:dyDescent="0.3">
      <c r="B18" s="12" t="s">
        <v>103</v>
      </c>
      <c r="C18" s="14">
        <v>14000</v>
      </c>
    </row>
    <row r="19" spans="2:3" x14ac:dyDescent="0.3">
      <c r="B19" s="12" t="s">
        <v>102</v>
      </c>
      <c r="C19" s="13">
        <f>C14*C18</f>
        <v>184740167.34192127</v>
      </c>
    </row>
    <row r="21" spans="2:3" x14ac:dyDescent="0.3">
      <c r="B21" s="12" t="s">
        <v>101</v>
      </c>
      <c r="C21" s="11">
        <f>C16-C19</f>
        <v>149999976.74780542</v>
      </c>
    </row>
  </sheetData>
  <scenarios current="0">
    <scenario name="A" count="2" user="Ikin Solihin" comment="Created by Ikin Solihin on 8/1/2025">
      <inputCells r="C14" val="13195.7262387087" numFmtId="165"/>
      <inputCells r="C15" val="25367.3149953499" numFmtId="165"/>
    </scenario>
  </scenario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CD8A-93EA-4FFD-8BB4-706AFC29F8CF}">
  <sheetPr>
    <tabColor rgb="FF002060"/>
  </sheetPr>
  <dimension ref="B1:K50"/>
  <sheetViews>
    <sheetView showGridLines="0" zoomScaleNormal="100" workbookViewId="0">
      <selection activeCell="N12" sqref="N12"/>
    </sheetView>
  </sheetViews>
  <sheetFormatPr defaultColWidth="9.109375" defaultRowHeight="14.4" x14ac:dyDescent="0.3"/>
  <cols>
    <col min="2" max="2" width="22.109375" bestFit="1" customWidth="1"/>
    <col min="3" max="3" width="15.109375" bestFit="1" customWidth="1"/>
    <col min="4" max="4" width="7" customWidth="1"/>
    <col min="5" max="5" width="12.21875" customWidth="1"/>
    <col min="6" max="6" width="12.44140625" bestFit="1" customWidth="1"/>
    <col min="7" max="8" width="15" bestFit="1" customWidth="1"/>
    <col min="9" max="9" width="17.44140625" bestFit="1" customWidth="1"/>
    <col min="10" max="10" width="14.5546875" bestFit="1" customWidth="1"/>
    <col min="11" max="11" width="15" bestFit="1" customWidth="1"/>
  </cols>
  <sheetData>
    <row r="1" spans="2:11" ht="18" x14ac:dyDescent="0.35">
      <c r="B1" s="9" t="s">
        <v>121</v>
      </c>
    </row>
    <row r="3" spans="2:11" x14ac:dyDescent="0.3">
      <c r="B3" s="18" t="s">
        <v>99</v>
      </c>
      <c r="C3" s="29">
        <f>C12*C13</f>
        <v>32700000</v>
      </c>
      <c r="D3" s="22"/>
      <c r="E3" s="18" t="s">
        <v>120</v>
      </c>
      <c r="F3" s="17"/>
      <c r="G3" s="18" t="s">
        <v>99</v>
      </c>
      <c r="H3" s="18" t="s">
        <v>118</v>
      </c>
      <c r="I3" s="18" t="s">
        <v>117</v>
      </c>
      <c r="J3" s="18" t="s">
        <v>97</v>
      </c>
      <c r="K3" s="18" t="s">
        <v>116</v>
      </c>
    </row>
    <row r="4" spans="2:11" ht="15" thickBot="1" x14ac:dyDescent="0.35">
      <c r="B4" s="18" t="s">
        <v>118</v>
      </c>
      <c r="C4" s="28">
        <f>C12*C14</f>
        <v>21000000</v>
      </c>
      <c r="D4" s="22"/>
      <c r="E4" s="22"/>
      <c r="F4" s="39">
        <f>C12</f>
        <v>3000</v>
      </c>
      <c r="G4" s="26">
        <f>C3</f>
        <v>32700000</v>
      </c>
      <c r="H4" s="26">
        <f>C4</f>
        <v>21000000</v>
      </c>
      <c r="I4" s="26">
        <f>C5</f>
        <v>11700000</v>
      </c>
      <c r="J4" s="26">
        <f>C7</f>
        <v>1700000</v>
      </c>
      <c r="K4" s="26">
        <f>C9</f>
        <v>31000000</v>
      </c>
    </row>
    <row r="5" spans="2:11" x14ac:dyDescent="0.3">
      <c r="B5" s="18" t="s">
        <v>117</v>
      </c>
      <c r="C5" s="25">
        <f>C3-C4</f>
        <v>11700000</v>
      </c>
      <c r="D5" s="22"/>
      <c r="E5" s="22"/>
      <c r="F5" s="16">
        <f>C17</f>
        <v>250</v>
      </c>
      <c r="G5" s="38">
        <f t="dataTable" ref="G5:K24" dt2D="0" dtr="0" r1="C12"/>
        <v>2725000</v>
      </c>
      <c r="H5" s="38">
        <v>1750000</v>
      </c>
      <c r="I5" s="38">
        <v>975000</v>
      </c>
      <c r="J5" s="38">
        <v>-9025000</v>
      </c>
      <c r="K5" s="38">
        <v>11750000</v>
      </c>
    </row>
    <row r="6" spans="2:11" ht="15" thickBot="1" x14ac:dyDescent="0.35">
      <c r="B6" s="18" t="s">
        <v>112</v>
      </c>
      <c r="C6" s="24">
        <f>C15</f>
        <v>10000000</v>
      </c>
      <c r="D6" s="22"/>
      <c r="E6" s="22"/>
      <c r="F6" s="16">
        <f t="shared" ref="F6:F24" si="0">F5+$C$17</f>
        <v>500</v>
      </c>
      <c r="G6" s="38">
        <v>5450000</v>
      </c>
      <c r="H6" s="38">
        <v>3500000</v>
      </c>
      <c r="I6" s="38">
        <v>1950000</v>
      </c>
      <c r="J6" s="38">
        <v>-8050000</v>
      </c>
      <c r="K6" s="38">
        <v>13500000</v>
      </c>
    </row>
    <row r="7" spans="2:11" ht="15" thickBot="1" x14ac:dyDescent="0.35">
      <c r="B7" s="18" t="s">
        <v>97</v>
      </c>
      <c r="C7" s="23">
        <f>C5-C6</f>
        <v>1700000</v>
      </c>
      <c r="D7" s="22"/>
      <c r="E7" s="22"/>
      <c r="F7" s="16">
        <f t="shared" si="0"/>
        <v>750</v>
      </c>
      <c r="G7" s="38">
        <v>8175000</v>
      </c>
      <c r="H7" s="38">
        <v>5250000</v>
      </c>
      <c r="I7" s="38">
        <v>2925000</v>
      </c>
      <c r="J7" s="38">
        <v>-7075000</v>
      </c>
      <c r="K7" s="38">
        <v>15250000</v>
      </c>
    </row>
    <row r="8" spans="2:11" ht="15" thickTop="1" x14ac:dyDescent="0.3">
      <c r="B8" s="22"/>
      <c r="C8" s="22"/>
      <c r="D8" s="22"/>
      <c r="E8" s="22"/>
      <c r="F8" s="16">
        <f t="shared" si="0"/>
        <v>1000</v>
      </c>
      <c r="G8" s="38">
        <v>10900000</v>
      </c>
      <c r="H8" s="38">
        <v>7000000</v>
      </c>
      <c r="I8" s="38">
        <v>3900000</v>
      </c>
      <c r="J8" s="38">
        <v>-6100000</v>
      </c>
      <c r="K8" s="38">
        <v>17000000</v>
      </c>
    </row>
    <row r="9" spans="2:11" x14ac:dyDescent="0.3">
      <c r="B9" s="17" t="s">
        <v>116</v>
      </c>
      <c r="C9" s="21">
        <f>C4+C6</f>
        <v>31000000</v>
      </c>
      <c r="D9" s="22"/>
      <c r="E9" s="22"/>
      <c r="F9" s="16">
        <f t="shared" si="0"/>
        <v>1250</v>
      </c>
      <c r="G9" s="38">
        <v>13625000</v>
      </c>
      <c r="H9" s="38">
        <v>8750000</v>
      </c>
      <c r="I9" s="38">
        <v>4875000</v>
      </c>
      <c r="J9" s="38">
        <v>-5125000</v>
      </c>
      <c r="K9" s="38">
        <v>18750000</v>
      </c>
    </row>
    <row r="10" spans="2:11" x14ac:dyDescent="0.3">
      <c r="D10" s="22"/>
      <c r="E10" s="22"/>
      <c r="F10" s="16">
        <f t="shared" si="0"/>
        <v>1500</v>
      </c>
      <c r="G10" s="38">
        <v>16350000</v>
      </c>
      <c r="H10" s="38">
        <v>10500000</v>
      </c>
      <c r="I10" s="38">
        <v>5850000</v>
      </c>
      <c r="J10" s="38">
        <v>-4150000</v>
      </c>
      <c r="K10" s="38">
        <v>20500000</v>
      </c>
    </row>
    <row r="11" spans="2:11" x14ac:dyDescent="0.3">
      <c r="B11" s="20" t="s">
        <v>115</v>
      </c>
      <c r="C11" s="20"/>
      <c r="D11" s="22"/>
      <c r="E11" s="22"/>
      <c r="F11" s="16">
        <f t="shared" si="0"/>
        <v>1750</v>
      </c>
      <c r="G11" s="38">
        <v>19075000</v>
      </c>
      <c r="H11" s="38">
        <v>12250000</v>
      </c>
      <c r="I11" s="38">
        <v>6825000</v>
      </c>
      <c r="J11" s="38">
        <v>-3175000</v>
      </c>
      <c r="K11" s="38">
        <v>22250000</v>
      </c>
    </row>
    <row r="12" spans="2:11" x14ac:dyDescent="0.3">
      <c r="B12" s="18" t="s">
        <v>114</v>
      </c>
      <c r="C12" s="14">
        <v>3000</v>
      </c>
      <c r="D12" s="22"/>
      <c r="E12" s="22"/>
      <c r="F12" s="16">
        <f t="shared" si="0"/>
        <v>2000</v>
      </c>
      <c r="G12" s="38">
        <v>21800000</v>
      </c>
      <c r="H12" s="38">
        <v>14000000</v>
      </c>
      <c r="I12" s="38">
        <v>7800000</v>
      </c>
      <c r="J12" s="38">
        <v>-2200000</v>
      </c>
      <c r="K12" s="38">
        <v>24000000</v>
      </c>
    </row>
    <row r="13" spans="2:11" x14ac:dyDescent="0.3">
      <c r="B13" s="18" t="s">
        <v>104</v>
      </c>
      <c r="C13" s="19">
        <v>10900</v>
      </c>
      <c r="D13" s="22"/>
      <c r="E13" s="22"/>
      <c r="F13" s="16">
        <f t="shared" si="0"/>
        <v>2250</v>
      </c>
      <c r="G13" s="38">
        <v>24525000</v>
      </c>
      <c r="H13" s="38">
        <v>15750000</v>
      </c>
      <c r="I13" s="38">
        <v>8775000</v>
      </c>
      <c r="J13" s="38">
        <v>-1225000</v>
      </c>
      <c r="K13" s="38">
        <v>25750000</v>
      </c>
    </row>
    <row r="14" spans="2:11" x14ac:dyDescent="0.3">
      <c r="B14" s="18" t="s">
        <v>113</v>
      </c>
      <c r="C14" s="19">
        <v>7000</v>
      </c>
      <c r="D14" s="22"/>
      <c r="E14" s="22"/>
      <c r="F14" s="16">
        <f t="shared" si="0"/>
        <v>2500</v>
      </c>
      <c r="G14" s="38">
        <v>27250000</v>
      </c>
      <c r="H14" s="38">
        <v>17500000</v>
      </c>
      <c r="I14" s="38">
        <v>9750000</v>
      </c>
      <c r="J14" s="38">
        <v>-250000</v>
      </c>
      <c r="K14" s="38">
        <v>27500000</v>
      </c>
    </row>
    <row r="15" spans="2:11" x14ac:dyDescent="0.3">
      <c r="B15" s="18" t="s">
        <v>112</v>
      </c>
      <c r="C15" s="19">
        <v>10000000</v>
      </c>
      <c r="D15" s="22"/>
      <c r="E15" s="22"/>
      <c r="F15" s="16">
        <f t="shared" si="0"/>
        <v>2750</v>
      </c>
      <c r="G15" s="38">
        <v>29975000</v>
      </c>
      <c r="H15" s="38">
        <v>19250000</v>
      </c>
      <c r="I15" s="38">
        <v>10725000</v>
      </c>
      <c r="J15" s="38">
        <v>725000</v>
      </c>
      <c r="K15" s="38">
        <v>29250000</v>
      </c>
    </row>
    <row r="16" spans="2:11" x14ac:dyDescent="0.3">
      <c r="B16" s="18" t="s">
        <v>111</v>
      </c>
      <c r="C16" s="18">
        <v>0</v>
      </c>
      <c r="D16" s="22"/>
      <c r="E16" s="22"/>
      <c r="F16" s="16">
        <f t="shared" si="0"/>
        <v>3000</v>
      </c>
      <c r="G16" s="38">
        <v>32700000</v>
      </c>
      <c r="H16" s="38">
        <v>21000000</v>
      </c>
      <c r="I16" s="38">
        <v>11700000</v>
      </c>
      <c r="J16" s="38">
        <v>1700000</v>
      </c>
      <c r="K16" s="38">
        <v>31000000</v>
      </c>
    </row>
    <row r="17" spans="2:11" x14ac:dyDescent="0.3">
      <c r="B17" s="18" t="s">
        <v>110</v>
      </c>
      <c r="C17" s="18">
        <v>250</v>
      </c>
      <c r="D17" s="22"/>
      <c r="E17" s="22"/>
      <c r="F17" s="16">
        <f t="shared" si="0"/>
        <v>3250</v>
      </c>
      <c r="G17" s="38">
        <v>35425000</v>
      </c>
      <c r="H17" s="38">
        <v>22750000</v>
      </c>
      <c r="I17" s="38">
        <v>12675000</v>
      </c>
      <c r="J17" s="38">
        <v>2675000</v>
      </c>
      <c r="K17" s="38">
        <v>32750000</v>
      </c>
    </row>
    <row r="18" spans="2:11" x14ac:dyDescent="0.3">
      <c r="D18" s="22"/>
      <c r="E18" s="22"/>
      <c r="F18" s="16">
        <f t="shared" si="0"/>
        <v>3500</v>
      </c>
      <c r="G18" s="38">
        <v>38150000</v>
      </c>
      <c r="H18" s="38">
        <v>24500000</v>
      </c>
      <c r="I18" s="38">
        <v>13650000</v>
      </c>
      <c r="J18" s="38">
        <v>3650000</v>
      </c>
      <c r="K18" s="38">
        <v>34500000</v>
      </c>
    </row>
    <row r="19" spans="2:11" x14ac:dyDescent="0.3">
      <c r="D19" s="22"/>
      <c r="E19" s="22"/>
      <c r="F19" s="16">
        <f t="shared" si="0"/>
        <v>3750</v>
      </c>
      <c r="G19" s="38">
        <v>40875000</v>
      </c>
      <c r="H19" s="38">
        <v>26250000</v>
      </c>
      <c r="I19" s="38">
        <v>14625000</v>
      </c>
      <c r="J19" s="38">
        <v>4625000</v>
      </c>
      <c r="K19" s="38">
        <v>36250000</v>
      </c>
    </row>
    <row r="20" spans="2:11" x14ac:dyDescent="0.3">
      <c r="D20" s="22"/>
      <c r="E20" s="22"/>
      <c r="F20" s="16">
        <f t="shared" si="0"/>
        <v>4000</v>
      </c>
      <c r="G20" s="38">
        <v>43600000</v>
      </c>
      <c r="H20" s="38">
        <v>28000000</v>
      </c>
      <c r="I20" s="38">
        <v>15600000</v>
      </c>
      <c r="J20" s="38">
        <v>5600000</v>
      </c>
      <c r="K20" s="38">
        <v>38000000</v>
      </c>
    </row>
    <row r="21" spans="2:11" x14ac:dyDescent="0.3">
      <c r="B21" s="22"/>
      <c r="C21" s="22"/>
      <c r="D21" s="22"/>
      <c r="E21" s="22"/>
      <c r="F21" s="16">
        <f t="shared" si="0"/>
        <v>4250</v>
      </c>
      <c r="G21" s="38">
        <v>46325000</v>
      </c>
      <c r="H21" s="38">
        <v>29750000</v>
      </c>
      <c r="I21" s="38">
        <v>16575000</v>
      </c>
      <c r="J21" s="38">
        <v>6575000</v>
      </c>
      <c r="K21" s="38">
        <v>39750000</v>
      </c>
    </row>
    <row r="22" spans="2:11" x14ac:dyDescent="0.3">
      <c r="B22" s="22"/>
      <c r="C22" s="22"/>
      <c r="D22" s="22"/>
      <c r="E22" s="22"/>
      <c r="F22" s="16">
        <f t="shared" si="0"/>
        <v>4500</v>
      </c>
      <c r="G22" s="38">
        <v>49050000</v>
      </c>
      <c r="H22" s="38">
        <v>31500000</v>
      </c>
      <c r="I22" s="38">
        <v>17550000</v>
      </c>
      <c r="J22" s="38">
        <v>7550000</v>
      </c>
      <c r="K22" s="38">
        <v>41500000</v>
      </c>
    </row>
    <row r="23" spans="2:11" x14ac:dyDescent="0.3">
      <c r="B23" s="22"/>
      <c r="C23" s="22"/>
      <c r="D23" s="22"/>
      <c r="E23" s="22"/>
      <c r="F23" s="16">
        <f t="shared" si="0"/>
        <v>4750</v>
      </c>
      <c r="G23" s="38">
        <v>51775000</v>
      </c>
      <c r="H23" s="38">
        <v>33250000</v>
      </c>
      <c r="I23" s="38">
        <v>18525000</v>
      </c>
      <c r="J23" s="38">
        <v>8525000</v>
      </c>
      <c r="K23" s="38">
        <v>43250000</v>
      </c>
    </row>
    <row r="24" spans="2:11" x14ac:dyDescent="0.3">
      <c r="E24" s="22"/>
      <c r="F24" s="16">
        <f t="shared" si="0"/>
        <v>5000</v>
      </c>
      <c r="G24" s="38">
        <v>54500000</v>
      </c>
      <c r="H24" s="38">
        <v>35000000</v>
      </c>
      <c r="I24" s="38">
        <v>19500000</v>
      </c>
      <c r="J24" s="38">
        <v>9500000</v>
      </c>
      <c r="K24" s="38">
        <v>45000000</v>
      </c>
    </row>
    <row r="27" spans="2:11" ht="18" x14ac:dyDescent="0.35">
      <c r="B27" s="9" t="s">
        <v>119</v>
      </c>
    </row>
    <row r="29" spans="2:11" x14ac:dyDescent="0.3">
      <c r="B29" s="18" t="s">
        <v>99</v>
      </c>
      <c r="C29" s="29">
        <f>C38*C39</f>
        <v>32700000</v>
      </c>
      <c r="F29" s="17"/>
      <c r="G29" s="18"/>
      <c r="H29" s="18"/>
      <c r="I29" s="18"/>
      <c r="J29" s="18"/>
      <c r="K29" s="18"/>
    </row>
    <row r="30" spans="2:11" ht="15" thickBot="1" x14ac:dyDescent="0.35">
      <c r="B30" s="18" t="s">
        <v>118</v>
      </c>
      <c r="C30" s="28">
        <f>C38*C40</f>
        <v>21000000</v>
      </c>
      <c r="F30" s="27">
        <f>C33</f>
        <v>1700000</v>
      </c>
      <c r="G30" s="26">
        <f>C44</f>
        <v>9000</v>
      </c>
      <c r="H30" s="26">
        <f>G30+$C$45</f>
        <v>10000</v>
      </c>
      <c r="I30" s="26">
        <f t="shared" ref="I30:K30" si="1">H30+$C$45</f>
        <v>11000</v>
      </c>
      <c r="J30" s="26">
        <f t="shared" si="1"/>
        <v>12000</v>
      </c>
      <c r="K30" s="26">
        <f t="shared" si="1"/>
        <v>13000</v>
      </c>
    </row>
    <row r="31" spans="2:11" x14ac:dyDescent="0.3">
      <c r="B31" s="18" t="s">
        <v>117</v>
      </c>
      <c r="C31" s="25">
        <f>C29-C30</f>
        <v>11700000</v>
      </c>
      <c r="F31" s="16">
        <f>C42</f>
        <v>0</v>
      </c>
      <c r="G31" s="15">
        <f t="dataTable" ref="G31:K50" dt2D="1" dtr="1" r1="C39" r2="C38"/>
        <v>-10000000</v>
      </c>
      <c r="H31" s="15">
        <v>-10000000</v>
      </c>
      <c r="I31" s="15">
        <v>-10000000</v>
      </c>
      <c r="J31" s="15">
        <v>-10000000</v>
      </c>
      <c r="K31" s="15">
        <v>-10000000</v>
      </c>
    </row>
    <row r="32" spans="2:11" ht="15" thickBot="1" x14ac:dyDescent="0.35">
      <c r="B32" s="18" t="s">
        <v>112</v>
      </c>
      <c r="C32" s="24">
        <f>C41</f>
        <v>10000000</v>
      </c>
      <c r="F32" s="16">
        <f>F31+$C$43</f>
        <v>250</v>
      </c>
      <c r="G32" s="15">
        <v>-9500000</v>
      </c>
      <c r="H32" s="15">
        <v>-9250000</v>
      </c>
      <c r="I32" s="15">
        <v>-9000000</v>
      </c>
      <c r="J32" s="15">
        <v>-8750000</v>
      </c>
      <c r="K32" s="15">
        <v>-8500000</v>
      </c>
    </row>
    <row r="33" spans="2:11" ht="15" thickBot="1" x14ac:dyDescent="0.35">
      <c r="B33" s="18" t="s">
        <v>97</v>
      </c>
      <c r="C33" s="23">
        <f>C31-C32</f>
        <v>1700000</v>
      </c>
      <c r="F33" s="16">
        <f t="shared" ref="F33:F50" si="2">F32+$C$43</f>
        <v>500</v>
      </c>
      <c r="G33" s="15">
        <v>-9000000</v>
      </c>
      <c r="H33" s="15">
        <v>-8500000</v>
      </c>
      <c r="I33" s="15">
        <v>-8000000</v>
      </c>
      <c r="J33" s="15">
        <v>-7500000</v>
      </c>
      <c r="K33" s="15">
        <v>-7000000</v>
      </c>
    </row>
    <row r="34" spans="2:11" ht="15" thickTop="1" x14ac:dyDescent="0.3">
      <c r="B34" s="22"/>
      <c r="C34" s="22"/>
      <c r="F34" s="16">
        <f t="shared" si="2"/>
        <v>750</v>
      </c>
      <c r="G34" s="15">
        <v>-8500000</v>
      </c>
      <c r="H34" s="15">
        <v>-7750000</v>
      </c>
      <c r="I34" s="15">
        <v>-7000000</v>
      </c>
      <c r="J34" s="15">
        <v>-6250000</v>
      </c>
      <c r="K34" s="15">
        <v>-5500000</v>
      </c>
    </row>
    <row r="35" spans="2:11" x14ac:dyDescent="0.3">
      <c r="B35" s="17" t="s">
        <v>116</v>
      </c>
      <c r="C35" s="21">
        <f>C30+C32</f>
        <v>31000000</v>
      </c>
      <c r="F35" s="16">
        <f t="shared" si="2"/>
        <v>1000</v>
      </c>
      <c r="G35" s="15">
        <v>-8000000</v>
      </c>
      <c r="H35" s="15">
        <v>-7000000</v>
      </c>
      <c r="I35" s="15">
        <v>-6000000</v>
      </c>
      <c r="J35" s="15">
        <v>-5000000</v>
      </c>
      <c r="K35" s="15">
        <v>-4000000</v>
      </c>
    </row>
    <row r="36" spans="2:11" x14ac:dyDescent="0.3">
      <c r="F36" s="16">
        <f t="shared" si="2"/>
        <v>1250</v>
      </c>
      <c r="G36" s="15">
        <v>-7500000</v>
      </c>
      <c r="H36" s="15">
        <v>-6250000</v>
      </c>
      <c r="I36" s="15">
        <v>-5000000</v>
      </c>
      <c r="J36" s="15">
        <v>-3750000</v>
      </c>
      <c r="K36" s="15">
        <v>-2500000</v>
      </c>
    </row>
    <row r="37" spans="2:11" x14ac:dyDescent="0.3">
      <c r="B37" s="20" t="s">
        <v>115</v>
      </c>
      <c r="C37" s="20"/>
      <c r="F37" s="16">
        <f t="shared" si="2"/>
        <v>1500</v>
      </c>
      <c r="G37" s="15">
        <v>-7000000</v>
      </c>
      <c r="H37" s="15">
        <v>-5500000</v>
      </c>
      <c r="I37" s="15">
        <v>-4000000</v>
      </c>
      <c r="J37" s="15">
        <v>-2500000</v>
      </c>
      <c r="K37" s="15">
        <v>-1000000</v>
      </c>
    </row>
    <row r="38" spans="2:11" x14ac:dyDescent="0.3">
      <c r="B38" s="18" t="s">
        <v>114</v>
      </c>
      <c r="C38" s="14">
        <v>3000</v>
      </c>
      <c r="F38" s="16">
        <f t="shared" si="2"/>
        <v>1750</v>
      </c>
      <c r="G38" s="15">
        <v>-6500000</v>
      </c>
      <c r="H38" s="15">
        <v>-4750000</v>
      </c>
      <c r="I38" s="15">
        <v>-3000000</v>
      </c>
      <c r="J38" s="15">
        <v>-1250000</v>
      </c>
      <c r="K38" s="15">
        <v>500000</v>
      </c>
    </row>
    <row r="39" spans="2:11" x14ac:dyDescent="0.3">
      <c r="B39" s="18" t="s">
        <v>104</v>
      </c>
      <c r="C39" s="19">
        <v>10900</v>
      </c>
      <c r="F39" s="16">
        <f t="shared" si="2"/>
        <v>2000</v>
      </c>
      <c r="G39" s="15">
        <v>-6000000</v>
      </c>
      <c r="H39" s="15">
        <v>-4000000</v>
      </c>
      <c r="I39" s="15">
        <v>-2000000</v>
      </c>
      <c r="J39" s="15">
        <v>0</v>
      </c>
      <c r="K39" s="15">
        <v>2000000</v>
      </c>
    </row>
    <row r="40" spans="2:11" x14ac:dyDescent="0.3">
      <c r="B40" s="18" t="s">
        <v>113</v>
      </c>
      <c r="C40" s="19">
        <v>7000</v>
      </c>
      <c r="F40" s="16">
        <f t="shared" si="2"/>
        <v>2250</v>
      </c>
      <c r="G40" s="15">
        <v>-5500000</v>
      </c>
      <c r="H40" s="15">
        <v>-3250000</v>
      </c>
      <c r="I40" s="15">
        <v>-1000000</v>
      </c>
      <c r="J40" s="15">
        <v>1250000</v>
      </c>
      <c r="K40" s="15">
        <v>3500000</v>
      </c>
    </row>
    <row r="41" spans="2:11" x14ac:dyDescent="0.3">
      <c r="B41" s="18" t="s">
        <v>112</v>
      </c>
      <c r="C41" s="19">
        <v>10000000</v>
      </c>
      <c r="F41" s="16">
        <f t="shared" si="2"/>
        <v>2500</v>
      </c>
      <c r="G41" s="15">
        <v>-5000000</v>
      </c>
      <c r="H41" s="15">
        <v>-2500000</v>
      </c>
      <c r="I41" s="15">
        <v>0</v>
      </c>
      <c r="J41" s="15">
        <v>2500000</v>
      </c>
      <c r="K41" s="15">
        <v>5000000</v>
      </c>
    </row>
    <row r="42" spans="2:11" x14ac:dyDescent="0.3">
      <c r="B42" s="18" t="s">
        <v>111</v>
      </c>
      <c r="C42" s="18">
        <v>0</v>
      </c>
      <c r="F42" s="16">
        <f t="shared" si="2"/>
        <v>2750</v>
      </c>
      <c r="G42" s="15">
        <v>-4500000</v>
      </c>
      <c r="H42" s="15">
        <v>-1750000</v>
      </c>
      <c r="I42" s="15">
        <v>1000000</v>
      </c>
      <c r="J42" s="15">
        <v>3750000</v>
      </c>
      <c r="K42" s="15">
        <v>6500000</v>
      </c>
    </row>
    <row r="43" spans="2:11" x14ac:dyDescent="0.3">
      <c r="B43" s="18" t="s">
        <v>110</v>
      </c>
      <c r="C43" s="18">
        <v>250</v>
      </c>
      <c r="F43" s="16">
        <f t="shared" si="2"/>
        <v>3000</v>
      </c>
      <c r="G43" s="15">
        <v>-4000000</v>
      </c>
      <c r="H43" s="15">
        <v>-1000000</v>
      </c>
      <c r="I43" s="15">
        <v>2000000</v>
      </c>
      <c r="J43" s="15">
        <v>5000000</v>
      </c>
      <c r="K43" s="15">
        <v>8000000</v>
      </c>
    </row>
    <row r="44" spans="2:11" x14ac:dyDescent="0.3">
      <c r="B44" s="18" t="s">
        <v>109</v>
      </c>
      <c r="C44" s="17">
        <v>9000</v>
      </c>
      <c r="F44" s="16">
        <f t="shared" si="2"/>
        <v>3250</v>
      </c>
      <c r="G44" s="15">
        <v>-3500000</v>
      </c>
      <c r="H44" s="15">
        <v>-250000</v>
      </c>
      <c r="I44" s="15">
        <v>3000000</v>
      </c>
      <c r="J44" s="15">
        <v>6250000</v>
      </c>
      <c r="K44" s="15">
        <v>9500000</v>
      </c>
    </row>
    <row r="45" spans="2:11" x14ac:dyDescent="0.3">
      <c r="B45" s="18" t="s">
        <v>108</v>
      </c>
      <c r="C45" s="17">
        <v>1000</v>
      </c>
      <c r="F45" s="16">
        <f t="shared" si="2"/>
        <v>3500</v>
      </c>
      <c r="G45" s="15">
        <v>-3000000</v>
      </c>
      <c r="H45" s="15">
        <v>500000</v>
      </c>
      <c r="I45" s="15">
        <v>4000000</v>
      </c>
      <c r="J45" s="15">
        <v>7500000</v>
      </c>
      <c r="K45" s="15">
        <v>11000000</v>
      </c>
    </row>
    <row r="46" spans="2:11" x14ac:dyDescent="0.3">
      <c r="F46" s="16">
        <f t="shared" si="2"/>
        <v>3750</v>
      </c>
      <c r="G46" s="15">
        <v>-2500000</v>
      </c>
      <c r="H46" s="15">
        <v>1250000</v>
      </c>
      <c r="I46" s="15">
        <v>5000000</v>
      </c>
      <c r="J46" s="15">
        <v>8750000</v>
      </c>
      <c r="K46" s="15">
        <v>12500000</v>
      </c>
    </row>
    <row r="47" spans="2:11" x14ac:dyDescent="0.3">
      <c r="F47" s="16">
        <f t="shared" si="2"/>
        <v>4000</v>
      </c>
      <c r="G47" s="15">
        <v>-2000000</v>
      </c>
      <c r="H47" s="15">
        <v>2000000</v>
      </c>
      <c r="I47" s="15">
        <v>6000000</v>
      </c>
      <c r="J47" s="15">
        <v>10000000</v>
      </c>
      <c r="K47" s="15">
        <v>14000000</v>
      </c>
    </row>
    <row r="48" spans="2:11" x14ac:dyDescent="0.3">
      <c r="F48" s="16">
        <f t="shared" si="2"/>
        <v>4250</v>
      </c>
      <c r="G48" s="15">
        <v>-1500000</v>
      </c>
      <c r="H48" s="15">
        <v>2750000</v>
      </c>
      <c r="I48" s="15">
        <v>7000000</v>
      </c>
      <c r="J48" s="15">
        <v>11250000</v>
      </c>
      <c r="K48" s="15">
        <v>15500000</v>
      </c>
    </row>
    <row r="49" spans="6:11" x14ac:dyDescent="0.3">
      <c r="F49" s="16">
        <f t="shared" si="2"/>
        <v>4500</v>
      </c>
      <c r="G49" s="15">
        <v>-1000000</v>
      </c>
      <c r="H49" s="15">
        <v>3500000</v>
      </c>
      <c r="I49" s="15">
        <v>8000000</v>
      </c>
      <c r="J49" s="15">
        <v>12500000</v>
      </c>
      <c r="K49" s="15">
        <v>17000000</v>
      </c>
    </row>
    <row r="50" spans="6:11" x14ac:dyDescent="0.3">
      <c r="F50" s="16">
        <f t="shared" si="2"/>
        <v>4750</v>
      </c>
      <c r="G50" s="15">
        <v>-500000</v>
      </c>
      <c r="H50" s="15">
        <v>4250000</v>
      </c>
      <c r="I50" s="15">
        <v>9000000</v>
      </c>
      <c r="J50" s="15">
        <v>13750000</v>
      </c>
      <c r="K50" s="15">
        <v>18500000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3CC74-9528-458C-B449-CD9654502008}">
  <sheetPr>
    <tabColor rgb="FF002060"/>
  </sheetPr>
  <dimension ref="A1:E26"/>
  <sheetViews>
    <sheetView workbookViewId="0">
      <selection activeCell="J25" sqref="J25"/>
    </sheetView>
  </sheetViews>
  <sheetFormatPr defaultRowHeight="14.4" x14ac:dyDescent="0.3"/>
  <cols>
    <col min="1" max="1" width="10.5546875" bestFit="1" customWidth="1"/>
    <col min="2" max="2" width="11" bestFit="1" customWidth="1"/>
    <col min="3" max="3" width="15.44140625" customWidth="1"/>
    <col min="4" max="4" width="29.5546875" customWidth="1"/>
    <col min="5" max="5" width="29.6640625" customWidth="1"/>
  </cols>
  <sheetData>
    <row r="1" spans="1:5" x14ac:dyDescent="0.3">
      <c r="A1" t="s">
        <v>123</v>
      </c>
      <c r="B1" t="s">
        <v>122</v>
      </c>
      <c r="C1" t="s">
        <v>141</v>
      </c>
      <c r="D1" t="s">
        <v>142</v>
      </c>
      <c r="E1" t="s">
        <v>143</v>
      </c>
    </row>
    <row r="2" spans="1:5" x14ac:dyDescent="0.3">
      <c r="A2" s="40">
        <v>42736</v>
      </c>
      <c r="B2">
        <v>4721088000</v>
      </c>
    </row>
    <row r="3" spans="1:5" x14ac:dyDescent="0.3">
      <c r="A3" s="40">
        <v>42767</v>
      </c>
      <c r="B3">
        <v>4082589000</v>
      </c>
    </row>
    <row r="4" spans="1:5" x14ac:dyDescent="0.3">
      <c r="A4" s="40">
        <v>42795</v>
      </c>
      <c r="B4">
        <v>4768815000</v>
      </c>
    </row>
    <row r="5" spans="1:5" x14ac:dyDescent="0.3">
      <c r="A5" s="40">
        <v>42826</v>
      </c>
      <c r="B5">
        <v>4692711000</v>
      </c>
    </row>
    <row r="6" spans="1:5" x14ac:dyDescent="0.3">
      <c r="A6" s="40">
        <v>42856</v>
      </c>
      <c r="B6">
        <v>4858890000</v>
      </c>
    </row>
    <row r="7" spans="1:5" x14ac:dyDescent="0.3">
      <c r="A7" s="40">
        <v>42887</v>
      </c>
      <c r="B7">
        <v>7943226000</v>
      </c>
    </row>
    <row r="8" spans="1:5" x14ac:dyDescent="0.3">
      <c r="A8" s="40">
        <v>42917</v>
      </c>
      <c r="B8">
        <v>4865133000</v>
      </c>
    </row>
    <row r="9" spans="1:5" x14ac:dyDescent="0.3">
      <c r="A9" s="40">
        <v>42948</v>
      </c>
      <c r="B9">
        <v>4943376000</v>
      </c>
    </row>
    <row r="10" spans="1:5" x14ac:dyDescent="0.3">
      <c r="A10" s="40">
        <v>42979</v>
      </c>
      <c r="B10">
        <v>4686954000</v>
      </c>
    </row>
    <row r="11" spans="1:5" x14ac:dyDescent="0.3">
      <c r="A11" s="40">
        <v>43009</v>
      </c>
      <c r="B11">
        <v>4824009000</v>
      </c>
    </row>
    <row r="12" spans="1:5" x14ac:dyDescent="0.3">
      <c r="A12" s="40">
        <v>43040</v>
      </c>
      <c r="B12">
        <v>4724394000</v>
      </c>
    </row>
    <row r="13" spans="1:5" x14ac:dyDescent="0.3">
      <c r="A13" s="40">
        <v>43070</v>
      </c>
      <c r="B13">
        <v>4849944000</v>
      </c>
      <c r="C13">
        <v>4849944000</v>
      </c>
      <c r="D13" s="41">
        <v>4849944000</v>
      </c>
      <c r="E13" s="41">
        <v>4849944000</v>
      </c>
    </row>
    <row r="14" spans="1:5" x14ac:dyDescent="0.3">
      <c r="A14" s="40">
        <v>43101</v>
      </c>
      <c r="C14">
        <f t="shared" ref="C14:C26" si="0">_xlfn.FORECAST.ETS(A14,$B$2:$B$13,$A$2:$A$13,1,1)</f>
        <v>4938051071.6129379</v>
      </c>
      <c r="D14" s="41">
        <f t="shared" ref="D14:D26" si="1">C14-_xlfn.FORECAST.ETS.CONFINT(A14,$B$2:$B$13,$A$2:$A$13,0.95,1,1)</f>
        <v>3113081690.2578077</v>
      </c>
      <c r="E14" s="41">
        <f t="shared" ref="E14:E26" si="2">C14+_xlfn.FORECAST.ETS.CONFINT(A14,$B$2:$B$13,$A$2:$A$13,0.95,1,1)</f>
        <v>6763020452.9680681</v>
      </c>
    </row>
    <row r="15" spans="1:5" x14ac:dyDescent="0.3">
      <c r="A15" s="40">
        <v>43132</v>
      </c>
      <c r="C15">
        <f t="shared" si="0"/>
        <v>4956740344.8595276</v>
      </c>
      <c r="D15" s="41">
        <f t="shared" si="1"/>
        <v>3131762751.1606588</v>
      </c>
      <c r="E15" s="41">
        <f t="shared" si="2"/>
        <v>6781717938.5583963</v>
      </c>
    </row>
    <row r="16" spans="1:5" x14ac:dyDescent="0.3">
      <c r="A16" s="40">
        <v>43160</v>
      </c>
      <c r="C16">
        <f t="shared" si="0"/>
        <v>4975429618.1061172</v>
      </c>
      <c r="D16" s="41">
        <f t="shared" si="1"/>
        <v>3150437424.7762938</v>
      </c>
      <c r="E16" s="41">
        <f t="shared" si="2"/>
        <v>6800421811.4359407</v>
      </c>
    </row>
    <row r="17" spans="1:5" x14ac:dyDescent="0.3">
      <c r="A17" s="40">
        <v>43191</v>
      </c>
      <c r="C17">
        <f t="shared" si="0"/>
        <v>4994118891.3527069</v>
      </c>
      <c r="D17" s="41">
        <f t="shared" si="1"/>
        <v>3169103886.3333311</v>
      </c>
      <c r="E17" s="41">
        <f t="shared" si="2"/>
        <v>6819133896.3720827</v>
      </c>
    </row>
    <row r="18" spans="1:5" x14ac:dyDescent="0.3">
      <c r="A18" s="40">
        <v>43221</v>
      </c>
      <c r="C18">
        <f t="shared" si="0"/>
        <v>5012808164.5992966</v>
      </c>
      <c r="D18" s="41">
        <f t="shared" si="1"/>
        <v>3187760311.2478795</v>
      </c>
      <c r="E18" s="41">
        <f t="shared" si="2"/>
        <v>6837856017.9507141</v>
      </c>
    </row>
    <row r="19" spans="1:5" x14ac:dyDescent="0.3">
      <c r="A19" s="40">
        <v>43252</v>
      </c>
      <c r="C19">
        <f t="shared" si="0"/>
        <v>5031497437.8458862</v>
      </c>
      <c r="D19" s="41">
        <f t="shared" si="1"/>
        <v>3206404875.2147422</v>
      </c>
      <c r="E19" s="41">
        <f t="shared" si="2"/>
        <v>6856590000.4770298</v>
      </c>
    </row>
    <row r="20" spans="1:5" x14ac:dyDescent="0.3">
      <c r="A20" s="40">
        <v>43282</v>
      </c>
      <c r="C20">
        <f t="shared" si="0"/>
        <v>5050186711.0924759</v>
      </c>
      <c r="D20" s="41">
        <f t="shared" si="1"/>
        <v>3225035754.3168287</v>
      </c>
      <c r="E20" s="41">
        <f t="shared" si="2"/>
        <v>6875337667.8681231</v>
      </c>
    </row>
    <row r="21" spans="1:5" x14ac:dyDescent="0.3">
      <c r="A21" s="40">
        <v>43313</v>
      </c>
      <c r="C21">
        <f t="shared" si="0"/>
        <v>5068875984.3390656</v>
      </c>
      <c r="D21" s="41">
        <f t="shared" si="1"/>
        <v>3243651125.1527419</v>
      </c>
      <c r="E21" s="41">
        <f t="shared" si="2"/>
        <v>6894100843.5253887</v>
      </c>
    </row>
    <row r="22" spans="1:5" x14ac:dyDescent="0.3">
      <c r="A22" s="40">
        <v>43344</v>
      </c>
      <c r="C22">
        <f t="shared" si="0"/>
        <v>5087565257.5856552</v>
      </c>
      <c r="D22" s="41">
        <f t="shared" si="1"/>
        <v>3262249164.9825077</v>
      </c>
      <c r="E22" s="41">
        <f t="shared" si="2"/>
        <v>6912881350.1888027</v>
      </c>
    </row>
    <row r="23" spans="1:5" x14ac:dyDescent="0.3">
      <c r="A23" s="40">
        <v>43374</v>
      </c>
      <c r="C23">
        <f t="shared" si="0"/>
        <v>5106254530.8322449</v>
      </c>
      <c r="D23" s="41">
        <f t="shared" si="1"/>
        <v>3280828051.8913889</v>
      </c>
      <c r="E23" s="41">
        <f t="shared" si="2"/>
        <v>6931681009.7731009</v>
      </c>
    </row>
    <row r="24" spans="1:5" x14ac:dyDescent="0.3">
      <c r="A24" s="40">
        <v>43405</v>
      </c>
      <c r="C24">
        <f t="shared" si="0"/>
        <v>5124943804.0788345</v>
      </c>
      <c r="D24" s="41">
        <f t="shared" si="1"/>
        <v>3299385964.9717336</v>
      </c>
      <c r="E24" s="41">
        <f t="shared" si="2"/>
        <v>6950501643.185936</v>
      </c>
    </row>
    <row r="25" spans="1:5" x14ac:dyDescent="0.3">
      <c r="A25" s="40">
        <v>43435</v>
      </c>
      <c r="C25">
        <f t="shared" si="0"/>
        <v>5143633077.3254242</v>
      </c>
      <c r="D25" s="41">
        <f t="shared" si="1"/>
        <v>3317921084.5227709</v>
      </c>
      <c r="E25" s="41">
        <f t="shared" si="2"/>
        <v>6969345070.1280775</v>
      </c>
    </row>
    <row r="26" spans="1:5" x14ac:dyDescent="0.3">
      <c r="A26" s="40">
        <v>43465</v>
      </c>
      <c r="C26">
        <f t="shared" si="0"/>
        <v>5161719470.7898655</v>
      </c>
      <c r="D26" s="41">
        <f t="shared" si="1"/>
        <v>3335834478.8419957</v>
      </c>
      <c r="E26" s="41">
        <f t="shared" si="2"/>
        <v>6987604462.7377357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6C24-B37D-427B-A54B-9517FEE43795}">
  <sheetPr>
    <tabColor rgb="FF002060"/>
  </sheetPr>
  <dimension ref="B3:E15"/>
  <sheetViews>
    <sheetView showGridLines="0" workbookViewId="0">
      <selection activeCell="F23" sqref="F23"/>
    </sheetView>
  </sheetViews>
  <sheetFormatPr defaultRowHeight="14.4" x14ac:dyDescent="0.3"/>
  <cols>
    <col min="2" max="2" width="12.33203125" customWidth="1"/>
    <col min="3" max="3" width="11.88671875" customWidth="1"/>
    <col min="4" max="4" width="13.33203125" customWidth="1"/>
    <col min="5" max="5" width="11.77734375" customWidth="1"/>
    <col min="6" max="6" width="12.6640625" bestFit="1" customWidth="1"/>
    <col min="13" max="13" width="12.6640625" bestFit="1" customWidth="1"/>
  </cols>
  <sheetData>
    <row r="3" spans="2:5" x14ac:dyDescent="0.3">
      <c r="B3" t="s">
        <v>123</v>
      </c>
      <c r="C3" t="s">
        <v>122</v>
      </c>
      <c r="D3" s="4"/>
      <c r="E3" s="35"/>
    </row>
    <row r="4" spans="2:5" x14ac:dyDescent="0.3">
      <c r="B4" s="40">
        <v>42736</v>
      </c>
      <c r="C4">
        <v>4721088000</v>
      </c>
    </row>
    <row r="5" spans="2:5" x14ac:dyDescent="0.3">
      <c r="B5" s="40">
        <v>42767</v>
      </c>
      <c r="C5">
        <v>4082589000</v>
      </c>
    </row>
    <row r="6" spans="2:5" x14ac:dyDescent="0.3">
      <c r="B6" s="40">
        <v>42795</v>
      </c>
      <c r="C6">
        <v>4768815000</v>
      </c>
    </row>
    <row r="7" spans="2:5" x14ac:dyDescent="0.3">
      <c r="B7" s="40">
        <v>42826</v>
      </c>
      <c r="C7">
        <v>4692711000</v>
      </c>
    </row>
    <row r="8" spans="2:5" x14ac:dyDescent="0.3">
      <c r="B8" s="40">
        <v>42856</v>
      </c>
      <c r="C8">
        <v>4858890000</v>
      </c>
    </row>
    <row r="9" spans="2:5" x14ac:dyDescent="0.3">
      <c r="B9" s="40">
        <v>42887</v>
      </c>
      <c r="C9">
        <v>7943226000</v>
      </c>
    </row>
    <row r="10" spans="2:5" x14ac:dyDescent="0.3">
      <c r="B10" s="40">
        <v>42917</v>
      </c>
      <c r="C10">
        <v>4865133000</v>
      </c>
    </row>
    <row r="11" spans="2:5" x14ac:dyDescent="0.3">
      <c r="B11" s="40">
        <v>42948</v>
      </c>
      <c r="C11">
        <v>4943376000</v>
      </c>
    </row>
    <row r="12" spans="2:5" x14ac:dyDescent="0.3">
      <c r="B12" s="40">
        <v>42979</v>
      </c>
      <c r="C12">
        <v>4686954000</v>
      </c>
    </row>
    <row r="13" spans="2:5" x14ac:dyDescent="0.3">
      <c r="B13" s="40">
        <v>43009</v>
      </c>
      <c r="C13">
        <v>4824009000</v>
      </c>
    </row>
    <row r="14" spans="2:5" x14ac:dyDescent="0.3">
      <c r="B14" s="40">
        <v>43040</v>
      </c>
      <c r="C14">
        <v>4724394000</v>
      </c>
    </row>
    <row r="15" spans="2:5" x14ac:dyDescent="0.3">
      <c r="B15" s="40">
        <v>43070</v>
      </c>
      <c r="C15">
        <v>4849944000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C3E0D-67D3-4F02-A817-2C6A0C01E381}">
  <sheetPr>
    <tabColor rgb="FF002060"/>
  </sheetPr>
  <dimension ref="B2:L27"/>
  <sheetViews>
    <sheetView showGridLines="0" zoomScaleNormal="100" workbookViewId="0">
      <selection activeCell="L4" sqref="L4"/>
    </sheetView>
  </sheetViews>
  <sheetFormatPr defaultRowHeight="14.4" x14ac:dyDescent="0.3"/>
  <cols>
    <col min="2" max="2" width="10.5546875" bestFit="1" customWidth="1"/>
    <col min="3" max="3" width="14.109375" style="30" bestFit="1" customWidth="1"/>
    <col min="4" max="4" width="13.77734375" bestFit="1" customWidth="1"/>
    <col min="5" max="5" width="14" customWidth="1"/>
    <col min="6" max="6" width="13.44140625" customWidth="1"/>
    <col min="7" max="7" width="21.33203125" customWidth="1"/>
    <col min="8" max="8" width="9.5546875" customWidth="1"/>
    <col min="9" max="9" width="14.77734375" customWidth="1"/>
    <col min="10" max="10" width="13.77734375" bestFit="1" customWidth="1"/>
    <col min="11" max="11" width="16.88671875" customWidth="1"/>
    <col min="12" max="12" width="16.5546875" customWidth="1"/>
  </cols>
  <sheetData>
    <row r="2" spans="2:12" ht="19.8" customHeight="1" x14ac:dyDescent="0.3">
      <c r="B2" s="4" t="s">
        <v>123</v>
      </c>
      <c r="C2" s="35" t="s">
        <v>122</v>
      </c>
      <c r="D2" t="s">
        <v>141</v>
      </c>
      <c r="E2" t="s">
        <v>142</v>
      </c>
      <c r="F2" t="s">
        <v>143</v>
      </c>
      <c r="H2" s="4" t="s">
        <v>123</v>
      </c>
      <c r="I2" s="35" t="s">
        <v>122</v>
      </c>
      <c r="J2" t="s">
        <v>144</v>
      </c>
      <c r="K2" t="s">
        <v>145</v>
      </c>
      <c r="L2" t="s">
        <v>146</v>
      </c>
    </row>
    <row r="3" spans="2:12" x14ac:dyDescent="0.3">
      <c r="B3" s="31">
        <v>42736</v>
      </c>
      <c r="C3" s="10">
        <v>4721088000</v>
      </c>
      <c r="H3" s="31">
        <v>42736</v>
      </c>
      <c r="I3" s="10">
        <v>4721088000</v>
      </c>
      <c r="J3" s="30"/>
    </row>
    <row r="4" spans="2:12" x14ac:dyDescent="0.3">
      <c r="B4" s="31">
        <v>42767</v>
      </c>
      <c r="C4" s="10">
        <v>4082589000</v>
      </c>
      <c r="E4" s="10"/>
      <c r="H4" s="31">
        <v>42767</v>
      </c>
      <c r="I4" s="10">
        <v>4082589000</v>
      </c>
      <c r="J4" s="30"/>
    </row>
    <row r="5" spans="2:12" x14ac:dyDescent="0.3">
      <c r="B5" s="31">
        <v>42795</v>
      </c>
      <c r="C5" s="10">
        <v>4768815000</v>
      </c>
      <c r="H5" s="31">
        <v>42795</v>
      </c>
      <c r="I5" s="10">
        <v>4768815000</v>
      </c>
      <c r="J5" s="30"/>
    </row>
    <row r="6" spans="2:12" x14ac:dyDescent="0.3">
      <c r="B6" s="31">
        <v>42826</v>
      </c>
      <c r="C6" s="10">
        <v>4692711000</v>
      </c>
      <c r="H6" s="31">
        <v>42826</v>
      </c>
      <c r="I6" s="10">
        <v>4692711000</v>
      </c>
      <c r="J6" s="30"/>
    </row>
    <row r="7" spans="2:12" x14ac:dyDescent="0.3">
      <c r="B7" s="31">
        <v>42856</v>
      </c>
      <c r="C7" s="10">
        <v>4858890000</v>
      </c>
      <c r="H7" s="31">
        <v>42856</v>
      </c>
      <c r="I7" s="10">
        <v>4858890000</v>
      </c>
      <c r="J7" s="30"/>
    </row>
    <row r="8" spans="2:12" x14ac:dyDescent="0.3">
      <c r="B8" s="31">
        <v>42887</v>
      </c>
      <c r="C8" s="10">
        <v>7943226000</v>
      </c>
      <c r="H8" s="31">
        <v>42887</v>
      </c>
      <c r="I8" s="10">
        <v>7943226000</v>
      </c>
      <c r="J8" s="30"/>
    </row>
    <row r="9" spans="2:12" x14ac:dyDescent="0.3">
      <c r="B9" s="31">
        <v>42917</v>
      </c>
      <c r="C9" s="10">
        <v>4865133000</v>
      </c>
      <c r="H9" s="31">
        <v>42917</v>
      </c>
      <c r="I9" s="10">
        <v>4865133000</v>
      </c>
      <c r="J9" s="30"/>
    </row>
    <row r="10" spans="2:12" x14ac:dyDescent="0.3">
      <c r="B10" s="31">
        <v>42948</v>
      </c>
      <c r="C10" s="10">
        <v>4943376000</v>
      </c>
      <c r="H10" s="31">
        <v>42948</v>
      </c>
      <c r="I10" s="10">
        <v>4943376000</v>
      </c>
      <c r="J10" s="30"/>
    </row>
    <row r="11" spans="2:12" x14ac:dyDescent="0.3">
      <c r="B11" s="31">
        <v>42979</v>
      </c>
      <c r="C11" s="10">
        <v>4686954000</v>
      </c>
      <c r="H11" s="31">
        <v>42979</v>
      </c>
      <c r="I11" s="10">
        <v>4686954000</v>
      </c>
      <c r="J11" s="30"/>
    </row>
    <row r="12" spans="2:12" x14ac:dyDescent="0.3">
      <c r="B12" s="31">
        <v>43009</v>
      </c>
      <c r="C12" s="10">
        <v>4824009000</v>
      </c>
      <c r="H12" s="31">
        <v>43009</v>
      </c>
      <c r="I12" s="10">
        <v>4824009000</v>
      </c>
      <c r="J12" s="30"/>
    </row>
    <row r="13" spans="2:12" x14ac:dyDescent="0.3">
      <c r="B13" s="31">
        <v>43040</v>
      </c>
      <c r="C13" s="10">
        <v>4724394000</v>
      </c>
      <c r="H13" s="31">
        <v>43040</v>
      </c>
      <c r="I13" s="10">
        <v>4724394000</v>
      </c>
      <c r="J13" s="30"/>
    </row>
    <row r="14" spans="2:12" x14ac:dyDescent="0.3">
      <c r="B14" s="31">
        <v>43070</v>
      </c>
      <c r="C14" s="10">
        <v>4849944000</v>
      </c>
      <c r="D14" s="10">
        <v>4849944000</v>
      </c>
      <c r="E14" s="10">
        <v>4849944000</v>
      </c>
      <c r="F14" s="10">
        <v>4849944000</v>
      </c>
      <c r="H14" s="31">
        <v>43070</v>
      </c>
      <c r="I14" s="10">
        <v>4849944000</v>
      </c>
      <c r="J14" s="10">
        <v>4849944000</v>
      </c>
      <c r="K14" s="10">
        <v>4849944000</v>
      </c>
      <c r="L14" s="10">
        <v>4849944000</v>
      </c>
    </row>
    <row r="15" spans="2:12" x14ac:dyDescent="0.3">
      <c r="B15" s="31">
        <v>43101</v>
      </c>
      <c r="C15" s="10"/>
      <c r="D15" s="10">
        <v>4938051071.6129379</v>
      </c>
      <c r="E15" s="10">
        <v>3113081690.2578077</v>
      </c>
      <c r="F15" s="10">
        <v>6763020452.9680681</v>
      </c>
      <c r="H15" s="31">
        <v>43101</v>
      </c>
      <c r="I15" s="10"/>
      <c r="J15" s="10">
        <f>_xlfn.FORECAST.ETS(H15, $I$3:$I$14, $H$3:$H$14)</f>
        <v>4938051071.6129379</v>
      </c>
      <c r="K15" s="52">
        <f>J15 - _xlfn.FORECAST.ETS.CONFINT(H15, $I$3:$I$14, $H$3:$H$14, 0.95)</f>
        <v>3113081690.2578077</v>
      </c>
      <c r="L15" s="52">
        <f>J15 + _xlfn.FORECAST.ETS.CONFINT(H15, $I$3:$I$14, $H$3:$H$14, 0.95)</f>
        <v>6763020452.9680681</v>
      </c>
    </row>
    <row r="16" spans="2:12" x14ac:dyDescent="0.3">
      <c r="B16" s="31">
        <v>43132</v>
      </c>
      <c r="C16" s="10"/>
      <c r="D16" s="10">
        <v>4956740344.8595276</v>
      </c>
      <c r="E16" s="10">
        <v>3131762751.1606588</v>
      </c>
      <c r="F16" s="10">
        <v>6781717938.5583963</v>
      </c>
      <c r="H16" s="31">
        <v>43132</v>
      </c>
      <c r="I16" s="10"/>
      <c r="J16" s="10">
        <f t="shared" ref="J16:J27" si="0">_xlfn.FORECAST.ETS(H16, $I$3:$I$14, $H$3:$H$14)</f>
        <v>4956740344.8595276</v>
      </c>
      <c r="K16" s="52">
        <f t="shared" ref="K16:K27" si="1">J16 - _xlfn.FORECAST.ETS.CONFINT(H16, $I$3:$I$14, $H$3:$H$14, 0.95)</f>
        <v>3131762751.1606588</v>
      </c>
      <c r="L16" s="52">
        <f t="shared" ref="L16:L27" si="2">J16 + _xlfn.FORECAST.ETS.CONFINT(H16, $I$3:$I$14, $H$3:$H$14, 0.95)</f>
        <v>6781717938.5583963</v>
      </c>
    </row>
    <row r="17" spans="2:12" x14ac:dyDescent="0.3">
      <c r="B17" s="31">
        <v>43160</v>
      </c>
      <c r="C17" s="10"/>
      <c r="D17" s="10">
        <v>4975429618.1061172</v>
      </c>
      <c r="E17" s="10">
        <v>3150437424.7762938</v>
      </c>
      <c r="F17" s="10">
        <v>6800421811.4359407</v>
      </c>
      <c r="H17" s="31">
        <v>43160</v>
      </c>
      <c r="I17" s="10"/>
      <c r="J17" s="10">
        <f t="shared" si="0"/>
        <v>4975429618.1061172</v>
      </c>
      <c r="K17" s="52">
        <f t="shared" si="1"/>
        <v>3150437424.7762938</v>
      </c>
      <c r="L17" s="52">
        <f t="shared" si="2"/>
        <v>6800421811.4359407</v>
      </c>
    </row>
    <row r="18" spans="2:12" x14ac:dyDescent="0.3">
      <c r="B18" s="31">
        <v>43191</v>
      </c>
      <c r="D18" s="10">
        <v>4994118891.3527069</v>
      </c>
      <c r="E18" s="10">
        <v>3169103886.3333311</v>
      </c>
      <c r="F18" s="10">
        <v>6819133896.3720827</v>
      </c>
      <c r="H18" s="31">
        <v>43191</v>
      </c>
      <c r="J18" s="10">
        <f t="shared" si="0"/>
        <v>4994118891.3527069</v>
      </c>
      <c r="K18" s="52">
        <f t="shared" si="1"/>
        <v>3169103886.3333311</v>
      </c>
      <c r="L18" s="52">
        <f t="shared" si="2"/>
        <v>6819133896.3720827</v>
      </c>
    </row>
    <row r="19" spans="2:12" x14ac:dyDescent="0.3">
      <c r="B19" s="31">
        <v>43221</v>
      </c>
      <c r="D19" s="10">
        <v>5012808164.5992966</v>
      </c>
      <c r="E19" s="10">
        <v>3187760311.2478795</v>
      </c>
      <c r="F19" s="10">
        <v>6837856017.9507141</v>
      </c>
      <c r="H19" s="31">
        <v>43221</v>
      </c>
      <c r="J19" s="10">
        <f t="shared" si="0"/>
        <v>5012808164.5992966</v>
      </c>
      <c r="K19" s="52">
        <f t="shared" si="1"/>
        <v>3187760311.2478795</v>
      </c>
      <c r="L19" s="52">
        <f t="shared" si="2"/>
        <v>6837856017.9507141</v>
      </c>
    </row>
    <row r="20" spans="2:12" x14ac:dyDescent="0.3">
      <c r="B20" s="31">
        <v>43252</v>
      </c>
      <c r="D20" s="10">
        <v>5031497437.8458862</v>
      </c>
      <c r="E20" s="10">
        <v>3206404875.2147422</v>
      </c>
      <c r="F20" s="10">
        <v>6856590000.4770298</v>
      </c>
      <c r="H20" s="31">
        <v>43252</v>
      </c>
      <c r="J20" s="10">
        <f t="shared" si="0"/>
        <v>5031497437.8458862</v>
      </c>
      <c r="K20" s="52">
        <f t="shared" si="1"/>
        <v>3206404875.2147422</v>
      </c>
      <c r="L20" s="52">
        <f t="shared" si="2"/>
        <v>6856590000.4770298</v>
      </c>
    </row>
    <row r="21" spans="2:12" x14ac:dyDescent="0.3">
      <c r="B21" s="31">
        <v>43282</v>
      </c>
      <c r="D21" s="10">
        <v>5050186711.0924759</v>
      </c>
      <c r="E21" s="10">
        <v>3225035754.3168287</v>
      </c>
      <c r="F21" s="10">
        <v>6875337667.8681231</v>
      </c>
      <c r="H21" s="31">
        <v>43282</v>
      </c>
      <c r="J21" s="10">
        <f t="shared" si="0"/>
        <v>5050186711.0924759</v>
      </c>
      <c r="K21" s="52">
        <f t="shared" si="1"/>
        <v>3225035754.3168287</v>
      </c>
      <c r="L21" s="52">
        <f t="shared" si="2"/>
        <v>6875337667.8681231</v>
      </c>
    </row>
    <row r="22" spans="2:12" x14ac:dyDescent="0.3">
      <c r="B22" s="31">
        <v>43313</v>
      </c>
      <c r="D22" s="10">
        <v>5068875984.3390656</v>
      </c>
      <c r="E22" s="10">
        <v>3243651125.1527419</v>
      </c>
      <c r="F22" s="10">
        <v>6894100843.5253887</v>
      </c>
      <c r="H22" s="31">
        <v>43313</v>
      </c>
      <c r="J22" s="10">
        <f t="shared" si="0"/>
        <v>5068875984.3390656</v>
      </c>
      <c r="K22" s="52">
        <f t="shared" si="1"/>
        <v>3243651125.1527419</v>
      </c>
      <c r="L22" s="52">
        <f t="shared" si="2"/>
        <v>6894100843.5253887</v>
      </c>
    </row>
    <row r="23" spans="2:12" x14ac:dyDescent="0.3">
      <c r="B23" s="31">
        <v>43344</v>
      </c>
      <c r="D23" s="10">
        <v>5087565257.5856552</v>
      </c>
      <c r="E23" s="10">
        <v>3262249164.9825077</v>
      </c>
      <c r="F23" s="10">
        <v>6912881350.1888027</v>
      </c>
      <c r="H23" s="31">
        <v>43344</v>
      </c>
      <c r="J23" s="10">
        <f t="shared" si="0"/>
        <v>5087565257.5856552</v>
      </c>
      <c r="K23" s="52">
        <f t="shared" si="1"/>
        <v>3262249164.9825077</v>
      </c>
      <c r="L23" s="52">
        <f t="shared" si="2"/>
        <v>6912881350.1888027</v>
      </c>
    </row>
    <row r="24" spans="2:12" x14ac:dyDescent="0.3">
      <c r="B24" s="31">
        <v>43374</v>
      </c>
      <c r="D24" s="10">
        <v>5106254530.8322449</v>
      </c>
      <c r="E24" s="10">
        <v>3280828051.8913889</v>
      </c>
      <c r="F24" s="10">
        <v>6931681009.7731009</v>
      </c>
      <c r="H24" s="31">
        <v>43374</v>
      </c>
      <c r="J24" s="10">
        <f t="shared" si="0"/>
        <v>5106254530.8322449</v>
      </c>
      <c r="K24" s="52">
        <f t="shared" si="1"/>
        <v>3280828051.8913889</v>
      </c>
      <c r="L24" s="52">
        <f t="shared" si="2"/>
        <v>6931681009.7731009</v>
      </c>
    </row>
    <row r="25" spans="2:12" x14ac:dyDescent="0.3">
      <c r="B25" s="31">
        <v>43405</v>
      </c>
      <c r="D25" s="10">
        <v>5124943804.0788345</v>
      </c>
      <c r="E25" s="10">
        <v>3299385964.9717336</v>
      </c>
      <c r="F25" s="10">
        <v>6950501643.185936</v>
      </c>
      <c r="H25" s="31">
        <v>43405</v>
      </c>
      <c r="J25" s="10">
        <f t="shared" si="0"/>
        <v>5124943804.0788345</v>
      </c>
      <c r="K25" s="52">
        <f t="shared" si="1"/>
        <v>3299385964.9717336</v>
      </c>
      <c r="L25" s="52">
        <f t="shared" si="2"/>
        <v>6950501643.185936</v>
      </c>
    </row>
    <row r="26" spans="2:12" x14ac:dyDescent="0.3">
      <c r="B26" s="31">
        <v>43435</v>
      </c>
      <c r="D26" s="10">
        <v>5143633077.3254242</v>
      </c>
      <c r="E26" s="10">
        <v>3317921084.5227709</v>
      </c>
      <c r="F26" s="10">
        <v>6969345070.1280775</v>
      </c>
      <c r="H26" s="31">
        <v>43435</v>
      </c>
      <c r="J26" s="10">
        <f t="shared" si="0"/>
        <v>5143633077.3254242</v>
      </c>
      <c r="K26" s="52">
        <f t="shared" si="1"/>
        <v>3317921084.5227709</v>
      </c>
      <c r="L26" s="52">
        <f t="shared" si="2"/>
        <v>6969345070.1280775</v>
      </c>
    </row>
    <row r="27" spans="2:12" x14ac:dyDescent="0.3">
      <c r="B27" s="31">
        <v>43465</v>
      </c>
      <c r="D27" s="10">
        <v>5161719470.7898655</v>
      </c>
      <c r="E27" s="10">
        <v>3335834478.8419957</v>
      </c>
      <c r="F27" s="10">
        <v>6987604462.7377357</v>
      </c>
      <c r="H27" s="31">
        <v>43466</v>
      </c>
      <c r="J27" s="10">
        <f t="shared" si="0"/>
        <v>5162322350.5720139</v>
      </c>
      <c r="K27" s="52">
        <f t="shared" si="1"/>
        <v>3336431592.2682648</v>
      </c>
      <c r="L27" s="52">
        <f t="shared" si="2"/>
        <v>6988213108.8757629</v>
      </c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C0D505C1-B690-4024-8D82-B6101AFA644B}">
  <ds:schemaRefs/>
</ds:datastoreItem>
</file>

<file path=customXml/itemProps2.xml><?xml version="1.0" encoding="utf-8"?>
<ds:datastoreItem xmlns:ds="http://schemas.openxmlformats.org/officeDocument/2006/customXml" ds:itemID="{79A1F346-B944-44FB-AF2A-F8E6D324FB64}">
  <ds:schemaRefs/>
</ds:datastoreItem>
</file>

<file path=customXml/itemProps3.xml><?xml version="1.0" encoding="utf-8"?>
<ds:datastoreItem xmlns:ds="http://schemas.openxmlformats.org/officeDocument/2006/customXml" ds:itemID="{DC0E184E-3F71-4774-A0D1-760809E99E45}">
  <ds:schemaRefs/>
</ds:datastoreItem>
</file>

<file path=customXml/itemProps4.xml><?xml version="1.0" encoding="utf-8"?>
<ds:datastoreItem xmlns:ds="http://schemas.openxmlformats.org/officeDocument/2006/customXml" ds:itemID="{91614D89-EB01-4599-874A-3AF3E58713D9}">
  <ds:schemaRefs/>
</ds:datastoreItem>
</file>

<file path=customXml/itemProps5.xml><?xml version="1.0" encoding="utf-8"?>
<ds:datastoreItem xmlns:ds="http://schemas.openxmlformats.org/officeDocument/2006/customXml" ds:itemID="{CF6615D1-F1BB-42F2-858A-42DCB9BDB409}">
  <ds:schemaRefs/>
</ds:datastoreItem>
</file>

<file path=customXml/itemProps6.xml><?xml version="1.0" encoding="utf-8"?>
<ds:datastoreItem xmlns:ds="http://schemas.openxmlformats.org/officeDocument/2006/customXml" ds:itemID="{674B61E4-D2B6-4B12-B3F1-67BDB805E886}">
  <ds:schemaRefs/>
</ds:datastoreItem>
</file>

<file path=customXml/itemProps7.xml><?xml version="1.0" encoding="utf-8"?>
<ds:datastoreItem xmlns:ds="http://schemas.openxmlformats.org/officeDocument/2006/customXml" ds:itemID="{15BB8C93-80A4-48C6-B8BC-DF8534BA6939}">
  <ds:schemaRefs/>
</ds:datastoreItem>
</file>

<file path=customXml/itemProps8.xml><?xml version="1.0" encoding="utf-8"?>
<ds:datastoreItem xmlns:ds="http://schemas.openxmlformats.org/officeDocument/2006/customXml" ds:itemID="{17B52547-6644-4ABF-BBE4-9E5EF39D9764}">
  <ds:schemaRefs/>
</ds:datastoreItem>
</file>

<file path=customXml/itemProps9.xml><?xml version="1.0" encoding="utf-8"?>
<ds:datastoreItem xmlns:ds="http://schemas.openxmlformats.org/officeDocument/2006/customXml" ds:itemID="{0D36743F-D167-439A-A3AA-DC34341387D3}">
  <ds:schemaRefs/>
</ds:datastoreItem>
</file>

<file path=customXml/itemProps10.xml><?xml version="1.0" encoding="utf-8"?>
<ds:datastoreItem xmlns:ds="http://schemas.openxmlformats.org/officeDocument/2006/customXml" ds:itemID="{92751D9D-3F4A-46F9-B58A-75DF362DF942}">
  <ds:schemaRefs/>
</ds:datastoreItem>
</file>

<file path=customXml/itemProps11.xml><?xml version="1.0" encoding="utf-8"?>
<ds:datastoreItem xmlns:ds="http://schemas.openxmlformats.org/officeDocument/2006/customXml" ds:itemID="{8D1962FC-7858-4C3E-A96C-B446D3D6A3DB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E811C082-E351-49B9-A90C-E56767553C94}">
  <ds:schemaRefs/>
</ds:datastoreItem>
</file>

<file path=customXml/itemProps13.xml><?xml version="1.0" encoding="utf-8"?>
<ds:datastoreItem xmlns:ds="http://schemas.openxmlformats.org/officeDocument/2006/customXml" ds:itemID="{07F28040-489A-49B7-89F0-A153F62D79B2}">
  <ds:schemaRefs/>
</ds:datastoreItem>
</file>

<file path=customXml/itemProps14.xml><?xml version="1.0" encoding="utf-8"?>
<ds:datastoreItem xmlns:ds="http://schemas.openxmlformats.org/officeDocument/2006/customXml" ds:itemID="{7046B7D7-2C31-4309-AE48-2E0690A76A67}">
  <ds:schemaRefs/>
</ds:datastoreItem>
</file>

<file path=customXml/itemProps15.xml><?xml version="1.0" encoding="utf-8"?>
<ds:datastoreItem xmlns:ds="http://schemas.openxmlformats.org/officeDocument/2006/customXml" ds:itemID="{AE616B34-42BA-496F-99E6-0972749270F7}">
  <ds:schemaRefs/>
</ds:datastoreItem>
</file>

<file path=customXml/itemProps16.xml><?xml version="1.0" encoding="utf-8"?>
<ds:datastoreItem xmlns:ds="http://schemas.openxmlformats.org/officeDocument/2006/customXml" ds:itemID="{93CD3173-EE96-4FC4-935A-97224F778B8A}">
  <ds:schemaRefs/>
</ds:datastoreItem>
</file>

<file path=customXml/itemProps17.xml><?xml version="1.0" encoding="utf-8"?>
<ds:datastoreItem xmlns:ds="http://schemas.openxmlformats.org/officeDocument/2006/customXml" ds:itemID="{3149CFD8-0663-46A3-98AE-5EF93B04F995}">
  <ds:schemaRefs/>
</ds:datastoreItem>
</file>

<file path=customXml/itemProps18.xml><?xml version="1.0" encoding="utf-8"?>
<ds:datastoreItem xmlns:ds="http://schemas.openxmlformats.org/officeDocument/2006/customXml" ds:itemID="{8B754CF2-3414-4ED4-9C23-6CBA01D721B1}">
  <ds:schemaRefs/>
</ds:datastoreItem>
</file>

<file path=customXml/itemProps19.xml><?xml version="1.0" encoding="utf-8"?>
<ds:datastoreItem xmlns:ds="http://schemas.openxmlformats.org/officeDocument/2006/customXml" ds:itemID="{09484D01-2BF8-4E4D-8ACD-64DB58E4A741}">
  <ds:schemaRefs/>
</ds:datastoreItem>
</file>

<file path=customXml/itemProps20.xml><?xml version="1.0" encoding="utf-8"?>
<ds:datastoreItem xmlns:ds="http://schemas.openxmlformats.org/officeDocument/2006/customXml" ds:itemID="{C2A5D50C-DDDE-4EEA-8A20-E01AD7AD906F}">
  <ds:schemaRefs/>
</ds:datastoreItem>
</file>

<file path=customXml/itemProps21.xml><?xml version="1.0" encoding="utf-8"?>
<ds:datastoreItem xmlns:ds="http://schemas.openxmlformats.org/officeDocument/2006/customXml" ds:itemID="{4FF8008F-7E66-4BC0-9124-21FA79856E2D}">
  <ds:schemaRefs/>
</ds:datastoreItem>
</file>

<file path=customXml/itemProps22.xml><?xml version="1.0" encoding="utf-8"?>
<ds:datastoreItem xmlns:ds="http://schemas.openxmlformats.org/officeDocument/2006/customXml" ds:itemID="{D8E03C10-B546-4DED-B85B-C8858DBDF357}">
  <ds:schemaRefs/>
</ds:datastoreItem>
</file>

<file path=customXml/itemProps23.xml><?xml version="1.0" encoding="utf-8"?>
<ds:datastoreItem xmlns:ds="http://schemas.openxmlformats.org/officeDocument/2006/customXml" ds:itemID="{8DD2B5FB-F5C3-409F-8790-760659A1CA6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Master Cabang</vt:lpstr>
      <vt:lpstr>Master Produk</vt:lpstr>
      <vt:lpstr>Katagori Produk</vt:lpstr>
      <vt:lpstr>Scenario Summary</vt:lpstr>
      <vt:lpstr>Scenario</vt:lpstr>
      <vt:lpstr>GoalSeek</vt:lpstr>
      <vt:lpstr>DataTable</vt:lpstr>
      <vt:lpstr>ForecastSheet Result</vt:lpstr>
      <vt:lpstr>ForecastSheet</vt:lpstr>
      <vt:lpstr>ForecastFunc</vt:lpstr>
      <vt:lpstr>BiayaAdmin</vt:lpstr>
      <vt:lpstr>BiayaKantor</vt:lpstr>
      <vt:lpstr>BiayaLain</vt:lpstr>
      <vt:lpstr>COGS</vt:lpstr>
      <vt:lpstr>Depreciation</vt:lpstr>
      <vt:lpstr>GajiTunjangan</vt:lpstr>
      <vt:lpstr>NetIncome</vt:lpstr>
      <vt:lpstr>TotalBiaya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 Excel</dc:creator>
  <cp:lastModifiedBy>Ikin Solihin</cp:lastModifiedBy>
  <dcterms:created xsi:type="dcterms:W3CDTF">2023-07-13T23:23:17Z</dcterms:created>
  <dcterms:modified xsi:type="dcterms:W3CDTF">2025-08-08T02:51:52Z</dcterms:modified>
</cp:coreProperties>
</file>