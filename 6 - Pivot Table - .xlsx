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C:\Users\Fathurrahman\Downloads\"/>
    </mc:Choice>
  </mc:AlternateContent>
  <xr:revisionPtr revIDLastSave="0" documentId="13_ncr:1_{D3DC57E5-D4BD-41FB-A004-D4015A27E3A0}" xr6:coauthVersionLast="47" xr6:coauthVersionMax="47" xr10:uidLastSave="{00000000-0000-0000-0000-000000000000}"/>
  <bookViews>
    <workbookView xWindow="-120" yWindow="-120" windowWidth="20730" windowHeight="11760" firstSheet="3" activeTab="5" xr2:uid="{00000000-000D-0000-FFFF-FFFF00000000}"/>
  </bookViews>
  <sheets>
    <sheet name="Table" sheetId="2" r:id="rId1"/>
    <sheet name="Sorting dan Filter" sheetId="7" r:id="rId2"/>
    <sheet name="GroupUngroup" sheetId="10" r:id="rId3"/>
    <sheet name="ShowValueAs" sheetId="11" r:id="rId4"/>
    <sheet name="PivotTable" sheetId="14" r:id="rId5"/>
    <sheet name="Latihan Dashboard" sheetId="13" r:id="rId6"/>
  </sheets>
  <definedNames>
    <definedName name="_xlnm._FilterDatabase" localSheetId="1" hidden="1">'Sorting dan Filter'!$Q$17:$Q$17</definedName>
    <definedName name="NativeTimeline_Tanggal">#N/A</definedName>
    <definedName name="NativeTimeline_Tanggal1">#N/A</definedName>
    <definedName name="Slicer_Customer">#N/A</definedName>
    <definedName name="Slicer_Produk">#N/A</definedName>
    <definedName name="Slicer_Region">#N/A</definedName>
    <definedName name="Slicer_SalesRep">#N/A</definedName>
    <definedName name="Slicer_Years__Tanggal">#N/A</definedName>
  </definedNames>
  <calcPr calcId="191028"/>
  <pivotCaches>
    <pivotCache cacheId="3" r:id="rId7"/>
  </pivotCaches>
  <fileRecoveryPr repairLoad="1"/>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M4" i="2"/>
</calcChain>
</file>

<file path=xl/sharedStrings.xml><?xml version="1.0" encoding="utf-8"?>
<sst xmlns="http://schemas.openxmlformats.org/spreadsheetml/2006/main" count="751" uniqueCount="81">
  <si>
    <t>Tanggal</t>
  </si>
  <si>
    <t>Produk</t>
  </si>
  <si>
    <t>Region</t>
  </si>
  <si>
    <t>SalesRep</t>
  </si>
  <si>
    <t>Customer</t>
  </si>
  <si>
    <t>Units</t>
  </si>
  <si>
    <t>Penjualan</t>
  </si>
  <si>
    <t>COGS</t>
  </si>
  <si>
    <t>Profit</t>
  </si>
  <si>
    <t>Gaun</t>
  </si>
  <si>
    <t>Sulawesi</t>
  </si>
  <si>
    <t>Indra Agustina</t>
  </si>
  <si>
    <t>PCC</t>
  </si>
  <si>
    <t>Jas</t>
  </si>
  <si>
    <t>Kalimantan</t>
  </si>
  <si>
    <t>Kusuma Dina</t>
  </si>
  <si>
    <t>WSD</t>
  </si>
  <si>
    <t>Kemeja</t>
  </si>
  <si>
    <t>Andi Ade</t>
  </si>
  <si>
    <t>FM</t>
  </si>
  <si>
    <t>Mantel</t>
  </si>
  <si>
    <t>Ika Indah</t>
  </si>
  <si>
    <t>HHH</t>
  </si>
  <si>
    <t>Rok</t>
  </si>
  <si>
    <t>Jawa</t>
  </si>
  <si>
    <t>Ratna Fitria</t>
  </si>
  <si>
    <t>PSA</t>
  </si>
  <si>
    <t>TRU</t>
  </si>
  <si>
    <t>Sumatra</t>
  </si>
  <si>
    <t>Ahmad Surya</t>
  </si>
  <si>
    <t>ITW</t>
  </si>
  <si>
    <t>KBTB</t>
  </si>
  <si>
    <t>AST</t>
  </si>
  <si>
    <t>AA</t>
  </si>
  <si>
    <t>SFWK</t>
  </si>
  <si>
    <t>QT</t>
  </si>
  <si>
    <t>MNGD</t>
  </si>
  <si>
    <t>JAQ</t>
  </si>
  <si>
    <t>ZAT</t>
  </si>
  <si>
    <t>WT</t>
  </si>
  <si>
    <t>ET</t>
  </si>
  <si>
    <t>YTR</t>
  </si>
  <si>
    <t>BBT</t>
  </si>
  <si>
    <t>PLOT</t>
  </si>
  <si>
    <t>EPP</t>
  </si>
  <si>
    <t>T</t>
  </si>
  <si>
    <t>TTT</t>
  </si>
  <si>
    <t>HII</t>
  </si>
  <si>
    <t>MBG</t>
  </si>
  <si>
    <t>KPSA</t>
  </si>
  <si>
    <t>DFR</t>
  </si>
  <si>
    <t>DFGH</t>
  </si>
  <si>
    <t>FRED</t>
  </si>
  <si>
    <t>ITTW</t>
  </si>
  <si>
    <t>LOP</t>
  </si>
  <si>
    <t>Sorting</t>
  </si>
  <si>
    <t>Sorting Manual</t>
  </si>
  <si>
    <t>Filter</t>
  </si>
  <si>
    <t>Top 5 Sales</t>
  </si>
  <si>
    <t>Top 5 Customers</t>
  </si>
  <si>
    <t>Row Labels</t>
  </si>
  <si>
    <t>Sum of Profit</t>
  </si>
  <si>
    <t>Grand Total</t>
  </si>
  <si>
    <t>Top 5 Sales (bottom)</t>
  </si>
  <si>
    <t>Group Level</t>
  </si>
  <si>
    <t>Group Manual</t>
  </si>
  <si>
    <t>Show Value As</t>
  </si>
  <si>
    <t>Calculated Fields</t>
  </si>
  <si>
    <t>Column Labels</t>
  </si>
  <si>
    <t>Group1</t>
  </si>
  <si>
    <t>Group1 Total</t>
  </si>
  <si>
    <t>Group2</t>
  </si>
  <si>
    <t>Group2 Total</t>
  </si>
  <si>
    <t>West</t>
  </si>
  <si>
    <t>East</t>
  </si>
  <si>
    <t>Nama Sales</t>
  </si>
  <si>
    <t>Profit Summary</t>
  </si>
  <si>
    <t>Sales Name</t>
  </si>
  <si>
    <t>Average of Profit</t>
  </si>
  <si>
    <t>Sum of Units</t>
  </si>
  <si>
    <t>Sales Performance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</si>
</sst>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Rp&quot;* #,##0_-;\-&quot;Rp&quot;* #,##0_-;_-&quot;Rp&quot;* &quot;-&quot;_-;_-@_-"/>
    <numFmt numFmtId="164" formatCode="m/d/yy"/>
    <numFmt numFmtId="165" formatCode="&quot;Rp&quot;#,##0"/>
    <numFmt numFmtId="166" formatCode="\R\p#,##0"/>
    <numFmt numFmtId="167" formatCode="_-[$Rp-3809]* #,##0_-;\-[$Rp-3809]* #,##0_-;_-[$Rp-3809]* &quot;-&quot;??_-;_-@_-"/>
  </numFmts>
  <fonts count="6" x14ac:knownFonts="1">
    <font>
      <sz val="11"/>
      <color theme="1"/>
      <name val="Calibri"/>
      <family val="2"/>
      <scheme val="minor"/>
    </font>
    <font>
      <b/>
      <sz val="11"/>
      <color theme="0"/>
      <name val="Calibri"/>
      <family val="2"/>
      <scheme val="minor"/>
    </font>
    <font>
      <i/>
      <sz val="11"/>
      <color theme="1"/>
      <name val="Calibri"/>
      <family val="2"/>
      <scheme val="minor"/>
    </font>
    <font>
      <b/>
      <u/>
      <sz val="22"/>
      <color rgb="FF1D6F42"/>
      <name val="Calibri"/>
      <family val="2"/>
      <scheme val="minor"/>
    </font>
    <font>
      <b/>
      <sz val="11"/>
      <color theme="1"/>
      <name val="Calibri"/>
      <family val="2"/>
      <scheme val="minor"/>
    </font>
    <font>
      <b/>
      <sz val="36"/>
      <color theme="1"/>
      <name val="Calibri"/>
      <family val="2"/>
      <scheme val="minor"/>
    </font>
  </fonts>
  <fills count="5">
    <fill>
      <patternFill patternType="none"/>
    </fill>
    <fill>
      <patternFill patternType="gray125"/>
    </fill>
    <fill>
      <patternFill patternType="solid">
        <fgColor rgb="FF1D6F42"/>
        <bgColor theme="4" tint="0.79998168889431442"/>
      </patternFill>
    </fill>
    <fill>
      <patternFill patternType="solid">
        <fgColor theme="4" tint="-0.49998474074526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5">
    <xf numFmtId="0" fontId="0" fillId="0" borderId="0" xfId="0"/>
    <xf numFmtId="14" fontId="1" fillId="2" borderId="0" xfId="0" applyNumberFormat="1" applyFont="1" applyFill="1"/>
    <xf numFmtId="164" fontId="0" fillId="0" borderId="1" xfId="0" applyNumberFormat="1" applyBorder="1"/>
    <xf numFmtId="0" fontId="0" fillId="0" borderId="1" xfId="0" applyBorder="1"/>
    <xf numFmtId="165" fontId="0" fillId="0" borderId="1" xfId="0" applyNumberFormat="1" applyBorder="1"/>
    <xf numFmtId="1" fontId="0" fillId="0" borderId="0" xfId="0" applyNumberFormat="1"/>
    <xf numFmtId="164" fontId="0" fillId="0" borderId="2" xfId="0" applyNumberFormat="1" applyBorder="1"/>
    <xf numFmtId="0" fontId="0" fillId="0" borderId="2" xfId="0" applyBorder="1"/>
    <xf numFmtId="165" fontId="0" fillId="0" borderId="2" xfId="0" applyNumberFormat="1" applyBorder="1"/>
    <xf numFmtId="0" fontId="2" fillId="0" borderId="0" xfId="0" applyFont="1"/>
    <xf numFmtId="0" fontId="3" fillId="0" borderId="0" xfId="0" applyFont="1"/>
    <xf numFmtId="166"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4" fillId="0" borderId="0" xfId="0" applyFont="1"/>
    <xf numFmtId="165" fontId="0" fillId="0" borderId="3" xfId="0" applyNumberFormat="1" applyBorder="1"/>
    <xf numFmtId="0" fontId="0" fillId="0" borderId="0" xfId="0" applyAlignment="1">
      <alignment horizontal="left" indent="1"/>
    </xf>
    <xf numFmtId="42" fontId="0" fillId="0" borderId="0" xfId="0" applyNumberFormat="1"/>
    <xf numFmtId="167" fontId="0" fillId="0" borderId="0" xfId="0" applyNumberFormat="1"/>
    <xf numFmtId="0" fontId="0" fillId="0" borderId="0" xfId="0" applyNumberFormat="1"/>
    <xf numFmtId="164" fontId="0" fillId="0" borderId="0" xfId="0" applyNumberFormat="1" applyAlignment="1">
      <alignment horizontal="left"/>
    </xf>
    <xf numFmtId="0" fontId="5" fillId="0" borderId="0" xfId="0" applyFont="1"/>
    <xf numFmtId="0" fontId="0" fillId="3" borderId="0" xfId="0" applyFill="1"/>
    <xf numFmtId="0" fontId="0" fillId="4" borderId="0" xfId="0" applyFill="1"/>
  </cellXfs>
  <cellStyles count="1">
    <cellStyle name="Normal" xfId="0" builtinId="0"/>
  </cellStyles>
  <dxfs count="112">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165" formatCode="&quot;Rp&quot;#,##0"/>
      <border diagonalUp="0" diagonalDown="0">
        <left style="thin">
          <color indexed="64"/>
        </left>
        <right style="thin">
          <color indexed="64"/>
        </right>
        <top style="thin">
          <color indexed="64"/>
        </top>
        <bottom style="thin">
          <color indexed="64"/>
        </bottom>
        <vertical/>
        <horizontal/>
      </border>
    </dxf>
    <dxf>
      <numFmt numFmtId="165" formatCode="&quot;Rp&quot;#,##0"/>
      <border diagonalUp="0" diagonalDown="0">
        <left style="thin">
          <color indexed="64"/>
        </left>
        <right style="thin">
          <color indexed="64"/>
        </right>
        <top style="thin">
          <color indexed="64"/>
        </top>
        <bottom style="thin">
          <color indexed="64"/>
        </bottom>
        <vertical/>
        <horizontal/>
      </border>
    </dxf>
    <dxf>
      <numFmt numFmtId="165" formatCode="&quot;Rp&quot;#,##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m/d/yy"/>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i val="0"/>
        <strike val="0"/>
        <condense val="0"/>
        <extend val="0"/>
        <outline val="0"/>
        <shadow val="0"/>
        <u val="none"/>
        <vertAlign val="baseline"/>
        <sz val="11"/>
        <color theme="0"/>
        <name val="Calibri"/>
        <family val="2"/>
        <scheme val="minor"/>
      </font>
      <numFmt numFmtId="168" formatCode="m/d/yyyy"/>
      <fill>
        <patternFill patternType="solid">
          <fgColor theme="4" tint="0.79998168889431442"/>
          <bgColor rgb="FF1D6F42"/>
        </patternFill>
      </fill>
    </dxf>
    <dxf>
      <numFmt numFmtId="167" formatCode="_-[$Rp-3809]* #,##0_-;\-[$Rp-3809]* #,##0_-;_-[$Rp-3809]* &quot;-&quot;??_-;_-@_-"/>
    </dxf>
    <dxf>
      <numFmt numFmtId="167" formatCode="_-[$Rp-3809]* #,##0_-;\-[$Rp-3809]* #,##0_-;_-[$Rp-3809]* &quot;-&quot;??_-;_-@_-"/>
    </dxf>
  </dxfs>
  <tableStyles count="1" defaultTableStyle="TableStyleMedium2" defaultPivotStyle="PivotStyleLight16">
    <tableStyle name="Invisible" pivot="0" table="0" count="0" xr9:uid="{75003D19-5725-4E4B-B1F0-917DF486516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1/relationships/timelineCache" Target="timelineCaches/timeline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[Sesi 06 - Pivot Table - Mentor.xlsx]ShowValueAs!PivotTable7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Profit per Region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ShowValueAs!$C$21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07-4E16-9C5E-375FEC9D4BD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07-4E16-9C5E-375FEC9D4BD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507-4E16-9C5E-375FEC9D4BD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507-4E16-9C5E-375FEC9D4BD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ShowValueAs!$B$22:$B$26</c:f>
              <c:strCache>
                <c:ptCount val="4"/>
                <c:pt idx="0">
                  <c:v>Sumatra</c:v>
                </c:pt>
                <c:pt idx="1">
                  <c:v>Jawa</c:v>
                </c:pt>
                <c:pt idx="2">
                  <c:v>Kalimantan</c:v>
                </c:pt>
                <c:pt idx="3">
                  <c:v>Sulawesi</c:v>
                </c:pt>
              </c:strCache>
            </c:strRef>
          </c:cat>
          <c:val>
            <c:numRef>
              <c:f>ShowValueAs!$C$22:$C$26</c:f>
              <c:numCache>
                <c:formatCode>_("Rp"* #,##0_);_("Rp"* \(#,##0\);_("Rp"* "-"_);_(@_)</c:formatCode>
                <c:ptCount val="4"/>
                <c:pt idx="0">
                  <c:v>26835450</c:v>
                </c:pt>
                <c:pt idx="1">
                  <c:v>23706450</c:v>
                </c:pt>
                <c:pt idx="2">
                  <c:v>33654750</c:v>
                </c:pt>
                <c:pt idx="3">
                  <c:v>78791400</c:v>
                </c:pt>
              </c:numCache>
            </c:numRef>
          </c:val>
          <c:extLst>
            <c:ext xmlns:c16="http://schemas.microsoft.com/office/drawing/2014/chart" uri="{C3380CC4-5D6E-409C-BE32-E72D297353CC}">
              <c16:uniqueId val="{00000000-B313-45D9-A821-91252AEE473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[Sesi 06 - Pivot Table - Mentor.xlsx]ShowValueAs!PivotTable7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ShowValueAs!$C$21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ShowValueAs!$B$22:$B$26</c:f>
              <c:strCache>
                <c:ptCount val="4"/>
                <c:pt idx="0">
                  <c:v>Sumatra</c:v>
                </c:pt>
                <c:pt idx="1">
                  <c:v>Jawa</c:v>
                </c:pt>
                <c:pt idx="2">
                  <c:v>Kalimantan</c:v>
                </c:pt>
                <c:pt idx="3">
                  <c:v>Sulawesi</c:v>
                </c:pt>
              </c:strCache>
            </c:strRef>
          </c:cat>
          <c:val>
            <c:numRef>
              <c:f>ShowValueAs!$C$22:$C$26</c:f>
              <c:numCache>
                <c:formatCode>_("Rp"* #,##0_);_("Rp"* \(#,##0\);_("Rp"* "-"_);_(@_)</c:formatCode>
                <c:ptCount val="4"/>
                <c:pt idx="0">
                  <c:v>26835450</c:v>
                </c:pt>
                <c:pt idx="1">
                  <c:v>23706450</c:v>
                </c:pt>
                <c:pt idx="2">
                  <c:v>33654750</c:v>
                </c:pt>
                <c:pt idx="3">
                  <c:v>78791400</c:v>
                </c:pt>
              </c:numCache>
            </c:numRef>
          </c:val>
          <c:extLst>
            <c:ext xmlns:c16="http://schemas.microsoft.com/office/drawing/2014/chart" uri="{C3380CC4-5D6E-409C-BE32-E72D297353CC}">
              <c16:uniqueId val="{00000000-EF7F-4F0D-B8F9-38C7378545DD}"/>
            </c:ext>
          </c:extLst>
        </c:ser>
        <c:dLbls>
          <c:showLegendKey val="0"/>
          <c:showVal val="1"/>
          <c:showCatName val="0"/>
          <c:showSerName val="0"/>
          <c:showPercent val="0"/>
          <c:showBubbleSize val="0"/>
        </c:dLbls>
        <c:gapWidth val="182"/>
        <c:axId val="1819744447"/>
        <c:axId val="1819744031"/>
      </c:barChart>
      <c:catAx>
        <c:axId val="181974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744031"/>
        <c:crosses val="autoZero"/>
        <c:auto val="1"/>
        <c:lblAlgn val="ctr"/>
        <c:lblOffset val="100"/>
        <c:noMultiLvlLbl val="0"/>
      </c:catAx>
      <c:valAx>
        <c:axId val="1819744031"/>
        <c:scaling>
          <c:orientation val="minMax"/>
        </c:scaling>
        <c:delete val="0"/>
        <c:axPos val="b"/>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74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[Sesi 06 - Pivot Table - Mentor.xlsx]PivotTable!PivotTable2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Total Profit Per Produk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cat>
            <c:strRef>
              <c:f>PivotTable!$A$4:$A$9</c:f>
              <c:strCache>
                <c:ptCount val="5"/>
                <c:pt idx="0">
                  <c:v>Jas</c:v>
                </c:pt>
                <c:pt idx="1">
                  <c:v>Gaun</c:v>
                </c:pt>
                <c:pt idx="2">
                  <c:v>Kemeja</c:v>
                </c:pt>
                <c:pt idx="3">
                  <c:v>Mantel</c:v>
                </c:pt>
                <c:pt idx="4">
                  <c:v>Rok</c:v>
                </c:pt>
              </c:strCache>
            </c:strRef>
          </c:cat>
          <c:val>
            <c:numRef>
              <c:f>PivotTable!$B$4:$B$9</c:f>
              <c:numCache>
                <c:formatCode>General</c:formatCode>
                <c:ptCount val="5"/>
                <c:pt idx="0">
                  <c:v>189130950</c:v>
                </c:pt>
                <c:pt idx="1">
                  <c:v>169224450</c:v>
                </c:pt>
                <c:pt idx="2">
                  <c:v>106500950</c:v>
                </c:pt>
                <c:pt idx="3">
                  <c:v>103065300</c:v>
                </c:pt>
                <c:pt idx="4">
                  <c:v>126243750</c:v>
                </c:pt>
              </c:numCache>
            </c:numRef>
          </c:val>
          <c:extLst>
            <c:ext xmlns:c16="http://schemas.microsoft.com/office/drawing/2014/chart" uri="{C3380CC4-5D6E-409C-BE32-E72D297353CC}">
              <c16:uniqueId val="{00000000-59E6-45D3-B321-0BD0078E9004}"/>
            </c:ext>
          </c:extLst>
        </c:ser>
        <c:dLbls>
          <c:showLegendKey val="0"/>
          <c:showVal val="0"/>
          <c:showCatName val="0"/>
          <c:showSerName val="0"/>
          <c:showPercent val="0"/>
          <c:showBubbleSize val="0"/>
        </c:dLbls>
        <c:gapWidth val="219"/>
        <c:overlap val="-27"/>
        <c:axId val="1723672720"/>
        <c:axId val="1723646512"/>
      </c:barChart>
      <c:catAx>
        <c:axId val="172367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46512"/>
        <c:crosses val="autoZero"/>
        <c:auto val="1"/>
        <c:lblAlgn val="ctr"/>
        <c:lblOffset val="100"/>
        <c:noMultiLvlLbl val="0"/>
      </c:catAx>
      <c:valAx>
        <c:axId val="172364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7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[Sesi 06 - Pivot Table - Mentor.xlsx]PivotTable!PivotTable3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Profit per</a:t>
            </a:r>
            <a:r>
              <a:rPr lang="en-US"/>
              <a:t> </a:t>
            </a:r>
            <a:r>
              <a:rPr lang="en-US" b="1">
                <a:solidFill>
                  <a:schemeClr val="tx1"/>
                </a:solidFill>
              </a:rPr>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PivotTable!$B$22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3AA8-4E69-8860-F6C38BF657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PivotTable!$A$23:$A$27</c:f>
              <c:strCache>
                <c:ptCount val="4"/>
                <c:pt idx="0">
                  <c:v>Jawa</c:v>
                </c:pt>
                <c:pt idx="1">
                  <c:v>Kalimantan</c:v>
                </c:pt>
                <c:pt idx="2">
                  <c:v>Sulawesi</c:v>
                </c:pt>
                <c:pt idx="3">
                  <c:v>Sumatra</c:v>
                </c:pt>
              </c:strCache>
            </c:strRef>
          </c:cat>
          <c:val>
            <c:numRef>
              <c:f>PivotTable!$B$23:$B$27</c:f>
              <c:numCache>
                <c:formatCode>_("Rp"* #,##0_);_("Rp"* \(#,##0\);_("Rp"* "-"_);_(@_)</c:formatCode>
                <c:ptCount val="4"/>
                <c:pt idx="0">
                  <c:v>191157000</c:v>
                </c:pt>
                <c:pt idx="1">
                  <c:v>157850750</c:v>
                </c:pt>
                <c:pt idx="2">
                  <c:v>218579400</c:v>
                </c:pt>
                <c:pt idx="3">
                  <c:v>126578250</c:v>
                </c:pt>
              </c:numCache>
            </c:numRef>
          </c:val>
          <c:extLst>
            <c:ext xmlns:c16="http://schemas.microsoft.com/office/drawing/2014/chart" uri="{C3380CC4-5D6E-409C-BE32-E72D297353CC}">
              <c16:uniqueId val="{00000000-3AA8-4E69-8860-F6C38BF6578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[Sesi 06 - Pivot Table - Mentor.xlsx]PivotTable!PivotTable4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solidFill>
                  <a:schemeClr val="tx1"/>
                </a:solidFill>
              </a:rPr>
              <a:t>Sales</a:t>
            </a:r>
            <a:r>
              <a:rPr lang="en-ID" b="1" baseline="0">
                <a:solidFill>
                  <a:schemeClr val="tx1"/>
                </a:solidFill>
              </a:rPr>
              <a:t> Performance</a:t>
            </a:r>
            <a:endParaRPr lang="en-ID" b="1">
              <a:solidFill>
                <a:schemeClr val="tx1"/>
              </a:solidFill>
            </a:endParaRPr>
          </a:p>
        </c:rich>
      </c:tx>
      <c:layout>
        <c:manualLayout>
          <c:xMode val="edge"/>
          <c:yMode val="edge"/>
          <c:x val="0.40804155730533687"/>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PivotTable!$A$36:$A$42</c:f>
              <c:strCache>
                <c:ptCount val="6"/>
                <c:pt idx="0">
                  <c:v>Ahmad Surya</c:v>
                </c:pt>
                <c:pt idx="1">
                  <c:v>Andi Ade</c:v>
                </c:pt>
                <c:pt idx="2">
                  <c:v>Ika Indah</c:v>
                </c:pt>
                <c:pt idx="3">
                  <c:v>Indra Agustina</c:v>
                </c:pt>
                <c:pt idx="4">
                  <c:v>Kusuma Dina</c:v>
                </c:pt>
                <c:pt idx="5">
                  <c:v>Ratna Fitria</c:v>
                </c:pt>
              </c:strCache>
            </c:strRef>
          </c:cat>
          <c:val>
            <c:numRef>
              <c:f>PivotTable!$B$36:$B$42</c:f>
              <c:numCache>
                <c:formatCode>_("Rp"* #,##0_);_("Rp"* \(#,##0\);_("Rp"* "-"_);_(@_)</c:formatCode>
                <c:ptCount val="6"/>
                <c:pt idx="0">
                  <c:v>86686500</c:v>
                </c:pt>
                <c:pt idx="1">
                  <c:v>121991150</c:v>
                </c:pt>
                <c:pt idx="2">
                  <c:v>187173750</c:v>
                </c:pt>
                <c:pt idx="3">
                  <c:v>98539350</c:v>
                </c:pt>
                <c:pt idx="4">
                  <c:v>95405100</c:v>
                </c:pt>
                <c:pt idx="5">
                  <c:v>104369550</c:v>
                </c:pt>
              </c:numCache>
            </c:numRef>
          </c:val>
          <c:extLst>
            <c:ext xmlns:c16="http://schemas.microsoft.com/office/drawing/2014/chart" uri="{C3380CC4-5D6E-409C-BE32-E72D297353CC}">
              <c16:uniqueId val="{00000000-3723-463B-9306-F3314AE81EE1}"/>
            </c:ext>
          </c:extLst>
        </c:ser>
        <c:dLbls>
          <c:showLegendKey val="0"/>
          <c:showVal val="1"/>
          <c:showCatName val="0"/>
          <c:showSerName val="0"/>
          <c:showPercent val="0"/>
          <c:showBubbleSize val="0"/>
        </c:dLbls>
        <c:gapWidth val="182"/>
        <c:axId val="1798451712"/>
        <c:axId val="1798429248"/>
      </c:barChart>
      <c:catAx>
        <c:axId val="179845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29248"/>
        <c:crosses val="autoZero"/>
        <c:auto val="1"/>
        <c:lblAlgn val="ctr"/>
        <c:lblOffset val="100"/>
        <c:noMultiLvlLbl val="0"/>
      </c:catAx>
      <c:valAx>
        <c:axId val="1798429248"/>
        <c:scaling>
          <c:orientation val="minMax"/>
        </c:scaling>
        <c:delete val="0"/>
        <c:axPos val="b"/>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5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[Sesi 06 - Pivot Table - Mentor.xlsx]PivotTable!PivotTable5</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Profit</a:t>
            </a:r>
            <a:r>
              <a:rPr lang="en-US" sz="1600" b="1" baseline="0">
                <a:solidFill>
                  <a:schemeClr val="tx1"/>
                </a:solidFill>
              </a:rPr>
              <a:t> 2021-2022</a:t>
            </a:r>
            <a:endParaRPr lang="en-US" sz="1600" b="1">
              <a:solidFill>
                <a:schemeClr val="tx1"/>
              </a:solidFill>
            </a:endParaRPr>
          </a:p>
        </c:rich>
      </c:tx>
      <c:layout>
        <c:manualLayout>
          <c:xMode val="edge"/>
          <c:yMode val="edge"/>
          <c:x val="0.40002456785567286"/>
          <c:y val="5.453484981044036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PivotTable!$A$57:$A$154</c:f>
              <c:strCache>
                <c:ptCount val="97"/>
                <c:pt idx="0">
                  <c:v>1/1/21</c:v>
                </c:pt>
                <c:pt idx="1">
                  <c:v>1/2/21</c:v>
                </c:pt>
                <c:pt idx="2">
                  <c:v>1/5/21</c:v>
                </c:pt>
                <c:pt idx="3">
                  <c:v>1/6/21</c:v>
                </c:pt>
                <c:pt idx="4">
                  <c:v>1/7/21</c:v>
                </c:pt>
                <c:pt idx="5">
                  <c:v>1/8/21</c:v>
                </c:pt>
                <c:pt idx="6">
                  <c:v>1/12/21</c:v>
                </c:pt>
                <c:pt idx="7">
                  <c:v>1/18/21</c:v>
                </c:pt>
                <c:pt idx="8">
                  <c:v>1/22/21</c:v>
                </c:pt>
                <c:pt idx="9">
                  <c:v>1/23/21</c:v>
                </c:pt>
                <c:pt idx="10">
                  <c:v>1/26/21</c:v>
                </c:pt>
                <c:pt idx="11">
                  <c:v>1/27/21</c:v>
                </c:pt>
                <c:pt idx="12">
                  <c:v>2/6/21</c:v>
                </c:pt>
                <c:pt idx="13">
                  <c:v>2/11/21</c:v>
                </c:pt>
                <c:pt idx="14">
                  <c:v>2/12/21</c:v>
                </c:pt>
                <c:pt idx="15">
                  <c:v>2/16/21</c:v>
                </c:pt>
                <c:pt idx="16">
                  <c:v>2/25/21</c:v>
                </c:pt>
                <c:pt idx="17">
                  <c:v>2/26/21</c:v>
                </c:pt>
                <c:pt idx="18">
                  <c:v>3/6/21</c:v>
                </c:pt>
                <c:pt idx="19">
                  <c:v>3/7/21</c:v>
                </c:pt>
                <c:pt idx="20">
                  <c:v>3/14/21</c:v>
                </c:pt>
                <c:pt idx="21">
                  <c:v>3/26/21</c:v>
                </c:pt>
                <c:pt idx="22">
                  <c:v>4/3/21</c:v>
                </c:pt>
                <c:pt idx="23">
                  <c:v>4/6/21</c:v>
                </c:pt>
                <c:pt idx="24">
                  <c:v>4/10/21</c:v>
                </c:pt>
                <c:pt idx="25">
                  <c:v>4/11/21</c:v>
                </c:pt>
                <c:pt idx="26">
                  <c:v>4/13/21</c:v>
                </c:pt>
                <c:pt idx="27">
                  <c:v>4/23/21</c:v>
                </c:pt>
                <c:pt idx="28">
                  <c:v>4/25/21</c:v>
                </c:pt>
                <c:pt idx="29">
                  <c:v>5/2/21</c:v>
                </c:pt>
                <c:pt idx="30">
                  <c:v>5/4/21</c:v>
                </c:pt>
                <c:pt idx="31">
                  <c:v>5/5/21</c:v>
                </c:pt>
                <c:pt idx="32">
                  <c:v>5/6/21</c:v>
                </c:pt>
                <c:pt idx="33">
                  <c:v>5/12/21</c:v>
                </c:pt>
                <c:pt idx="34">
                  <c:v>5/16/21</c:v>
                </c:pt>
                <c:pt idx="35">
                  <c:v>5/18/21</c:v>
                </c:pt>
                <c:pt idx="36">
                  <c:v>5/19/21</c:v>
                </c:pt>
                <c:pt idx="37">
                  <c:v>5/23/21</c:v>
                </c:pt>
                <c:pt idx="38">
                  <c:v>5/25/21</c:v>
                </c:pt>
                <c:pt idx="39">
                  <c:v>5/27/21</c:v>
                </c:pt>
                <c:pt idx="40">
                  <c:v>5/28/21</c:v>
                </c:pt>
                <c:pt idx="41">
                  <c:v>6/2/21</c:v>
                </c:pt>
                <c:pt idx="42">
                  <c:v>6/5/21</c:v>
                </c:pt>
                <c:pt idx="43">
                  <c:v>6/9/21</c:v>
                </c:pt>
                <c:pt idx="44">
                  <c:v>6/10/21</c:v>
                </c:pt>
                <c:pt idx="45">
                  <c:v>6/12/21</c:v>
                </c:pt>
                <c:pt idx="46">
                  <c:v>6/15/21</c:v>
                </c:pt>
                <c:pt idx="47">
                  <c:v>6/21/21</c:v>
                </c:pt>
                <c:pt idx="48">
                  <c:v>6/22/21</c:v>
                </c:pt>
                <c:pt idx="49">
                  <c:v>6/25/21</c:v>
                </c:pt>
                <c:pt idx="50">
                  <c:v>6/29/21</c:v>
                </c:pt>
                <c:pt idx="51">
                  <c:v>6/30/21</c:v>
                </c:pt>
                <c:pt idx="52">
                  <c:v>7/1/21</c:v>
                </c:pt>
                <c:pt idx="53">
                  <c:v>7/3/21</c:v>
                </c:pt>
                <c:pt idx="54">
                  <c:v>7/6/21</c:v>
                </c:pt>
                <c:pt idx="55">
                  <c:v>7/9/21</c:v>
                </c:pt>
                <c:pt idx="56">
                  <c:v>7/14/21</c:v>
                </c:pt>
                <c:pt idx="57">
                  <c:v>7/18/21</c:v>
                </c:pt>
                <c:pt idx="58">
                  <c:v>7/20/21</c:v>
                </c:pt>
                <c:pt idx="59">
                  <c:v>8/3/21</c:v>
                </c:pt>
                <c:pt idx="60">
                  <c:v>8/11/21</c:v>
                </c:pt>
                <c:pt idx="61">
                  <c:v>8/15/21</c:v>
                </c:pt>
                <c:pt idx="62">
                  <c:v>8/16/21</c:v>
                </c:pt>
                <c:pt idx="63">
                  <c:v>8/21/21</c:v>
                </c:pt>
                <c:pt idx="64">
                  <c:v>8/25/21</c:v>
                </c:pt>
                <c:pt idx="65">
                  <c:v>8/26/21</c:v>
                </c:pt>
                <c:pt idx="66">
                  <c:v>8/30/21</c:v>
                </c:pt>
                <c:pt idx="67">
                  <c:v>9/1/21</c:v>
                </c:pt>
                <c:pt idx="68">
                  <c:v>9/7/21</c:v>
                </c:pt>
                <c:pt idx="69">
                  <c:v>9/12/21</c:v>
                </c:pt>
                <c:pt idx="70">
                  <c:v>9/16/21</c:v>
                </c:pt>
                <c:pt idx="71">
                  <c:v>9/24/21</c:v>
                </c:pt>
                <c:pt idx="72">
                  <c:v>9/27/21</c:v>
                </c:pt>
                <c:pt idx="73">
                  <c:v>9/30/21</c:v>
                </c:pt>
                <c:pt idx="74">
                  <c:v>10/1/21</c:v>
                </c:pt>
                <c:pt idx="75">
                  <c:v>10/3/21</c:v>
                </c:pt>
                <c:pt idx="76">
                  <c:v>10/4/21</c:v>
                </c:pt>
                <c:pt idx="77">
                  <c:v>10/6/21</c:v>
                </c:pt>
                <c:pt idx="78">
                  <c:v>10/7/21</c:v>
                </c:pt>
                <c:pt idx="79">
                  <c:v>10/9/21</c:v>
                </c:pt>
                <c:pt idx="80">
                  <c:v>10/16/21</c:v>
                </c:pt>
                <c:pt idx="81">
                  <c:v>10/17/21</c:v>
                </c:pt>
                <c:pt idx="82">
                  <c:v>10/21/21</c:v>
                </c:pt>
                <c:pt idx="83">
                  <c:v>10/29/21</c:v>
                </c:pt>
                <c:pt idx="84">
                  <c:v>10/30/21</c:v>
                </c:pt>
                <c:pt idx="85">
                  <c:v>11/3/21</c:v>
                </c:pt>
                <c:pt idx="86">
                  <c:v>11/7/21</c:v>
                </c:pt>
                <c:pt idx="87">
                  <c:v>11/15/21</c:v>
                </c:pt>
                <c:pt idx="88">
                  <c:v>11/19/21</c:v>
                </c:pt>
                <c:pt idx="89">
                  <c:v>11/22/21</c:v>
                </c:pt>
                <c:pt idx="90">
                  <c:v>11/25/21</c:v>
                </c:pt>
                <c:pt idx="91">
                  <c:v>11/26/21</c:v>
                </c:pt>
                <c:pt idx="92">
                  <c:v>11/29/21</c:v>
                </c:pt>
                <c:pt idx="93">
                  <c:v>12/3/21</c:v>
                </c:pt>
                <c:pt idx="94">
                  <c:v>12/8/21</c:v>
                </c:pt>
                <c:pt idx="95">
                  <c:v>12/21/21</c:v>
                </c:pt>
                <c:pt idx="96">
                  <c:v>12/23/21</c:v>
                </c:pt>
              </c:strCache>
            </c:strRef>
          </c:cat>
          <c:val>
            <c:numRef>
              <c:f>PivotTable!$B$57:$B$154</c:f>
              <c:numCache>
                <c:formatCode>_("Rp"* #,##0_);_("Rp"* \(#,##0\);_("Rp"* "-"_);_(@_)</c:formatCode>
                <c:ptCount val="97"/>
                <c:pt idx="0">
                  <c:v>64</c:v>
                </c:pt>
                <c:pt idx="1">
                  <c:v>26</c:v>
                </c:pt>
                <c:pt idx="2">
                  <c:v>65</c:v>
                </c:pt>
                <c:pt idx="3">
                  <c:v>54</c:v>
                </c:pt>
                <c:pt idx="4">
                  <c:v>63</c:v>
                </c:pt>
                <c:pt idx="5">
                  <c:v>56</c:v>
                </c:pt>
                <c:pt idx="6">
                  <c:v>39</c:v>
                </c:pt>
                <c:pt idx="7">
                  <c:v>56</c:v>
                </c:pt>
                <c:pt idx="8">
                  <c:v>8</c:v>
                </c:pt>
                <c:pt idx="9">
                  <c:v>24</c:v>
                </c:pt>
                <c:pt idx="10">
                  <c:v>43</c:v>
                </c:pt>
                <c:pt idx="11">
                  <c:v>25</c:v>
                </c:pt>
                <c:pt idx="12">
                  <c:v>63</c:v>
                </c:pt>
                <c:pt idx="13">
                  <c:v>46</c:v>
                </c:pt>
                <c:pt idx="14">
                  <c:v>21</c:v>
                </c:pt>
                <c:pt idx="15">
                  <c:v>36</c:v>
                </c:pt>
                <c:pt idx="16">
                  <c:v>31</c:v>
                </c:pt>
                <c:pt idx="17">
                  <c:v>7</c:v>
                </c:pt>
                <c:pt idx="18">
                  <c:v>56</c:v>
                </c:pt>
                <c:pt idx="19">
                  <c:v>34</c:v>
                </c:pt>
                <c:pt idx="20">
                  <c:v>6</c:v>
                </c:pt>
                <c:pt idx="21">
                  <c:v>58</c:v>
                </c:pt>
                <c:pt idx="22">
                  <c:v>10</c:v>
                </c:pt>
                <c:pt idx="23">
                  <c:v>38</c:v>
                </c:pt>
                <c:pt idx="24">
                  <c:v>12</c:v>
                </c:pt>
                <c:pt idx="25">
                  <c:v>13</c:v>
                </c:pt>
                <c:pt idx="26">
                  <c:v>44</c:v>
                </c:pt>
                <c:pt idx="27">
                  <c:v>57</c:v>
                </c:pt>
                <c:pt idx="28">
                  <c:v>53</c:v>
                </c:pt>
                <c:pt idx="29">
                  <c:v>40</c:v>
                </c:pt>
                <c:pt idx="30">
                  <c:v>61</c:v>
                </c:pt>
                <c:pt idx="31">
                  <c:v>61</c:v>
                </c:pt>
                <c:pt idx="32">
                  <c:v>59</c:v>
                </c:pt>
                <c:pt idx="33">
                  <c:v>14</c:v>
                </c:pt>
                <c:pt idx="34">
                  <c:v>23</c:v>
                </c:pt>
                <c:pt idx="35">
                  <c:v>16</c:v>
                </c:pt>
                <c:pt idx="36">
                  <c:v>24</c:v>
                </c:pt>
                <c:pt idx="37">
                  <c:v>65</c:v>
                </c:pt>
                <c:pt idx="38">
                  <c:v>38</c:v>
                </c:pt>
                <c:pt idx="39">
                  <c:v>7</c:v>
                </c:pt>
                <c:pt idx="40">
                  <c:v>16</c:v>
                </c:pt>
                <c:pt idx="41">
                  <c:v>23</c:v>
                </c:pt>
                <c:pt idx="42">
                  <c:v>18</c:v>
                </c:pt>
                <c:pt idx="43">
                  <c:v>27</c:v>
                </c:pt>
                <c:pt idx="44">
                  <c:v>17</c:v>
                </c:pt>
                <c:pt idx="45">
                  <c:v>18</c:v>
                </c:pt>
                <c:pt idx="46">
                  <c:v>58</c:v>
                </c:pt>
                <c:pt idx="47">
                  <c:v>59</c:v>
                </c:pt>
                <c:pt idx="48">
                  <c:v>62</c:v>
                </c:pt>
                <c:pt idx="49">
                  <c:v>35</c:v>
                </c:pt>
                <c:pt idx="50">
                  <c:v>22</c:v>
                </c:pt>
                <c:pt idx="51">
                  <c:v>42</c:v>
                </c:pt>
                <c:pt idx="52">
                  <c:v>59</c:v>
                </c:pt>
                <c:pt idx="53">
                  <c:v>62</c:v>
                </c:pt>
                <c:pt idx="54">
                  <c:v>9</c:v>
                </c:pt>
                <c:pt idx="55">
                  <c:v>12</c:v>
                </c:pt>
                <c:pt idx="56">
                  <c:v>20</c:v>
                </c:pt>
                <c:pt idx="57">
                  <c:v>57</c:v>
                </c:pt>
                <c:pt idx="58">
                  <c:v>6</c:v>
                </c:pt>
                <c:pt idx="59">
                  <c:v>35</c:v>
                </c:pt>
                <c:pt idx="60">
                  <c:v>81</c:v>
                </c:pt>
                <c:pt idx="61">
                  <c:v>61</c:v>
                </c:pt>
                <c:pt idx="62">
                  <c:v>42</c:v>
                </c:pt>
                <c:pt idx="63">
                  <c:v>30</c:v>
                </c:pt>
                <c:pt idx="64">
                  <c:v>60</c:v>
                </c:pt>
                <c:pt idx="65">
                  <c:v>62</c:v>
                </c:pt>
                <c:pt idx="66">
                  <c:v>17</c:v>
                </c:pt>
                <c:pt idx="67">
                  <c:v>11</c:v>
                </c:pt>
                <c:pt idx="68">
                  <c:v>11</c:v>
                </c:pt>
                <c:pt idx="69">
                  <c:v>15</c:v>
                </c:pt>
                <c:pt idx="70">
                  <c:v>72</c:v>
                </c:pt>
                <c:pt idx="71">
                  <c:v>17</c:v>
                </c:pt>
                <c:pt idx="72">
                  <c:v>20</c:v>
                </c:pt>
                <c:pt idx="73">
                  <c:v>44</c:v>
                </c:pt>
                <c:pt idx="74">
                  <c:v>63</c:v>
                </c:pt>
                <c:pt idx="75">
                  <c:v>78</c:v>
                </c:pt>
                <c:pt idx="76">
                  <c:v>40</c:v>
                </c:pt>
                <c:pt idx="77">
                  <c:v>47</c:v>
                </c:pt>
                <c:pt idx="78">
                  <c:v>64</c:v>
                </c:pt>
                <c:pt idx="79">
                  <c:v>49</c:v>
                </c:pt>
                <c:pt idx="80">
                  <c:v>56</c:v>
                </c:pt>
                <c:pt idx="81">
                  <c:v>21</c:v>
                </c:pt>
                <c:pt idx="82">
                  <c:v>25</c:v>
                </c:pt>
                <c:pt idx="83">
                  <c:v>10</c:v>
                </c:pt>
                <c:pt idx="84">
                  <c:v>29</c:v>
                </c:pt>
                <c:pt idx="85">
                  <c:v>53</c:v>
                </c:pt>
                <c:pt idx="86">
                  <c:v>49</c:v>
                </c:pt>
                <c:pt idx="87">
                  <c:v>29</c:v>
                </c:pt>
                <c:pt idx="88">
                  <c:v>19</c:v>
                </c:pt>
                <c:pt idx="89">
                  <c:v>17</c:v>
                </c:pt>
                <c:pt idx="90">
                  <c:v>53</c:v>
                </c:pt>
                <c:pt idx="91">
                  <c:v>29</c:v>
                </c:pt>
                <c:pt idx="92">
                  <c:v>16</c:v>
                </c:pt>
                <c:pt idx="93">
                  <c:v>27</c:v>
                </c:pt>
                <c:pt idx="94">
                  <c:v>10</c:v>
                </c:pt>
                <c:pt idx="95">
                  <c:v>50</c:v>
                </c:pt>
                <c:pt idx="96">
                  <c:v>51</c:v>
                </c:pt>
              </c:numCache>
            </c:numRef>
          </c:val>
          <c:smooth val="0"/>
          <c:extLst>
            <c:ext xmlns:c16="http://schemas.microsoft.com/office/drawing/2014/chart" uri="{C3380CC4-5D6E-409C-BE32-E72D297353CC}">
              <c16:uniqueId val="{00000002-84FE-4A94-B988-2E75B733378B}"/>
            </c:ext>
          </c:extLst>
        </c:ser>
        <c:dLbls>
          <c:dLblPos val="t"/>
          <c:showLegendKey val="0"/>
          <c:showVal val="1"/>
          <c:showCatName val="0"/>
          <c:showSerName val="0"/>
          <c:showPercent val="0"/>
          <c:showBubbleSize val="0"/>
        </c:dLbls>
        <c:marker val="1"/>
        <c:smooth val="0"/>
        <c:axId val="1731043616"/>
        <c:axId val="1731048192"/>
      </c:lineChart>
      <c:catAx>
        <c:axId val="173104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48192"/>
        <c:crosses val="autoZero"/>
        <c:auto val="1"/>
        <c:lblAlgn val="ctr"/>
        <c:lblOffset val="100"/>
        <c:noMultiLvlLbl val="0"/>
      </c:catAx>
      <c:valAx>
        <c:axId val="1731048192"/>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4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[Sesi 06 - Pivot Table - Mentor.xlsx]PivotTable!PivotTable2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Total Profit Per Produk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cat>
            <c:strRef>
              <c:f>PivotTable!$A$4:$A$9</c:f>
              <c:strCache>
                <c:ptCount val="5"/>
                <c:pt idx="0">
                  <c:v>Jas</c:v>
                </c:pt>
                <c:pt idx="1">
                  <c:v>Gaun</c:v>
                </c:pt>
                <c:pt idx="2">
                  <c:v>Kemeja</c:v>
                </c:pt>
                <c:pt idx="3">
                  <c:v>Mantel</c:v>
                </c:pt>
                <c:pt idx="4">
                  <c:v>Rok</c:v>
                </c:pt>
              </c:strCache>
            </c:strRef>
          </c:cat>
          <c:val>
            <c:numRef>
              <c:f>PivotTable!$B$4:$B$9</c:f>
              <c:numCache>
                <c:formatCode>General</c:formatCode>
                <c:ptCount val="5"/>
                <c:pt idx="0">
                  <c:v>189130950</c:v>
                </c:pt>
                <c:pt idx="1">
                  <c:v>169224450</c:v>
                </c:pt>
                <c:pt idx="2">
                  <c:v>106500950</c:v>
                </c:pt>
                <c:pt idx="3">
                  <c:v>103065300</c:v>
                </c:pt>
                <c:pt idx="4">
                  <c:v>126243750</c:v>
                </c:pt>
              </c:numCache>
            </c:numRef>
          </c:val>
          <c:extLst>
            <c:ext xmlns:c16="http://schemas.microsoft.com/office/drawing/2014/chart" uri="{C3380CC4-5D6E-409C-BE32-E72D297353CC}">
              <c16:uniqueId val="{00000000-9077-4BE3-A6CA-AFF6DB6839C2}"/>
            </c:ext>
          </c:extLst>
        </c:ser>
        <c:dLbls>
          <c:showLegendKey val="0"/>
          <c:showVal val="0"/>
          <c:showCatName val="0"/>
          <c:showSerName val="0"/>
          <c:showPercent val="0"/>
          <c:showBubbleSize val="0"/>
        </c:dLbls>
        <c:gapWidth val="219"/>
        <c:overlap val="-27"/>
        <c:axId val="1723672720"/>
        <c:axId val="1723646512"/>
      </c:barChart>
      <c:catAx>
        <c:axId val="172367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46512"/>
        <c:crosses val="autoZero"/>
        <c:auto val="1"/>
        <c:lblAlgn val="ctr"/>
        <c:lblOffset val="100"/>
        <c:noMultiLvlLbl val="0"/>
      </c:catAx>
      <c:valAx>
        <c:axId val="172364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7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[Sesi 06 - Pivot Table - Mentor.xlsx]PivotTable!PivotTable3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Profit per</a:t>
            </a:r>
            <a:r>
              <a:rPr lang="en-US"/>
              <a:t> </a:t>
            </a:r>
            <a:r>
              <a:rPr lang="en-US" b="1">
                <a:solidFill>
                  <a:schemeClr val="tx1"/>
                </a:solidFill>
              </a:rPr>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PivotTable!$B$22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71-4FF5-8334-DAB3EA5769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71-4FF5-8334-DAB3EA5769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71-4FF5-8334-DAB3EA5769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71-4FF5-8334-DAB3EA5769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PivotTable!$A$23:$A$27</c:f>
              <c:strCache>
                <c:ptCount val="4"/>
                <c:pt idx="0">
                  <c:v>Jawa</c:v>
                </c:pt>
                <c:pt idx="1">
                  <c:v>Kalimantan</c:v>
                </c:pt>
                <c:pt idx="2">
                  <c:v>Sulawesi</c:v>
                </c:pt>
                <c:pt idx="3">
                  <c:v>Sumatra</c:v>
                </c:pt>
              </c:strCache>
            </c:strRef>
          </c:cat>
          <c:val>
            <c:numRef>
              <c:f>PivotTable!$B$23:$B$27</c:f>
              <c:numCache>
                <c:formatCode>_("Rp"* #,##0_);_("Rp"* \(#,##0\);_("Rp"* "-"_);_(@_)</c:formatCode>
                <c:ptCount val="4"/>
                <c:pt idx="0">
                  <c:v>191157000</c:v>
                </c:pt>
                <c:pt idx="1">
                  <c:v>157850750</c:v>
                </c:pt>
                <c:pt idx="2">
                  <c:v>218579400</c:v>
                </c:pt>
                <c:pt idx="3">
                  <c:v>126578250</c:v>
                </c:pt>
              </c:numCache>
            </c:numRef>
          </c:val>
          <c:extLst>
            <c:ext xmlns:c16="http://schemas.microsoft.com/office/drawing/2014/chart" uri="{C3380CC4-5D6E-409C-BE32-E72D297353CC}">
              <c16:uniqueId val="{00000008-1671-4FF5-8334-DAB3EA57693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[Sesi 06 - Pivot Table - Mentor.xlsx]PivotTable!PivotTable4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solidFill>
                  <a:schemeClr val="tx1"/>
                </a:solidFill>
              </a:rPr>
              <a:t>Sales</a:t>
            </a:r>
            <a:r>
              <a:rPr lang="en-ID" b="1" baseline="0">
                <a:solidFill>
                  <a:schemeClr val="tx1"/>
                </a:solidFill>
              </a:rPr>
              <a:t> Performance</a:t>
            </a:r>
            <a:endParaRPr lang="en-ID" b="1">
              <a:solidFill>
                <a:schemeClr val="tx1"/>
              </a:solidFill>
            </a:endParaRPr>
          </a:p>
        </c:rich>
      </c:tx>
      <c:layout>
        <c:manualLayout>
          <c:xMode val="edge"/>
          <c:yMode val="edge"/>
          <c:x val="0.40804155730533687"/>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PivotTable!$A$36:$A$42</c:f>
              <c:strCache>
                <c:ptCount val="6"/>
                <c:pt idx="0">
                  <c:v>Ahmad Surya</c:v>
                </c:pt>
                <c:pt idx="1">
                  <c:v>Andi Ade</c:v>
                </c:pt>
                <c:pt idx="2">
                  <c:v>Ika Indah</c:v>
                </c:pt>
                <c:pt idx="3">
                  <c:v>Indra Agustina</c:v>
                </c:pt>
                <c:pt idx="4">
                  <c:v>Kusuma Dina</c:v>
                </c:pt>
                <c:pt idx="5">
                  <c:v>Ratna Fitria</c:v>
                </c:pt>
              </c:strCache>
            </c:strRef>
          </c:cat>
          <c:val>
            <c:numRef>
              <c:f>PivotTable!$B$36:$B$42</c:f>
              <c:numCache>
                <c:formatCode>_("Rp"* #,##0_);_("Rp"* \(#,##0\);_("Rp"* "-"_);_(@_)</c:formatCode>
                <c:ptCount val="6"/>
                <c:pt idx="0">
                  <c:v>86686500</c:v>
                </c:pt>
                <c:pt idx="1">
                  <c:v>121991150</c:v>
                </c:pt>
                <c:pt idx="2">
                  <c:v>187173750</c:v>
                </c:pt>
                <c:pt idx="3">
                  <c:v>98539350</c:v>
                </c:pt>
                <c:pt idx="4">
                  <c:v>95405100</c:v>
                </c:pt>
                <c:pt idx="5">
                  <c:v>104369550</c:v>
                </c:pt>
              </c:numCache>
            </c:numRef>
          </c:val>
          <c:extLst>
            <c:ext xmlns:c16="http://schemas.microsoft.com/office/drawing/2014/chart" uri="{C3380CC4-5D6E-409C-BE32-E72D297353CC}">
              <c16:uniqueId val="{00000000-2CE3-43B1-A834-23E5ADD500A1}"/>
            </c:ext>
          </c:extLst>
        </c:ser>
        <c:dLbls>
          <c:showLegendKey val="0"/>
          <c:showVal val="1"/>
          <c:showCatName val="0"/>
          <c:showSerName val="0"/>
          <c:showPercent val="0"/>
          <c:showBubbleSize val="0"/>
        </c:dLbls>
        <c:gapWidth val="182"/>
        <c:axId val="1798451712"/>
        <c:axId val="1798429248"/>
      </c:barChart>
      <c:catAx>
        <c:axId val="179845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29248"/>
        <c:crosses val="autoZero"/>
        <c:auto val="1"/>
        <c:lblAlgn val="ctr"/>
        <c:lblOffset val="100"/>
        <c:noMultiLvlLbl val="0"/>
      </c:catAx>
      <c:valAx>
        <c:axId val="1798429248"/>
        <c:scaling>
          <c:orientation val="minMax"/>
        </c:scaling>
        <c:delete val="0"/>
        <c:axPos val="b"/>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5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[Sesi 06 - Pivot Table - Mentor.xlsx]PivotTable!PivotTable5</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Profit</a:t>
            </a:r>
            <a:r>
              <a:rPr lang="en-US" sz="1600" b="1" baseline="0">
                <a:solidFill>
                  <a:schemeClr val="tx1"/>
                </a:solidFill>
              </a:rPr>
              <a:t> 2021-2022</a:t>
            </a:r>
            <a:endParaRPr lang="en-US" sz="1600" b="1">
              <a:solidFill>
                <a:schemeClr val="tx1"/>
              </a:solidFill>
            </a:endParaRPr>
          </a:p>
        </c:rich>
      </c:tx>
      <c:layout>
        <c:manualLayout>
          <c:xMode val="edge"/>
          <c:yMode val="edge"/>
          <c:x val="0.40002456785567286"/>
          <c:y val="5.453484981044036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PivotTable!$A$57:$A$154</c:f>
              <c:strCache>
                <c:ptCount val="97"/>
                <c:pt idx="0">
                  <c:v>1/1/21</c:v>
                </c:pt>
                <c:pt idx="1">
                  <c:v>1/2/21</c:v>
                </c:pt>
                <c:pt idx="2">
                  <c:v>1/5/21</c:v>
                </c:pt>
                <c:pt idx="3">
                  <c:v>1/6/21</c:v>
                </c:pt>
                <c:pt idx="4">
                  <c:v>1/7/21</c:v>
                </c:pt>
                <c:pt idx="5">
                  <c:v>1/8/21</c:v>
                </c:pt>
                <c:pt idx="6">
                  <c:v>1/12/21</c:v>
                </c:pt>
                <c:pt idx="7">
                  <c:v>1/18/21</c:v>
                </c:pt>
                <c:pt idx="8">
                  <c:v>1/22/21</c:v>
                </c:pt>
                <c:pt idx="9">
                  <c:v>1/23/21</c:v>
                </c:pt>
                <c:pt idx="10">
                  <c:v>1/26/21</c:v>
                </c:pt>
                <c:pt idx="11">
                  <c:v>1/27/21</c:v>
                </c:pt>
                <c:pt idx="12">
                  <c:v>2/6/21</c:v>
                </c:pt>
                <c:pt idx="13">
                  <c:v>2/11/21</c:v>
                </c:pt>
                <c:pt idx="14">
                  <c:v>2/12/21</c:v>
                </c:pt>
                <c:pt idx="15">
                  <c:v>2/16/21</c:v>
                </c:pt>
                <c:pt idx="16">
                  <c:v>2/25/21</c:v>
                </c:pt>
                <c:pt idx="17">
                  <c:v>2/26/21</c:v>
                </c:pt>
                <c:pt idx="18">
                  <c:v>3/6/21</c:v>
                </c:pt>
                <c:pt idx="19">
                  <c:v>3/7/21</c:v>
                </c:pt>
                <c:pt idx="20">
                  <c:v>3/14/21</c:v>
                </c:pt>
                <c:pt idx="21">
                  <c:v>3/26/21</c:v>
                </c:pt>
                <c:pt idx="22">
                  <c:v>4/3/21</c:v>
                </c:pt>
                <c:pt idx="23">
                  <c:v>4/6/21</c:v>
                </c:pt>
                <c:pt idx="24">
                  <c:v>4/10/21</c:v>
                </c:pt>
                <c:pt idx="25">
                  <c:v>4/11/21</c:v>
                </c:pt>
                <c:pt idx="26">
                  <c:v>4/13/21</c:v>
                </c:pt>
                <c:pt idx="27">
                  <c:v>4/23/21</c:v>
                </c:pt>
                <c:pt idx="28">
                  <c:v>4/25/21</c:v>
                </c:pt>
                <c:pt idx="29">
                  <c:v>5/2/21</c:v>
                </c:pt>
                <c:pt idx="30">
                  <c:v>5/4/21</c:v>
                </c:pt>
                <c:pt idx="31">
                  <c:v>5/5/21</c:v>
                </c:pt>
                <c:pt idx="32">
                  <c:v>5/6/21</c:v>
                </c:pt>
                <c:pt idx="33">
                  <c:v>5/12/21</c:v>
                </c:pt>
                <c:pt idx="34">
                  <c:v>5/16/21</c:v>
                </c:pt>
                <c:pt idx="35">
                  <c:v>5/18/21</c:v>
                </c:pt>
                <c:pt idx="36">
                  <c:v>5/19/21</c:v>
                </c:pt>
                <c:pt idx="37">
                  <c:v>5/23/21</c:v>
                </c:pt>
                <c:pt idx="38">
                  <c:v>5/25/21</c:v>
                </c:pt>
                <c:pt idx="39">
                  <c:v>5/27/21</c:v>
                </c:pt>
                <c:pt idx="40">
                  <c:v>5/28/21</c:v>
                </c:pt>
                <c:pt idx="41">
                  <c:v>6/2/21</c:v>
                </c:pt>
                <c:pt idx="42">
                  <c:v>6/5/21</c:v>
                </c:pt>
                <c:pt idx="43">
                  <c:v>6/9/21</c:v>
                </c:pt>
                <c:pt idx="44">
                  <c:v>6/10/21</c:v>
                </c:pt>
                <c:pt idx="45">
                  <c:v>6/12/21</c:v>
                </c:pt>
                <c:pt idx="46">
                  <c:v>6/15/21</c:v>
                </c:pt>
                <c:pt idx="47">
                  <c:v>6/21/21</c:v>
                </c:pt>
                <c:pt idx="48">
                  <c:v>6/22/21</c:v>
                </c:pt>
                <c:pt idx="49">
                  <c:v>6/25/21</c:v>
                </c:pt>
                <c:pt idx="50">
                  <c:v>6/29/21</c:v>
                </c:pt>
                <c:pt idx="51">
                  <c:v>6/30/21</c:v>
                </c:pt>
                <c:pt idx="52">
                  <c:v>7/1/21</c:v>
                </c:pt>
                <c:pt idx="53">
                  <c:v>7/3/21</c:v>
                </c:pt>
                <c:pt idx="54">
                  <c:v>7/6/21</c:v>
                </c:pt>
                <c:pt idx="55">
                  <c:v>7/9/21</c:v>
                </c:pt>
                <c:pt idx="56">
                  <c:v>7/14/21</c:v>
                </c:pt>
                <c:pt idx="57">
                  <c:v>7/18/21</c:v>
                </c:pt>
                <c:pt idx="58">
                  <c:v>7/20/21</c:v>
                </c:pt>
                <c:pt idx="59">
                  <c:v>8/3/21</c:v>
                </c:pt>
                <c:pt idx="60">
                  <c:v>8/11/21</c:v>
                </c:pt>
                <c:pt idx="61">
                  <c:v>8/15/21</c:v>
                </c:pt>
                <c:pt idx="62">
                  <c:v>8/16/21</c:v>
                </c:pt>
                <c:pt idx="63">
                  <c:v>8/21/21</c:v>
                </c:pt>
                <c:pt idx="64">
                  <c:v>8/25/21</c:v>
                </c:pt>
                <c:pt idx="65">
                  <c:v>8/26/21</c:v>
                </c:pt>
                <c:pt idx="66">
                  <c:v>8/30/21</c:v>
                </c:pt>
                <c:pt idx="67">
                  <c:v>9/1/21</c:v>
                </c:pt>
                <c:pt idx="68">
                  <c:v>9/7/21</c:v>
                </c:pt>
                <c:pt idx="69">
                  <c:v>9/12/21</c:v>
                </c:pt>
                <c:pt idx="70">
                  <c:v>9/16/21</c:v>
                </c:pt>
                <c:pt idx="71">
                  <c:v>9/24/21</c:v>
                </c:pt>
                <c:pt idx="72">
                  <c:v>9/27/21</c:v>
                </c:pt>
                <c:pt idx="73">
                  <c:v>9/30/21</c:v>
                </c:pt>
                <c:pt idx="74">
                  <c:v>10/1/21</c:v>
                </c:pt>
                <c:pt idx="75">
                  <c:v>10/3/21</c:v>
                </c:pt>
                <c:pt idx="76">
                  <c:v>10/4/21</c:v>
                </c:pt>
                <c:pt idx="77">
                  <c:v>10/6/21</c:v>
                </c:pt>
                <c:pt idx="78">
                  <c:v>10/7/21</c:v>
                </c:pt>
                <c:pt idx="79">
                  <c:v>10/9/21</c:v>
                </c:pt>
                <c:pt idx="80">
                  <c:v>10/16/21</c:v>
                </c:pt>
                <c:pt idx="81">
                  <c:v>10/17/21</c:v>
                </c:pt>
                <c:pt idx="82">
                  <c:v>10/21/21</c:v>
                </c:pt>
                <c:pt idx="83">
                  <c:v>10/29/21</c:v>
                </c:pt>
                <c:pt idx="84">
                  <c:v>10/30/21</c:v>
                </c:pt>
                <c:pt idx="85">
                  <c:v>11/3/21</c:v>
                </c:pt>
                <c:pt idx="86">
                  <c:v>11/7/21</c:v>
                </c:pt>
                <c:pt idx="87">
                  <c:v>11/15/21</c:v>
                </c:pt>
                <c:pt idx="88">
                  <c:v>11/19/21</c:v>
                </c:pt>
                <c:pt idx="89">
                  <c:v>11/22/21</c:v>
                </c:pt>
                <c:pt idx="90">
                  <c:v>11/25/21</c:v>
                </c:pt>
                <c:pt idx="91">
                  <c:v>11/26/21</c:v>
                </c:pt>
                <c:pt idx="92">
                  <c:v>11/29/21</c:v>
                </c:pt>
                <c:pt idx="93">
                  <c:v>12/3/21</c:v>
                </c:pt>
                <c:pt idx="94">
                  <c:v>12/8/21</c:v>
                </c:pt>
                <c:pt idx="95">
                  <c:v>12/21/21</c:v>
                </c:pt>
                <c:pt idx="96">
                  <c:v>12/23/21</c:v>
                </c:pt>
              </c:strCache>
            </c:strRef>
          </c:cat>
          <c:val>
            <c:numRef>
              <c:f>PivotTable!$B$57:$B$154</c:f>
              <c:numCache>
                <c:formatCode>_("Rp"* #,##0_);_("Rp"* \(#,##0\);_("Rp"* "-"_);_(@_)</c:formatCode>
                <c:ptCount val="97"/>
                <c:pt idx="0">
                  <c:v>64</c:v>
                </c:pt>
                <c:pt idx="1">
                  <c:v>26</c:v>
                </c:pt>
                <c:pt idx="2">
                  <c:v>65</c:v>
                </c:pt>
                <c:pt idx="3">
                  <c:v>54</c:v>
                </c:pt>
                <c:pt idx="4">
                  <c:v>63</c:v>
                </c:pt>
                <c:pt idx="5">
                  <c:v>56</c:v>
                </c:pt>
                <c:pt idx="6">
                  <c:v>39</c:v>
                </c:pt>
                <c:pt idx="7">
                  <c:v>56</c:v>
                </c:pt>
                <c:pt idx="8">
                  <c:v>8</c:v>
                </c:pt>
                <c:pt idx="9">
                  <c:v>24</c:v>
                </c:pt>
                <c:pt idx="10">
                  <c:v>43</c:v>
                </c:pt>
                <c:pt idx="11">
                  <c:v>25</c:v>
                </c:pt>
                <c:pt idx="12">
                  <c:v>63</c:v>
                </c:pt>
                <c:pt idx="13">
                  <c:v>46</c:v>
                </c:pt>
                <c:pt idx="14">
                  <c:v>21</c:v>
                </c:pt>
                <c:pt idx="15">
                  <c:v>36</c:v>
                </c:pt>
                <c:pt idx="16">
                  <c:v>31</c:v>
                </c:pt>
                <c:pt idx="17">
                  <c:v>7</c:v>
                </c:pt>
                <c:pt idx="18">
                  <c:v>56</c:v>
                </c:pt>
                <c:pt idx="19">
                  <c:v>34</c:v>
                </c:pt>
                <c:pt idx="20">
                  <c:v>6</c:v>
                </c:pt>
                <c:pt idx="21">
                  <c:v>58</c:v>
                </c:pt>
                <c:pt idx="22">
                  <c:v>10</c:v>
                </c:pt>
                <c:pt idx="23">
                  <c:v>38</c:v>
                </c:pt>
                <c:pt idx="24">
                  <c:v>12</c:v>
                </c:pt>
                <c:pt idx="25">
                  <c:v>13</c:v>
                </c:pt>
                <c:pt idx="26">
                  <c:v>44</c:v>
                </c:pt>
                <c:pt idx="27">
                  <c:v>57</c:v>
                </c:pt>
                <c:pt idx="28">
                  <c:v>53</c:v>
                </c:pt>
                <c:pt idx="29">
                  <c:v>40</c:v>
                </c:pt>
                <c:pt idx="30">
                  <c:v>61</c:v>
                </c:pt>
                <c:pt idx="31">
                  <c:v>61</c:v>
                </c:pt>
                <c:pt idx="32">
                  <c:v>59</c:v>
                </c:pt>
                <c:pt idx="33">
                  <c:v>14</c:v>
                </c:pt>
                <c:pt idx="34">
                  <c:v>23</c:v>
                </c:pt>
                <c:pt idx="35">
                  <c:v>16</c:v>
                </c:pt>
                <c:pt idx="36">
                  <c:v>24</c:v>
                </c:pt>
                <c:pt idx="37">
                  <c:v>65</c:v>
                </c:pt>
                <c:pt idx="38">
                  <c:v>38</c:v>
                </c:pt>
                <c:pt idx="39">
                  <c:v>7</c:v>
                </c:pt>
                <c:pt idx="40">
                  <c:v>16</c:v>
                </c:pt>
                <c:pt idx="41">
                  <c:v>23</c:v>
                </c:pt>
                <c:pt idx="42">
                  <c:v>18</c:v>
                </c:pt>
                <c:pt idx="43">
                  <c:v>27</c:v>
                </c:pt>
                <c:pt idx="44">
                  <c:v>17</c:v>
                </c:pt>
                <c:pt idx="45">
                  <c:v>18</c:v>
                </c:pt>
                <c:pt idx="46">
                  <c:v>58</c:v>
                </c:pt>
                <c:pt idx="47">
                  <c:v>59</c:v>
                </c:pt>
                <c:pt idx="48">
                  <c:v>62</c:v>
                </c:pt>
                <c:pt idx="49">
                  <c:v>35</c:v>
                </c:pt>
                <c:pt idx="50">
                  <c:v>22</c:v>
                </c:pt>
                <c:pt idx="51">
                  <c:v>42</c:v>
                </c:pt>
                <c:pt idx="52">
                  <c:v>59</c:v>
                </c:pt>
                <c:pt idx="53">
                  <c:v>62</c:v>
                </c:pt>
                <c:pt idx="54">
                  <c:v>9</c:v>
                </c:pt>
                <c:pt idx="55">
                  <c:v>12</c:v>
                </c:pt>
                <c:pt idx="56">
                  <c:v>20</c:v>
                </c:pt>
                <c:pt idx="57">
                  <c:v>57</c:v>
                </c:pt>
                <c:pt idx="58">
                  <c:v>6</c:v>
                </c:pt>
                <c:pt idx="59">
                  <c:v>35</c:v>
                </c:pt>
                <c:pt idx="60">
                  <c:v>81</c:v>
                </c:pt>
                <c:pt idx="61">
                  <c:v>61</c:v>
                </c:pt>
                <c:pt idx="62">
                  <c:v>42</c:v>
                </c:pt>
                <c:pt idx="63">
                  <c:v>30</c:v>
                </c:pt>
                <c:pt idx="64">
                  <c:v>60</c:v>
                </c:pt>
                <c:pt idx="65">
                  <c:v>62</c:v>
                </c:pt>
                <c:pt idx="66">
                  <c:v>17</c:v>
                </c:pt>
                <c:pt idx="67">
                  <c:v>11</c:v>
                </c:pt>
                <c:pt idx="68">
                  <c:v>11</c:v>
                </c:pt>
                <c:pt idx="69">
                  <c:v>15</c:v>
                </c:pt>
                <c:pt idx="70">
                  <c:v>72</c:v>
                </c:pt>
                <c:pt idx="71">
                  <c:v>17</c:v>
                </c:pt>
                <c:pt idx="72">
                  <c:v>20</c:v>
                </c:pt>
                <c:pt idx="73">
                  <c:v>44</c:v>
                </c:pt>
                <c:pt idx="74">
                  <c:v>63</c:v>
                </c:pt>
                <c:pt idx="75">
                  <c:v>78</c:v>
                </c:pt>
                <c:pt idx="76">
                  <c:v>40</c:v>
                </c:pt>
                <c:pt idx="77">
                  <c:v>47</c:v>
                </c:pt>
                <c:pt idx="78">
                  <c:v>64</c:v>
                </c:pt>
                <c:pt idx="79">
                  <c:v>49</c:v>
                </c:pt>
                <c:pt idx="80">
                  <c:v>56</c:v>
                </c:pt>
                <c:pt idx="81">
                  <c:v>21</c:v>
                </c:pt>
                <c:pt idx="82">
                  <c:v>25</c:v>
                </c:pt>
                <c:pt idx="83">
                  <c:v>10</c:v>
                </c:pt>
                <c:pt idx="84">
                  <c:v>29</c:v>
                </c:pt>
                <c:pt idx="85">
                  <c:v>53</c:v>
                </c:pt>
                <c:pt idx="86">
                  <c:v>49</c:v>
                </c:pt>
                <c:pt idx="87">
                  <c:v>29</c:v>
                </c:pt>
                <c:pt idx="88">
                  <c:v>19</c:v>
                </c:pt>
                <c:pt idx="89">
                  <c:v>17</c:v>
                </c:pt>
                <c:pt idx="90">
                  <c:v>53</c:v>
                </c:pt>
                <c:pt idx="91">
                  <c:v>29</c:v>
                </c:pt>
                <c:pt idx="92">
                  <c:v>16</c:v>
                </c:pt>
                <c:pt idx="93">
                  <c:v>27</c:v>
                </c:pt>
                <c:pt idx="94">
                  <c:v>10</c:v>
                </c:pt>
                <c:pt idx="95">
                  <c:v>50</c:v>
                </c:pt>
                <c:pt idx="96">
                  <c:v>51</c:v>
                </c:pt>
              </c:numCache>
            </c:numRef>
          </c:val>
          <c:smooth val="0"/>
          <c:extLst>
            <c:ext xmlns:c16="http://schemas.microsoft.com/office/drawing/2014/chart" uri="{C3380CC4-5D6E-409C-BE32-E72D297353CC}">
              <c16:uniqueId val="{00000000-9DA5-47B9-AC01-8FBCB1574987}"/>
            </c:ext>
          </c:extLst>
        </c:ser>
        <c:dLbls>
          <c:dLblPos val="t"/>
          <c:showLegendKey val="0"/>
          <c:showVal val="1"/>
          <c:showCatName val="0"/>
          <c:showSerName val="0"/>
          <c:showPercent val="0"/>
          <c:showBubbleSize val="0"/>
        </c:dLbls>
        <c:marker val="1"/>
        <c:smooth val="0"/>
        <c:axId val="1731043616"/>
        <c:axId val="1731048192"/>
      </c:lineChart>
      <c:catAx>
        <c:axId val="173104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48192"/>
        <c:crosses val="autoZero"/>
        <c:auto val="1"/>
        <c:lblAlgn val="ctr"/>
        <c:lblOffset val="100"/>
        <c:noMultiLvlLbl val="0"/>
      </c:catAx>
      <c:valAx>
        <c:axId val="1731048192"/>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4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19</xdr:col>
      <xdr:colOff>38101</xdr:colOff>
      <xdr:row>0</xdr:row>
      <xdr:rowOff>104775</xdr:rowOff>
    </xdr:from>
    <xdr:to>
      <xdr:col>23</xdr:col>
      <xdr:colOff>609601</xdr:colOff>
      <xdr:row>7</xdr:row>
      <xdr:rowOff>104775</xdr:rowOff>
    </xdr:to>
    <xdr:sp macro="" textlink="">
      <xdr:nvSpPr>
        <xdr:cNvPr id="2" name="Rectangle 1">
          <a:extLst>
            <a:ext uri="{FF2B5EF4-FFF2-40B4-BE49-F238E27FC236}">
              <a16:creationId xmlns:a16="http://schemas.microsoft.com/office/drawing/2014/main" id="{E8C41797-0E07-22D3-F818-C66727A94915}"/>
            </a:ext>
          </a:extLst>
        </xdr:cNvPr>
        <xdr:cNvSpPr/>
      </xdr:nvSpPr>
      <xdr:spPr>
        <a:xfrm>
          <a:off x="16392526" y="104775"/>
          <a:ext cx="4038600" cy="1333500"/>
        </a:xfrm>
        <a:prstGeom prst="rect">
          <a:avLst/>
        </a:prstGeom>
        <a:solidFill>
          <a:schemeClr val="accent6">
            <a:lumMod val="20000"/>
            <a:lumOff val="8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solidFill>
                <a:sysClr val="windowText" lastClr="000000"/>
              </a:solidFill>
            </a:rPr>
            <a:t>Apakah tabel</a:t>
          </a:r>
          <a:r>
            <a:rPr lang="en-US" sz="1100" baseline="0">
              <a:solidFill>
                <a:sysClr val="windowText" lastClr="000000"/>
              </a:solidFill>
            </a:rPr>
            <a:t> ini range atau table?</a:t>
          </a:r>
        </a:p>
        <a:p>
          <a:pPr algn="l"/>
          <a:r>
            <a:rPr lang="en-US" sz="1100" baseline="0">
              <a:solidFill>
                <a:sysClr val="windowText" lastClr="000000"/>
              </a:solidFill>
            </a:rPr>
            <a:t>Formula apa yang harus digunakan untuk mengisi nila "Penjualan"?</a:t>
          </a:r>
        </a:p>
        <a:p>
          <a:pPr algn="l"/>
          <a:r>
            <a:rPr lang="en-US" sz="1100" baseline="0">
              <a:solidFill>
                <a:sysClr val="windowText" lastClr="000000"/>
              </a:solidFill>
            </a:rPr>
            <a:t>Coba gunakan cell format untuk menggati format nilai penjualan menjadi nilai mata uang Rupiah</a:t>
          </a:r>
        </a:p>
        <a:p>
          <a:pPr algn="l"/>
          <a:r>
            <a:rPr lang="en-US" sz="1100" baseline="0">
              <a:solidFill>
                <a:sysClr val="windowText" lastClr="000000"/>
              </a:solidFill>
            </a:rPr>
            <a:t>Tambahkan kolom "Profit" sebelah kanan COGS, apakah rumus profit itu?</a:t>
          </a:r>
        </a:p>
      </xdr:txBody>
    </xdr:sp>
    <xdr:clientData/>
  </xdr:twoCellAnchor>
  <xdr:twoCellAnchor>
    <xdr:from>
      <xdr:col>19</xdr:col>
      <xdr:colOff>8913</xdr:colOff>
      <xdr:row>8</xdr:row>
      <xdr:rowOff>18269</xdr:rowOff>
    </xdr:from>
    <xdr:to>
      <xdr:col>23</xdr:col>
      <xdr:colOff>609600</xdr:colOff>
      <xdr:row>22</xdr:row>
      <xdr:rowOff>47625</xdr:rowOff>
    </xdr:to>
    <xdr:sp macro="" textlink="">
      <xdr:nvSpPr>
        <xdr:cNvPr id="3" name="Rectangle 2">
          <a:extLst>
            <a:ext uri="{FF2B5EF4-FFF2-40B4-BE49-F238E27FC236}">
              <a16:creationId xmlns:a16="http://schemas.microsoft.com/office/drawing/2014/main" id="{5B92BA8D-B895-43B0-897E-9FA6DC694E63}"/>
            </a:ext>
          </a:extLst>
        </xdr:cNvPr>
        <xdr:cNvSpPr/>
      </xdr:nvSpPr>
      <xdr:spPr>
        <a:xfrm>
          <a:off x="16363338" y="1542269"/>
          <a:ext cx="4067787" cy="2696356"/>
        </a:xfrm>
        <a:prstGeom prst="rect">
          <a:avLst/>
        </a:prstGeom>
        <a:solidFill>
          <a:schemeClr val="accent6">
            <a:lumMod val="20000"/>
            <a:lumOff val="8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solidFill>
                <a:schemeClr val="tx1"/>
              </a:solidFill>
            </a:rPr>
            <a:t>Apakah sumber</a:t>
          </a:r>
          <a:r>
            <a:rPr lang="en-US" sz="1100" baseline="0">
              <a:solidFill>
                <a:schemeClr val="tx1"/>
              </a:solidFill>
            </a:rPr>
            <a:t> data dari pivot harus selalu "table" atau boleh menggunakan "range"?</a:t>
          </a:r>
          <a:endParaRPr lang="en-US" sz="1100">
            <a:solidFill>
              <a:schemeClr val="tx1"/>
            </a:solidFill>
          </a:endParaRPr>
        </a:p>
        <a:p>
          <a:pPr algn="l"/>
          <a:r>
            <a:rPr lang="en-US" sz="1100" baseline="0">
              <a:solidFill>
                <a:schemeClr val="tx1"/>
              </a:solidFill>
            </a:rPr>
            <a:t>Pivot table vs Table ?</a:t>
          </a:r>
        </a:p>
        <a:p>
          <a:pPr algn="l"/>
          <a:endParaRPr lang="en-US" sz="1100"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Membuat Pivot Table</a:t>
          </a:r>
          <a:endParaRPr lang="en-US" sz="1100" b="1" baseline="0">
            <a:solidFill>
              <a:schemeClr val="tx1"/>
            </a:solidFill>
          </a:endParaRPr>
        </a:p>
        <a:p>
          <a:pPr algn="l"/>
          <a:r>
            <a:rPr lang="en-US" sz="1100" baseline="0">
              <a:solidFill>
                <a:schemeClr val="tx1"/>
              </a:solidFill>
            </a:rPr>
            <a:t>Buat pivot table untuk memperlihatkan jumlah penjualan per region untuk setiap Produk di filter oleh Sales Rep</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effectLst/>
              <a:latin typeface="+mn-lt"/>
              <a:ea typeface="+mn-ea"/>
              <a:cs typeface="+mn-cs"/>
            </a:rPr>
            <a:t>Buat pivot table untuk memperlihatkan profit  per region untuk setiap kategori di filter oleh Tanggal</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effectLst/>
              <a:latin typeface="+mn-lt"/>
              <a:ea typeface="+mn-ea"/>
              <a:cs typeface="+mn-cs"/>
            </a:rPr>
            <a:t>Coba membuat "Slicer" untuk table sumber data, kemudian untuk pivot table (apa bedanya?)</a:t>
          </a:r>
          <a:endParaRPr lang="en-US">
            <a:solidFill>
              <a:schemeClr val="tx1"/>
            </a:solidFill>
            <a:effectLst/>
          </a:endParaRPr>
        </a:p>
        <a:p>
          <a:pPr algn="l"/>
          <a:endParaRPr lang="en-US" sz="1100" baseline="0">
            <a:solidFill>
              <a:schemeClr val="tx1"/>
            </a:solidFill>
          </a:endParaRPr>
        </a:p>
      </xdr:txBody>
    </xdr:sp>
    <xdr:clientData/>
  </xdr:twoCellAnchor>
  <xdr:twoCellAnchor>
    <xdr:from>
      <xdr:col>9</xdr:col>
      <xdr:colOff>811815</xdr:colOff>
      <xdr:row>20</xdr:row>
      <xdr:rowOff>125847</xdr:rowOff>
    </xdr:from>
    <xdr:to>
      <xdr:col>14</xdr:col>
      <xdr:colOff>112061</xdr:colOff>
      <xdr:row>22</xdr:row>
      <xdr:rowOff>113181</xdr:rowOff>
    </xdr:to>
    <xdr:sp macro="" textlink="">
      <xdr:nvSpPr>
        <xdr:cNvPr id="7" name="Rectangle 6">
          <a:extLst>
            <a:ext uri="{FF2B5EF4-FFF2-40B4-BE49-F238E27FC236}">
              <a16:creationId xmlns:a16="http://schemas.microsoft.com/office/drawing/2014/main" id="{A75C3219-63CD-BB37-CD40-05A693F65E15}"/>
            </a:ext>
          </a:extLst>
        </xdr:cNvPr>
        <xdr:cNvSpPr/>
      </xdr:nvSpPr>
      <xdr:spPr>
        <a:xfrm>
          <a:off x="7555515" y="3935847"/>
          <a:ext cx="3491246" cy="368334"/>
        </a:xfrm>
        <a:prstGeom prst="rect">
          <a:avLst/>
        </a:prstGeom>
        <a:solidFill>
          <a:schemeClr val="accent6">
            <a:lumMod val="20000"/>
            <a:lumOff val="8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solidFill>
                <a:schemeClr val="tx1"/>
              </a:solidFill>
            </a:rPr>
            <a:t>Berikan row label pada kolom "Region"</a:t>
          </a:r>
          <a:endParaRPr lang="en-US" sz="1100" baseline="0">
            <a:solidFill>
              <a:schemeClr val="tx1"/>
            </a:solidFill>
          </a:endParaRPr>
        </a:p>
      </xdr:txBody>
    </xdr:sp>
    <xdr:clientData/>
  </xdr:twoCellAnchor>
  <xdr:twoCellAnchor editAs="oneCell">
    <xdr:from>
      <xdr:col>16</xdr:col>
      <xdr:colOff>247650</xdr:colOff>
      <xdr:row>3</xdr:row>
      <xdr:rowOff>114300</xdr:rowOff>
    </xdr:from>
    <xdr:to>
      <xdr:col>18</xdr:col>
      <xdr:colOff>142875</xdr:colOff>
      <xdr:row>16</xdr:row>
      <xdr:rowOff>161925</xdr:rowOff>
    </xdr:to>
    <mc:AlternateContent xmlns:mc="http://schemas.openxmlformats.org/markup-compatibility/2006" xmlns:a14="http://schemas.microsoft.com/office/drawing/2010/main">
      <mc:Choice Requires="a14">
        <xdr:graphicFrame macro="">
          <xdr:nvGraphicFramePr>
            <xdr:cNvPr id="5" name="SalesRep">
              <a:extLst>
                <a:ext uri="{FF2B5EF4-FFF2-40B4-BE49-F238E27FC236}">
                  <a16:creationId xmlns:a16="http://schemas.microsoft.com/office/drawing/2014/main" id="{C86887FD-DF9E-40C3-BB09-A6B6B2BFA7BC}"/>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mlns="">
        <xdr:sp macro="" textlink="">
          <xdr:nvSpPr>
            <xdr:cNvPr id="0" name=""/>
            <xdr:cNvSpPr>
              <a:spLocks noTextEdit="1"/>
            </xdr:cNvSpPr>
          </xdr:nvSpPr>
          <xdr:spPr>
            <a:xfrm>
              <a:off x="13563600" y="6858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21</xdr:col>
      <xdr:colOff>323851</xdr:colOff>
      <xdr:row>3</xdr:row>
      <xdr:rowOff>161925</xdr:rowOff>
    </xdr:from>
    <xdr:to>
      <xdr:col>24</xdr:col>
      <xdr:colOff>590551</xdr:colOff>
      <xdr:row>9</xdr:row>
      <xdr:rowOff>47625</xdr:rowOff>
    </xdr:to>
    <xdr:sp macro="" textlink="">
      <xdr:nvSpPr>
        <xdr:cNvPr id="2" name="Rectangle 1">
          <a:extLst>
            <a:ext uri="{FF2B5EF4-FFF2-40B4-BE49-F238E27FC236}">
              <a16:creationId xmlns:a16="http://schemas.microsoft.com/office/drawing/2014/main" id="{54AE67FA-F60E-4BEB-B7AA-7EBA46705BAA}"/>
            </a:ext>
          </a:extLst>
        </xdr:cNvPr>
        <xdr:cNvSpPr/>
      </xdr:nvSpPr>
      <xdr:spPr>
        <a:xfrm>
          <a:off x="16640176" y="904875"/>
          <a:ext cx="2476500" cy="1028700"/>
        </a:xfrm>
        <a:prstGeom prst="rect">
          <a:avLst/>
        </a:prstGeom>
        <a:solidFill>
          <a:schemeClr val="accent6">
            <a:lumMod val="20000"/>
            <a:lumOff val="8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200" b="1">
              <a:solidFill>
                <a:sysClr val="windowText" lastClr="000000"/>
              </a:solidFill>
            </a:rPr>
            <a:t>Top N filter</a:t>
          </a:r>
          <a:br>
            <a:rPr lang="en-US" sz="1200">
              <a:solidFill>
                <a:sysClr val="windowText" lastClr="000000"/>
              </a:solidFill>
            </a:rPr>
          </a:br>
          <a:r>
            <a:rPr lang="en-US" sz="1200">
              <a:solidFill>
                <a:sysClr val="windowText" lastClr="000000"/>
              </a:solidFill>
            </a:rPr>
            <a:t>- Klik kanan pada pivot table</a:t>
          </a:r>
        </a:p>
        <a:p>
          <a:pPr algn="l"/>
          <a:r>
            <a:rPr lang="en-US" sz="1200" baseline="0">
              <a:solidFill>
                <a:sysClr val="windowText" lastClr="000000"/>
              </a:solidFill>
            </a:rPr>
            <a:t>- Filter</a:t>
          </a:r>
        </a:p>
        <a:p>
          <a:pPr algn="l"/>
          <a:r>
            <a:rPr lang="en-US" sz="1200" baseline="0">
              <a:solidFill>
                <a:sysClr val="windowText" lastClr="000000"/>
              </a:solidFill>
            </a:rPr>
            <a:t>- Top 10</a:t>
          </a:r>
        </a:p>
        <a:p>
          <a:pPr algn="l"/>
          <a:endParaRPr lang="en-US" sz="1200" baseline="0">
            <a:solidFill>
              <a:sysClr val="windowText" lastClr="000000"/>
            </a:solidFill>
          </a:endParaRPr>
        </a:p>
      </xdr:txBody>
    </xdr:sp>
    <xdr:clientData/>
  </xdr:twoCellAnchor>
  <xdr:twoCellAnchor>
    <xdr:from>
      <xdr:col>10</xdr:col>
      <xdr:colOff>390526</xdr:colOff>
      <xdr:row>3</xdr:row>
      <xdr:rowOff>161925</xdr:rowOff>
    </xdr:from>
    <xdr:to>
      <xdr:col>14</xdr:col>
      <xdr:colOff>428626</xdr:colOff>
      <xdr:row>9</xdr:row>
      <xdr:rowOff>47625</xdr:rowOff>
    </xdr:to>
    <xdr:sp macro="" textlink="">
      <xdr:nvSpPr>
        <xdr:cNvPr id="3" name="Rectangle 2">
          <a:extLst>
            <a:ext uri="{FF2B5EF4-FFF2-40B4-BE49-F238E27FC236}">
              <a16:creationId xmlns:a16="http://schemas.microsoft.com/office/drawing/2014/main" id="{5AF24498-3E47-44EE-A77C-0815A8ECA648}"/>
            </a:ext>
          </a:extLst>
        </xdr:cNvPr>
        <xdr:cNvSpPr/>
      </xdr:nvSpPr>
      <xdr:spPr>
        <a:xfrm>
          <a:off x="8677276" y="904875"/>
          <a:ext cx="2476500" cy="1028700"/>
        </a:xfrm>
        <a:prstGeom prst="rect">
          <a:avLst/>
        </a:prstGeom>
        <a:solidFill>
          <a:schemeClr val="accent6">
            <a:lumMod val="20000"/>
            <a:lumOff val="8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200" b="1">
              <a:solidFill>
                <a:sysClr val="windowText" lastClr="000000"/>
              </a:solidFill>
            </a:rPr>
            <a:t>Sorting</a:t>
          </a:r>
          <a:r>
            <a:rPr lang="en-US" sz="1200" b="1" baseline="0">
              <a:solidFill>
                <a:sysClr val="windowText" lastClr="000000"/>
              </a:solidFill>
            </a:rPr>
            <a:t> Manual</a:t>
          </a:r>
          <a:br>
            <a:rPr lang="en-US" sz="1200">
              <a:solidFill>
                <a:sysClr val="windowText" lastClr="000000"/>
              </a:solidFill>
            </a:rPr>
          </a:br>
          <a:r>
            <a:rPr lang="en-US" sz="1200">
              <a:solidFill>
                <a:sysClr val="windowText" lastClr="000000"/>
              </a:solidFill>
            </a:rPr>
            <a:t>-</a:t>
          </a:r>
          <a:r>
            <a:rPr lang="en-US" sz="1200" baseline="0">
              <a:solidFill>
                <a:sysClr val="windowText" lastClr="000000"/>
              </a:solidFill>
            </a:rPr>
            <a:t> Mengurutkan berdasarkan pulau dari arah barat</a:t>
          </a:r>
        </a:p>
      </xdr:txBody>
    </xdr:sp>
    <xdr:clientData/>
  </xdr:twoCellAnchor>
  <xdr:twoCellAnchor>
    <xdr:from>
      <xdr:col>3</xdr:col>
      <xdr:colOff>266701</xdr:colOff>
      <xdr:row>4</xdr:row>
      <xdr:rowOff>57150</xdr:rowOff>
    </xdr:from>
    <xdr:to>
      <xdr:col>6</xdr:col>
      <xdr:colOff>390526</xdr:colOff>
      <xdr:row>9</xdr:row>
      <xdr:rowOff>133350</xdr:rowOff>
    </xdr:to>
    <xdr:sp macro="" textlink="">
      <xdr:nvSpPr>
        <xdr:cNvPr id="4" name="Rectangle 3">
          <a:extLst>
            <a:ext uri="{FF2B5EF4-FFF2-40B4-BE49-F238E27FC236}">
              <a16:creationId xmlns:a16="http://schemas.microsoft.com/office/drawing/2014/main" id="{826FA98E-80CF-4578-854C-5112B2DD1184}"/>
            </a:ext>
          </a:extLst>
        </xdr:cNvPr>
        <xdr:cNvSpPr/>
      </xdr:nvSpPr>
      <xdr:spPr>
        <a:xfrm>
          <a:off x="2828926" y="990600"/>
          <a:ext cx="2476500" cy="1028700"/>
        </a:xfrm>
        <a:prstGeom prst="rect">
          <a:avLst/>
        </a:prstGeom>
        <a:solidFill>
          <a:schemeClr val="accent6">
            <a:lumMod val="20000"/>
            <a:lumOff val="8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200" b="1">
              <a:solidFill>
                <a:sysClr val="windowText" lastClr="000000"/>
              </a:solidFill>
            </a:rPr>
            <a:t>Sorting</a:t>
          </a:r>
          <a:r>
            <a:rPr lang="en-US" sz="1200" b="1" baseline="0">
              <a:solidFill>
                <a:sysClr val="windowText" lastClr="000000"/>
              </a:solidFill>
            </a:rPr>
            <a:t> Manual</a:t>
          </a:r>
          <a:br>
            <a:rPr lang="en-US" sz="1200">
              <a:solidFill>
                <a:sysClr val="windowText" lastClr="000000"/>
              </a:solidFill>
            </a:rPr>
          </a:br>
          <a:r>
            <a:rPr lang="en-US" sz="1200">
              <a:solidFill>
                <a:sysClr val="windowText" lastClr="000000"/>
              </a:solidFill>
            </a:rPr>
            <a:t>-</a:t>
          </a:r>
          <a:r>
            <a:rPr lang="en-US" sz="1200" baseline="0">
              <a:solidFill>
                <a:sysClr val="windowText" lastClr="000000"/>
              </a:solidFill>
            </a:rPr>
            <a:t> Mengurutkan berdasarkan profit terbesar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543485</xdr:colOff>
      <xdr:row>22</xdr:row>
      <xdr:rowOff>53227</xdr:rowOff>
    </xdr:from>
    <xdr:to>
      <xdr:col>5</xdr:col>
      <xdr:colOff>242607</xdr:colOff>
      <xdr:row>29</xdr:row>
      <xdr:rowOff>72277</xdr:rowOff>
    </xdr:to>
    <xdr:sp macro="" textlink="">
      <xdr:nvSpPr>
        <xdr:cNvPr id="2" name="Rectangle 1">
          <a:extLst>
            <a:ext uri="{FF2B5EF4-FFF2-40B4-BE49-F238E27FC236}">
              <a16:creationId xmlns:a16="http://schemas.microsoft.com/office/drawing/2014/main" id="{0769AFF2-1B53-4CCF-90E1-62473AABC0ED}"/>
            </a:ext>
          </a:extLst>
        </xdr:cNvPr>
        <xdr:cNvSpPr/>
      </xdr:nvSpPr>
      <xdr:spPr>
        <a:xfrm>
          <a:off x="543485" y="4412315"/>
          <a:ext cx="4383181" cy="1352550"/>
        </a:xfrm>
        <a:prstGeom prst="rect">
          <a:avLst/>
        </a:prstGeom>
        <a:solidFill>
          <a:schemeClr val="accent6">
            <a:lumMod val="20000"/>
            <a:lumOff val="8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200" b="1">
              <a:solidFill>
                <a:sysClr val="windowText" lastClr="000000"/>
              </a:solidFill>
            </a:rPr>
            <a:t>Pivot Table Group Level</a:t>
          </a:r>
        </a:p>
        <a:p>
          <a:pPr algn="l"/>
          <a:r>
            <a:rPr lang="en-US" sz="1200" b="0" baseline="0">
              <a:solidFill>
                <a:sysClr val="windowText" lastClr="000000"/>
              </a:solidFill>
            </a:rPr>
            <a:t>- Buat pivot dengan memanggil table name</a:t>
          </a:r>
        </a:p>
        <a:p>
          <a:pPr algn="l"/>
          <a:r>
            <a:rPr lang="en-US" sz="1200" b="0" baseline="0">
              <a:solidFill>
                <a:sysClr val="windowText" lastClr="000000"/>
              </a:solidFill>
            </a:rPr>
            <a:t>- Lihat table name di formulas -&gt; Name Manager</a:t>
          </a:r>
        </a:p>
        <a:p>
          <a:pPr algn="l"/>
          <a:r>
            <a:rPr lang="en-US" sz="1200" b="0" baseline="0">
              <a:solidFill>
                <a:sysClr val="windowText" lastClr="000000"/>
              </a:solidFill>
            </a:rPr>
            <a:t>- buat pivot Profit Sales Rep berdasarkan Region nya</a:t>
          </a:r>
        </a:p>
      </xdr:txBody>
    </xdr:sp>
    <xdr:clientData/>
  </xdr:twoCellAnchor>
  <xdr:twoCellAnchor>
    <xdr:from>
      <xdr:col>0</xdr:col>
      <xdr:colOff>551330</xdr:colOff>
      <xdr:row>14</xdr:row>
      <xdr:rowOff>152959</xdr:rowOff>
    </xdr:from>
    <xdr:to>
      <xdr:col>5</xdr:col>
      <xdr:colOff>250452</xdr:colOff>
      <xdr:row>21</xdr:row>
      <xdr:rowOff>172009</xdr:rowOff>
    </xdr:to>
    <xdr:sp macro="" textlink="">
      <xdr:nvSpPr>
        <xdr:cNvPr id="3" name="Rectangle 2">
          <a:extLst>
            <a:ext uri="{FF2B5EF4-FFF2-40B4-BE49-F238E27FC236}">
              <a16:creationId xmlns:a16="http://schemas.microsoft.com/office/drawing/2014/main" id="{C3BA5FFD-778D-4E11-8392-B5660B59E57C}"/>
            </a:ext>
          </a:extLst>
        </xdr:cNvPr>
        <xdr:cNvSpPr/>
      </xdr:nvSpPr>
      <xdr:spPr>
        <a:xfrm>
          <a:off x="551330" y="2988047"/>
          <a:ext cx="4383181" cy="1352550"/>
        </a:xfrm>
        <a:prstGeom prst="rect">
          <a:avLst/>
        </a:prstGeom>
        <a:solidFill>
          <a:schemeClr val="accent6">
            <a:lumMod val="20000"/>
            <a:lumOff val="8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200" b="1">
              <a:solidFill>
                <a:sysClr val="windowText" lastClr="000000"/>
              </a:solidFill>
            </a:rPr>
            <a:t>Merapikan pivot</a:t>
          </a:r>
          <a:r>
            <a:rPr lang="en-US" sz="1200" b="1" baseline="0">
              <a:solidFill>
                <a:sysClr val="windowText" lastClr="000000"/>
              </a:solidFill>
            </a:rPr>
            <a:t> table</a:t>
          </a:r>
          <a:endParaRPr lang="en-US" sz="1200" b="1">
            <a:solidFill>
              <a:sysClr val="windowText" lastClr="000000"/>
            </a:solidFill>
          </a:endParaRPr>
        </a:p>
        <a:p>
          <a:pPr algn="l"/>
          <a:r>
            <a:rPr lang="en-US" sz="1200" b="0" baseline="0">
              <a:solidFill>
                <a:sysClr val="windowText" lastClr="000000"/>
              </a:solidFill>
            </a:rPr>
            <a:t>- Klik kanan pada pivot</a:t>
          </a:r>
        </a:p>
        <a:p>
          <a:pPr algn="l"/>
          <a:r>
            <a:rPr lang="en-US" sz="1200" b="0" baseline="0">
              <a:solidFill>
                <a:sysClr val="windowText" lastClr="000000"/>
              </a:solidFill>
            </a:rPr>
            <a:t>- Klik PivotTable options</a:t>
          </a:r>
        </a:p>
      </xdr:txBody>
    </xdr:sp>
    <xdr:clientData/>
  </xdr:twoCellAnchor>
  <xdr:twoCellAnchor>
    <xdr:from>
      <xdr:col>12</xdr:col>
      <xdr:colOff>796178</xdr:colOff>
      <xdr:row>17</xdr:row>
      <xdr:rowOff>113180</xdr:rowOff>
    </xdr:from>
    <xdr:to>
      <xdr:col>17</xdr:col>
      <xdr:colOff>322169</xdr:colOff>
      <xdr:row>24</xdr:row>
      <xdr:rowOff>132230</xdr:rowOff>
    </xdr:to>
    <xdr:sp macro="" textlink="">
      <xdr:nvSpPr>
        <xdr:cNvPr id="4" name="Rectangle 3">
          <a:extLst>
            <a:ext uri="{FF2B5EF4-FFF2-40B4-BE49-F238E27FC236}">
              <a16:creationId xmlns:a16="http://schemas.microsoft.com/office/drawing/2014/main" id="{1CC7943D-393A-4862-9E53-2E46E91DBE21}"/>
            </a:ext>
          </a:extLst>
        </xdr:cNvPr>
        <xdr:cNvSpPr/>
      </xdr:nvSpPr>
      <xdr:spPr>
        <a:xfrm>
          <a:off x="12080502" y="3519768"/>
          <a:ext cx="2854138" cy="1352550"/>
        </a:xfrm>
        <a:prstGeom prst="rect">
          <a:avLst/>
        </a:prstGeom>
        <a:solidFill>
          <a:schemeClr val="accent6">
            <a:lumMod val="20000"/>
            <a:lumOff val="8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200" b="1">
              <a:solidFill>
                <a:sysClr val="windowText" lastClr="000000"/>
              </a:solidFill>
            </a:rPr>
            <a:t>Pivot Table Group Level - Manual</a:t>
          </a:r>
        </a:p>
        <a:p>
          <a:pPr algn="l"/>
          <a:r>
            <a:rPr lang="en-US" sz="1200" b="0" baseline="0">
              <a:solidFill>
                <a:sysClr val="windowText" lastClr="000000"/>
              </a:solidFill>
            </a:rPr>
            <a:t>Jawa, Sumatra : West</a:t>
          </a:r>
        </a:p>
        <a:p>
          <a:pPr algn="l"/>
          <a:r>
            <a:rPr lang="en-US" sz="1200" b="0" baseline="0">
              <a:solidFill>
                <a:sysClr val="windowText" lastClr="000000"/>
              </a:solidFill>
            </a:rPr>
            <a:t>Kalimanatan, Sulawesi : East</a:t>
          </a:r>
        </a:p>
      </xdr:txBody>
    </xdr:sp>
    <xdr:clientData/>
  </xdr:twoCellAnchor>
  <xdr:twoCellAnchor>
    <xdr:from>
      <xdr:col>24</xdr:col>
      <xdr:colOff>114300</xdr:colOff>
      <xdr:row>1</xdr:row>
      <xdr:rowOff>161925</xdr:rowOff>
    </xdr:from>
    <xdr:to>
      <xdr:col>28</xdr:col>
      <xdr:colOff>552450</xdr:colOff>
      <xdr:row>8</xdr:row>
      <xdr:rowOff>9525</xdr:rowOff>
    </xdr:to>
    <xdr:sp macro="" textlink="">
      <xdr:nvSpPr>
        <xdr:cNvPr id="5" name="Rectangle 4">
          <a:extLst>
            <a:ext uri="{FF2B5EF4-FFF2-40B4-BE49-F238E27FC236}">
              <a16:creationId xmlns:a16="http://schemas.microsoft.com/office/drawing/2014/main" id="{4695F7A0-623E-4572-9CD0-30E09B630099}"/>
            </a:ext>
          </a:extLst>
        </xdr:cNvPr>
        <xdr:cNvSpPr/>
      </xdr:nvSpPr>
      <xdr:spPr>
        <a:xfrm>
          <a:off x="17297400" y="352425"/>
          <a:ext cx="2876550" cy="1352550"/>
        </a:xfrm>
        <a:prstGeom prst="rect">
          <a:avLst/>
        </a:prstGeom>
        <a:solidFill>
          <a:schemeClr val="accent6">
            <a:lumMod val="20000"/>
            <a:lumOff val="8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200" b="1">
              <a:solidFill>
                <a:sysClr val="windowText" lastClr="000000"/>
              </a:solidFill>
            </a:rPr>
            <a:t>Pivot Table Group Level</a:t>
          </a:r>
        </a:p>
        <a:p>
          <a:pPr algn="l"/>
          <a:r>
            <a:rPr lang="en-US" sz="1200" b="0" baseline="0">
              <a:solidFill>
                <a:sysClr val="windowText" lastClr="000000"/>
              </a:solidFill>
            </a:rPr>
            <a:t>membuat group baru : "Membership, Regular"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372717</xdr:colOff>
      <xdr:row>2</xdr:row>
      <xdr:rowOff>157370</xdr:rowOff>
    </xdr:from>
    <xdr:to>
      <xdr:col>18</xdr:col>
      <xdr:colOff>184702</xdr:colOff>
      <xdr:row>9</xdr:row>
      <xdr:rowOff>176420</xdr:rowOff>
    </xdr:to>
    <xdr:sp macro="" textlink="">
      <xdr:nvSpPr>
        <xdr:cNvPr id="3" name="Rectangle 2">
          <a:extLst>
            <a:ext uri="{FF2B5EF4-FFF2-40B4-BE49-F238E27FC236}">
              <a16:creationId xmlns:a16="http://schemas.microsoft.com/office/drawing/2014/main" id="{0B8A8E0A-73C8-46CC-8283-6A28AF449859}"/>
            </a:ext>
          </a:extLst>
        </xdr:cNvPr>
        <xdr:cNvSpPr/>
      </xdr:nvSpPr>
      <xdr:spPr>
        <a:xfrm>
          <a:off x="11504543" y="712305"/>
          <a:ext cx="2876550" cy="1352550"/>
        </a:xfrm>
        <a:prstGeom prst="rect">
          <a:avLst/>
        </a:prstGeom>
        <a:solidFill>
          <a:schemeClr val="accent6">
            <a:lumMod val="20000"/>
            <a:lumOff val="8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200" b="1">
              <a:solidFill>
                <a:sysClr val="windowText" lastClr="000000"/>
              </a:solidFill>
            </a:rPr>
            <a:t>Calculated fields</a:t>
          </a:r>
        </a:p>
        <a:p>
          <a:pPr algn="l"/>
          <a:r>
            <a:rPr lang="en-US" sz="1200" b="0">
              <a:solidFill>
                <a:sysClr val="windowText" lastClr="000000"/>
              </a:solidFill>
            </a:rPr>
            <a:t>Pivot table analyze</a:t>
          </a:r>
          <a:r>
            <a:rPr lang="en-US" sz="1200" b="0" baseline="0">
              <a:solidFill>
                <a:sysClr val="windowText" lastClr="000000"/>
              </a:solidFill>
            </a:rPr>
            <a:t> -&gt; Fields, item &amp; set </a:t>
          </a:r>
          <a:endParaRPr lang="en-US" sz="1200" b="0">
            <a:solidFill>
              <a:sysClr val="windowText" lastClr="000000"/>
            </a:solidFill>
          </a:endParaRPr>
        </a:p>
      </xdr:txBody>
    </xdr:sp>
    <xdr:clientData/>
  </xdr:twoCellAnchor>
  <xdr:twoCellAnchor>
    <xdr:from>
      <xdr:col>7</xdr:col>
      <xdr:colOff>359464</xdr:colOff>
      <xdr:row>3</xdr:row>
      <xdr:rowOff>19879</xdr:rowOff>
    </xdr:from>
    <xdr:to>
      <xdr:col>11</xdr:col>
      <xdr:colOff>309887</xdr:colOff>
      <xdr:row>10</xdr:row>
      <xdr:rowOff>38929</xdr:rowOff>
    </xdr:to>
    <xdr:sp macro="" textlink="">
      <xdr:nvSpPr>
        <xdr:cNvPr id="5" name="Rectangle 4">
          <a:extLst>
            <a:ext uri="{FF2B5EF4-FFF2-40B4-BE49-F238E27FC236}">
              <a16:creationId xmlns:a16="http://schemas.microsoft.com/office/drawing/2014/main" id="{A05AE1CA-DC97-44E3-A19D-C67EF1960E70}"/>
            </a:ext>
          </a:extLst>
        </xdr:cNvPr>
        <xdr:cNvSpPr/>
      </xdr:nvSpPr>
      <xdr:spPr>
        <a:xfrm>
          <a:off x="7516821" y="768272"/>
          <a:ext cx="3488280" cy="1352550"/>
        </a:xfrm>
        <a:prstGeom prst="rect">
          <a:avLst/>
        </a:prstGeom>
        <a:solidFill>
          <a:schemeClr val="accent6">
            <a:lumMod val="20000"/>
            <a:lumOff val="8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200" b="1">
              <a:solidFill>
                <a:sysClr val="windowText" lastClr="000000"/>
              </a:solidFill>
            </a:rPr>
            <a:t>Show Value As</a:t>
          </a:r>
        </a:p>
        <a:p>
          <a:pPr algn="l"/>
          <a:r>
            <a:rPr lang="en-US" sz="1200" b="0">
              <a:solidFill>
                <a:sysClr val="windowText" lastClr="000000"/>
              </a:solidFill>
            </a:rPr>
            <a:t>PivotTable Fields</a:t>
          </a:r>
          <a:r>
            <a:rPr lang="en-US" sz="1200" b="0" baseline="0">
              <a:solidFill>
                <a:sysClr val="windowText" lastClr="000000"/>
              </a:solidFill>
            </a:rPr>
            <a:t> -&gt; Value Field Setting</a:t>
          </a:r>
          <a:endParaRPr lang="en-US" sz="1200" b="0">
            <a:solidFill>
              <a:sysClr val="windowText" lastClr="000000"/>
            </a:solidFill>
          </a:endParaRPr>
        </a:p>
      </xdr:txBody>
    </xdr:sp>
    <xdr:clientData/>
  </xdr:twoCellAnchor>
  <xdr:twoCellAnchor editAs="oneCell">
    <xdr:from>
      <xdr:col>15</xdr:col>
      <xdr:colOff>267902</xdr:colOff>
      <xdr:row>8</xdr:row>
      <xdr:rowOff>89828</xdr:rowOff>
    </xdr:from>
    <xdr:to>
      <xdr:col>20</xdr:col>
      <xdr:colOff>299569</xdr:colOff>
      <xdr:row>44</xdr:row>
      <xdr:rowOff>90785</xdr:rowOff>
    </xdr:to>
    <xdr:pic>
      <xdr:nvPicPr>
        <xdr:cNvPr id="6" name="Picture 5">
          <a:extLst>
            <a:ext uri="{FF2B5EF4-FFF2-40B4-BE49-F238E27FC236}">
              <a16:creationId xmlns:a16="http://schemas.microsoft.com/office/drawing/2014/main" id="{8F5231F3-D55E-4AD8-97FA-85F71D36A031}"/>
            </a:ext>
          </a:extLst>
        </xdr:cNvPr>
        <xdr:cNvPicPr>
          <a:picLocks noChangeAspect="1"/>
        </xdr:cNvPicPr>
      </xdr:nvPicPr>
      <xdr:blipFill>
        <a:blip xmlns:r="http://schemas.openxmlformats.org/officeDocument/2006/relationships" r:embed="rId1"/>
        <a:stretch>
          <a:fillRect/>
        </a:stretch>
      </xdr:blipFill>
      <xdr:spPr>
        <a:xfrm>
          <a:off x="13513255" y="1781916"/>
          <a:ext cx="3057255" cy="6858957"/>
        </a:xfrm>
        <a:prstGeom prst="rect">
          <a:avLst/>
        </a:prstGeom>
      </xdr:spPr>
    </xdr:pic>
    <xdr:clientData/>
  </xdr:twoCellAnchor>
  <xdr:twoCellAnchor>
    <xdr:from>
      <xdr:col>3</xdr:col>
      <xdr:colOff>557900</xdr:colOff>
      <xdr:row>15</xdr:row>
      <xdr:rowOff>8324</xdr:rowOff>
    </xdr:from>
    <xdr:to>
      <xdr:col>8</xdr:col>
      <xdr:colOff>684367</xdr:colOff>
      <xdr:row>29</xdr:row>
      <xdr:rowOff>84524</xdr:rowOff>
    </xdr:to>
    <xdr:graphicFrame macro="">
      <xdr:nvGraphicFramePr>
        <xdr:cNvPr id="2" name="Chart 1">
          <a:extLst>
            <a:ext uri="{FF2B5EF4-FFF2-40B4-BE49-F238E27FC236}">
              <a16:creationId xmlns:a16="http://schemas.microsoft.com/office/drawing/2014/main" id="{9EDE7E28-7F07-4190-A7CB-D9BBD7F81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77320</xdr:colOff>
      <xdr:row>15</xdr:row>
      <xdr:rowOff>121023</xdr:rowOff>
    </xdr:from>
    <xdr:to>
      <xdr:col>11</xdr:col>
      <xdr:colOff>191620</xdr:colOff>
      <xdr:row>23</xdr:row>
      <xdr:rowOff>56030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1C2D3C6-78C8-43D4-968A-5AC27FEE16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33496" y="3146611"/>
              <a:ext cx="1828800" cy="14590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543485</xdr:colOff>
      <xdr:row>31</xdr:row>
      <xdr:rowOff>85164</xdr:rowOff>
    </xdr:from>
    <xdr:to>
      <xdr:col>8</xdr:col>
      <xdr:colOff>666749</xdr:colOff>
      <xdr:row>45</xdr:row>
      <xdr:rowOff>161364</xdr:rowOff>
    </xdr:to>
    <xdr:graphicFrame macro="">
      <xdr:nvGraphicFramePr>
        <xdr:cNvPr id="7" name="Chart 6">
          <a:extLst>
            <a:ext uri="{FF2B5EF4-FFF2-40B4-BE49-F238E27FC236}">
              <a16:creationId xmlns:a16="http://schemas.microsoft.com/office/drawing/2014/main" id="{D6334A30-0E35-44FA-8680-6BAB4CF2A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972110</xdr:colOff>
      <xdr:row>23</xdr:row>
      <xdr:rowOff>178173</xdr:rowOff>
    </xdr:from>
    <xdr:to>
      <xdr:col>12</xdr:col>
      <xdr:colOff>619125</xdr:colOff>
      <xdr:row>31</xdr:row>
      <xdr:rowOff>25773</xdr:rowOff>
    </xdr:to>
    <mc:AlternateContent xmlns:mc="http://schemas.openxmlformats.org/markup-compatibility/2006" xmlns:tsle="http://schemas.microsoft.com/office/drawing/2012/timeslicer">
      <mc:Choice Requires="tsle">
        <xdr:graphicFrame macro="">
          <xdr:nvGraphicFramePr>
            <xdr:cNvPr id="9" name="Tanggal">
              <a:extLst>
                <a:ext uri="{FF2B5EF4-FFF2-40B4-BE49-F238E27FC236}">
                  <a16:creationId xmlns:a16="http://schemas.microsoft.com/office/drawing/2014/main" id="{2AA72433-70F5-46E2-8304-B740419BA518}"/>
                </a:ext>
              </a:extLst>
            </xdr:cNvPr>
            <xdr:cNvGraphicFramePr/>
          </xdr:nvGraphicFramePr>
          <xdr:xfrm>
            <a:off x="0" y="0"/>
            <a:ext cx="0" cy="0"/>
          </xdr:xfrm>
          <a:graphic>
            <a:graphicData uri="http://schemas.microsoft.com/office/drawing/2012/timeslicer">
              <tsle:timeslicer name="Tanggal"/>
            </a:graphicData>
          </a:graphic>
        </xdr:graphicFrame>
      </mc:Choice>
      <mc:Fallback xmlns="">
        <xdr:sp macro="" textlink="">
          <xdr:nvSpPr>
            <xdr:cNvPr id="0" name=""/>
            <xdr:cNvSpPr>
              <a:spLocks noTextEdit="1"/>
            </xdr:cNvSpPr>
          </xdr:nvSpPr>
          <xdr:spPr>
            <a:xfrm>
              <a:off x="7942169" y="4727761"/>
              <a:ext cx="3333750" cy="13716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314330</xdr:colOff>
      <xdr:row>1</xdr:row>
      <xdr:rowOff>80962</xdr:rowOff>
    </xdr:from>
    <xdr:to>
      <xdr:col>14</xdr:col>
      <xdr:colOff>238125</xdr:colOff>
      <xdr:row>15</xdr:row>
      <xdr:rowOff>157162</xdr:rowOff>
    </xdr:to>
    <xdr:graphicFrame macro="">
      <xdr:nvGraphicFramePr>
        <xdr:cNvPr id="2" name="Chart 1">
          <a:extLst>
            <a:ext uri="{FF2B5EF4-FFF2-40B4-BE49-F238E27FC236}">
              <a16:creationId xmlns:a16="http://schemas.microsoft.com/office/drawing/2014/main" id="{82DED440-E417-46DB-99C0-26E786C64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323850</xdr:colOff>
      <xdr:row>16</xdr:row>
      <xdr:rowOff>133350</xdr:rowOff>
    </xdr:from>
    <xdr:to>
      <xdr:col>10</xdr:col>
      <xdr:colOff>19050</xdr:colOff>
      <xdr:row>31</xdr:row>
      <xdr:rowOff>19050</xdr:rowOff>
    </xdr:to>
    <xdr:graphicFrame macro="">
      <xdr:nvGraphicFramePr>
        <xdr:cNvPr id="4" name="Chart 3">
          <a:extLst>
            <a:ext uri="{FF2B5EF4-FFF2-40B4-BE49-F238E27FC236}">
              <a16:creationId xmlns:a16="http://schemas.microsoft.com/office/drawing/2014/main" id="{182EE25D-5A7D-44F6-9542-92D817F84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328612</xdr:colOff>
      <xdr:row>33</xdr:row>
      <xdr:rowOff>166687</xdr:rowOff>
    </xdr:from>
    <xdr:to>
      <xdr:col>13</xdr:col>
      <xdr:colOff>371476</xdr:colOff>
      <xdr:row>48</xdr:row>
      <xdr:rowOff>52387</xdr:rowOff>
    </xdr:to>
    <xdr:graphicFrame macro="">
      <xdr:nvGraphicFramePr>
        <xdr:cNvPr id="5" name="Chart 4">
          <a:extLst>
            <a:ext uri="{FF2B5EF4-FFF2-40B4-BE49-F238E27FC236}">
              <a16:creationId xmlns:a16="http://schemas.microsoft.com/office/drawing/2014/main" id="{855BB5E6-0942-4500-8786-309496D12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xdr:colOff>
      <xdr:row>55</xdr:row>
      <xdr:rowOff>4762</xdr:rowOff>
    </xdr:from>
    <xdr:to>
      <xdr:col>20</xdr:col>
      <xdr:colOff>54428</xdr:colOff>
      <xdr:row>69</xdr:row>
      <xdr:rowOff>80962</xdr:rowOff>
    </xdr:to>
    <xdr:graphicFrame macro="">
      <xdr:nvGraphicFramePr>
        <xdr:cNvPr id="6" name="Chart 5">
          <a:extLst>
            <a:ext uri="{FF2B5EF4-FFF2-40B4-BE49-F238E27FC236}">
              <a16:creationId xmlns:a16="http://schemas.microsoft.com/office/drawing/2014/main" id="{D0926714-ED07-4477-B6C5-A3A3BDB26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102732</xdr:colOff>
      <xdr:row>5</xdr:row>
      <xdr:rowOff>83683</xdr:rowOff>
    </xdr:from>
    <xdr:to>
      <xdr:col>18</xdr:col>
      <xdr:colOff>94568</xdr:colOff>
      <xdr:row>21</xdr:row>
      <xdr:rowOff>78241</xdr:rowOff>
    </xdr:to>
    <mc:AlternateContent xmlns:mc="http://schemas.openxmlformats.org/markup-compatibility/2006">
      <mc:Choice xmlns:a14="http://schemas.microsoft.com/office/drawing/2010/main" Requires="a14">
        <xdr:graphicFrame macro="">
          <xdr:nvGraphicFramePr>
            <xdr:cNvPr id="7" name="Customer">
              <a:extLst>
                <a:ext uri="{FF2B5EF4-FFF2-40B4-BE49-F238E27FC236}">
                  <a16:creationId xmlns:a16="http://schemas.microsoft.com/office/drawing/2014/main" id="{6EE3056D-9B9D-4FF7-9D20-2693DCA041BE}"/>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10321696" y="1036183"/>
              <a:ext cx="1828801" cy="304255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500063</xdr:colOff>
      <xdr:row>23</xdr:row>
      <xdr:rowOff>23813</xdr:rowOff>
    </xdr:from>
    <xdr:to>
      <xdr:col>18</xdr:col>
      <xdr:colOff>119063</xdr:colOff>
      <xdr:row>30</xdr:row>
      <xdr:rowOff>61913</xdr:rowOff>
    </xdr:to>
    <mc:AlternateContent xmlns:mc="http://schemas.openxmlformats.org/markup-compatibility/2006">
      <mc:Choice xmlns:tsle="http://schemas.microsoft.com/office/drawing/2012/timeslicer" Requires="tsle">
        <xdr:graphicFrame macro="">
          <xdr:nvGraphicFramePr>
            <xdr:cNvPr id="8" name="Tanggal 1">
              <a:extLst>
                <a:ext uri="{FF2B5EF4-FFF2-40B4-BE49-F238E27FC236}">
                  <a16:creationId xmlns:a16="http://schemas.microsoft.com/office/drawing/2014/main" id="{FA5CE811-4797-4314-B7A9-7E733077B727}"/>
                </a:ext>
              </a:extLst>
            </xdr:cNvPr>
            <xdr:cNvGraphicFramePr/>
          </xdr:nvGraphicFramePr>
          <xdr:xfrm>
            <a:off x="0" y="0"/>
            <a:ext cx="0" cy="0"/>
          </xdr:xfrm>
          <a:graphic>
            <a:graphicData uri="http://schemas.microsoft.com/office/drawing/2012/timeslicer">
              <tsle:timeslicer xmlns:tsle="http://schemas.microsoft.com/office/drawing/2012/timeslicer" name="Tanggal 1"/>
            </a:graphicData>
          </a:graphic>
        </xdr:graphicFrame>
      </mc:Choice>
      <mc:Fallback>
        <xdr:sp macro="" textlink="">
          <xdr:nvSpPr>
            <xdr:cNvPr id="0" name=""/>
            <xdr:cNvSpPr>
              <a:spLocks noTextEdit="1"/>
            </xdr:cNvSpPr>
          </xdr:nvSpPr>
          <xdr:spPr>
            <a:xfrm>
              <a:off x="8882063" y="4405313"/>
              <a:ext cx="3292929" cy="13716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11</xdr:col>
      <xdr:colOff>419100</xdr:colOff>
      <xdr:row>10</xdr:row>
      <xdr:rowOff>114300</xdr:rowOff>
    </xdr:from>
    <xdr:to>
      <xdr:col>14</xdr:col>
      <xdr:colOff>410936</xdr:colOff>
      <xdr:row>15</xdr:row>
      <xdr:rowOff>13607</xdr:rowOff>
    </xdr:to>
    <mc:AlternateContent xmlns:mc="http://schemas.openxmlformats.org/markup-compatibility/2006">
      <mc:Choice xmlns:a14="http://schemas.microsoft.com/office/drawing/2010/main" Requires="a14">
        <xdr:graphicFrame macro="">
          <xdr:nvGraphicFramePr>
            <xdr:cNvPr id="11" name="Years (Tanggal)">
              <a:extLst>
                <a:ext uri="{FF2B5EF4-FFF2-40B4-BE49-F238E27FC236}">
                  <a16:creationId xmlns:a16="http://schemas.microsoft.com/office/drawing/2014/main" id="{B8222F5D-7806-4895-B485-4BECDE0FFA2D}"/>
                </a:ext>
              </a:extLst>
            </xdr:cNvPr>
            <xdr:cNvGraphicFramePr/>
          </xdr:nvGraphicFramePr>
          <xdr:xfrm>
            <a:off x="0" y="0"/>
            <a:ext cx="0" cy="0"/>
          </xdr:xfrm>
          <a:graphic>
            <a:graphicData uri="http://schemas.microsoft.com/office/drawing/2010/slicer">
              <sle:slicer xmlns:sle="http://schemas.microsoft.com/office/drawing/2010/slicer" name="Years (Tanggal)"/>
            </a:graphicData>
          </a:graphic>
        </xdr:graphicFrame>
      </mc:Choice>
      <mc:Fallback>
        <xdr:sp macro="" textlink="">
          <xdr:nvSpPr>
            <xdr:cNvPr id="0" name=""/>
            <xdr:cNvSpPr>
              <a:spLocks noTextEdit="1"/>
            </xdr:cNvSpPr>
          </xdr:nvSpPr>
          <xdr:spPr>
            <a:xfrm>
              <a:off x="8188779" y="2019300"/>
              <a:ext cx="1828800" cy="8518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27215</xdr:colOff>
      <xdr:row>5</xdr:row>
      <xdr:rowOff>0</xdr:rowOff>
    </xdr:from>
    <xdr:to>
      <xdr:col>36</xdr:col>
      <xdr:colOff>108858</xdr:colOff>
      <xdr:row>36</xdr:row>
      <xdr:rowOff>149679</xdr:rowOff>
    </xdr:to>
    <xdr:sp macro="" textlink="">
      <xdr:nvSpPr>
        <xdr:cNvPr id="11" name="Rectangle 10">
          <a:extLst>
            <a:ext uri="{FF2B5EF4-FFF2-40B4-BE49-F238E27FC236}">
              <a16:creationId xmlns:a16="http://schemas.microsoft.com/office/drawing/2014/main" id="{344145EC-12AE-43DD-BE17-EDF295A274E0}"/>
            </a:ext>
          </a:extLst>
        </xdr:cNvPr>
        <xdr:cNvSpPr/>
      </xdr:nvSpPr>
      <xdr:spPr>
        <a:xfrm>
          <a:off x="2476501" y="1347107"/>
          <a:ext cx="19675928" cy="6055179"/>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2"/>
            </a:solidFill>
          </a:endParaRPr>
        </a:p>
      </xdr:txBody>
    </xdr:sp>
    <xdr:clientData/>
  </xdr:twoCellAnchor>
  <xdr:twoCellAnchor>
    <xdr:from>
      <xdr:col>24</xdr:col>
      <xdr:colOff>526967</xdr:colOff>
      <xdr:row>20</xdr:row>
      <xdr:rowOff>165085</xdr:rowOff>
    </xdr:from>
    <xdr:to>
      <xdr:col>35</xdr:col>
      <xdr:colOff>531680</xdr:colOff>
      <xdr:row>35</xdr:row>
      <xdr:rowOff>50785</xdr:rowOff>
    </xdr:to>
    <xdr:graphicFrame macro="">
      <xdr:nvGraphicFramePr>
        <xdr:cNvPr id="2" name="Chart 1">
          <a:extLst>
            <a:ext uri="{FF2B5EF4-FFF2-40B4-BE49-F238E27FC236}">
              <a16:creationId xmlns:a16="http://schemas.microsoft.com/office/drawing/2014/main" id="{24D26D58-1865-48FA-8A02-5316C15A6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278860</xdr:colOff>
      <xdr:row>20</xdr:row>
      <xdr:rowOff>113419</xdr:rowOff>
    </xdr:from>
    <xdr:to>
      <xdr:col>13</xdr:col>
      <xdr:colOff>105145</xdr:colOff>
      <xdr:row>34</xdr:row>
      <xdr:rowOff>189619</xdr:rowOff>
    </xdr:to>
    <xdr:graphicFrame macro="">
      <xdr:nvGraphicFramePr>
        <xdr:cNvPr id="3" name="Chart 2">
          <a:extLst>
            <a:ext uri="{FF2B5EF4-FFF2-40B4-BE49-F238E27FC236}">
              <a16:creationId xmlns:a16="http://schemas.microsoft.com/office/drawing/2014/main" id="{30CC710B-0056-4374-9A5A-07025F977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301829</xdr:colOff>
      <xdr:row>20</xdr:row>
      <xdr:rowOff>166566</xdr:rowOff>
    </xdr:from>
    <xdr:to>
      <xdr:col>24</xdr:col>
      <xdr:colOff>423056</xdr:colOff>
      <xdr:row>35</xdr:row>
      <xdr:rowOff>52266</xdr:rowOff>
    </xdr:to>
    <xdr:graphicFrame macro="">
      <xdr:nvGraphicFramePr>
        <xdr:cNvPr id="4" name="Chart 3">
          <a:extLst>
            <a:ext uri="{FF2B5EF4-FFF2-40B4-BE49-F238E27FC236}">
              <a16:creationId xmlns:a16="http://schemas.microsoft.com/office/drawing/2014/main" id="{3686C379-B0A9-4D9A-99A9-DC4AD775E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299355</xdr:colOff>
      <xdr:row>5</xdr:row>
      <xdr:rowOff>108857</xdr:rowOff>
    </xdr:from>
    <xdr:to>
      <xdr:col>35</xdr:col>
      <xdr:colOff>517071</xdr:colOff>
      <xdr:row>19</xdr:row>
      <xdr:rowOff>185057</xdr:rowOff>
    </xdr:to>
    <xdr:graphicFrame macro="">
      <xdr:nvGraphicFramePr>
        <xdr:cNvPr id="6" name="Chart 5">
          <a:extLst>
            <a:ext uri="{FF2B5EF4-FFF2-40B4-BE49-F238E27FC236}">
              <a16:creationId xmlns:a16="http://schemas.microsoft.com/office/drawing/2014/main" id="{078962C0-2790-4B54-961E-B62D81B82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398316</xdr:colOff>
      <xdr:row>13</xdr:row>
      <xdr:rowOff>17318</xdr:rowOff>
    </xdr:from>
    <xdr:to>
      <xdr:col>3</xdr:col>
      <xdr:colOff>429118</xdr:colOff>
      <xdr:row>29</xdr:row>
      <xdr:rowOff>11876</xdr:rowOff>
    </xdr:to>
    <mc:AlternateContent xmlns:mc="http://schemas.openxmlformats.org/markup-compatibility/2006">
      <mc:Choice xmlns:a14="http://schemas.microsoft.com/office/drawing/2010/main" Requires="a14">
        <xdr:graphicFrame macro="">
          <xdr:nvGraphicFramePr>
            <xdr:cNvPr id="7" name="Customer 1">
              <a:extLst>
                <a:ext uri="{FF2B5EF4-FFF2-40B4-BE49-F238E27FC236}">
                  <a16:creationId xmlns:a16="http://schemas.microsoft.com/office/drawing/2014/main" id="{419E6620-0284-42E3-9A82-776944719236}"/>
                </a:ext>
              </a:extLst>
            </xdr:cNvPr>
            <xdr:cNvGraphicFramePr/>
          </xdr:nvGraphicFramePr>
          <xdr:xfrm>
            <a:off x="0" y="0"/>
            <a:ext cx="0" cy="0"/>
          </xdr:xfrm>
          <a:graphic>
            <a:graphicData uri="http://schemas.microsoft.com/office/drawing/2010/slicer">
              <sle:slicer xmlns:sle="http://schemas.microsoft.com/office/drawing/2010/slicer" name="Customer 1"/>
            </a:graphicData>
          </a:graphic>
        </xdr:graphicFrame>
      </mc:Choice>
      <mc:Fallback>
        <xdr:sp macro="" textlink="">
          <xdr:nvSpPr>
            <xdr:cNvPr id="0" name=""/>
            <xdr:cNvSpPr>
              <a:spLocks noTextEdit="1"/>
            </xdr:cNvSpPr>
          </xdr:nvSpPr>
          <xdr:spPr>
            <a:xfrm>
              <a:off x="398316" y="2888425"/>
              <a:ext cx="1867766" cy="304255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398318</xdr:colOff>
      <xdr:row>7</xdr:row>
      <xdr:rowOff>173182</xdr:rowOff>
    </xdr:from>
    <xdr:to>
      <xdr:col>3</xdr:col>
      <xdr:colOff>408709</xdr:colOff>
      <xdr:row>12</xdr:row>
      <xdr:rowOff>72489</xdr:rowOff>
    </xdr:to>
    <mc:AlternateContent xmlns:mc="http://schemas.openxmlformats.org/markup-compatibility/2006">
      <mc:Choice xmlns:a14="http://schemas.microsoft.com/office/drawing/2010/main" Requires="a14">
        <xdr:graphicFrame macro="">
          <xdr:nvGraphicFramePr>
            <xdr:cNvPr id="8" name="Years (Tanggal) 1">
              <a:extLst>
                <a:ext uri="{FF2B5EF4-FFF2-40B4-BE49-F238E27FC236}">
                  <a16:creationId xmlns:a16="http://schemas.microsoft.com/office/drawing/2014/main" id="{97381CCE-5315-433F-8D12-B9AFB0103568}"/>
                </a:ext>
              </a:extLst>
            </xdr:cNvPr>
            <xdr:cNvGraphicFramePr/>
          </xdr:nvGraphicFramePr>
          <xdr:xfrm>
            <a:off x="0" y="0"/>
            <a:ext cx="0" cy="0"/>
          </xdr:xfrm>
          <a:graphic>
            <a:graphicData uri="http://schemas.microsoft.com/office/drawing/2010/slicer">
              <sle:slicer xmlns:sle="http://schemas.microsoft.com/office/drawing/2010/slicer" name="Years (Tanggal) 1"/>
            </a:graphicData>
          </a:graphic>
        </xdr:graphicFrame>
      </mc:Choice>
      <mc:Fallback>
        <xdr:sp macro="" textlink="">
          <xdr:nvSpPr>
            <xdr:cNvPr id="0" name=""/>
            <xdr:cNvSpPr>
              <a:spLocks noTextEdit="1"/>
            </xdr:cNvSpPr>
          </xdr:nvSpPr>
          <xdr:spPr>
            <a:xfrm>
              <a:off x="398318" y="1901289"/>
              <a:ext cx="1847355" cy="8518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380999</xdr:colOff>
      <xdr:row>29</xdr:row>
      <xdr:rowOff>138546</xdr:rowOff>
    </xdr:from>
    <xdr:to>
      <xdr:col>3</xdr:col>
      <xdr:colOff>391390</xdr:colOff>
      <xdr:row>38</xdr:row>
      <xdr:rowOff>160317</xdr:rowOff>
    </xdr:to>
    <mc:AlternateContent xmlns:mc="http://schemas.openxmlformats.org/markup-compatibility/2006">
      <mc:Choice xmlns:a14="http://schemas.microsoft.com/office/drawing/2010/main" Requires="a14">
        <xdr:graphicFrame macro="">
          <xdr:nvGraphicFramePr>
            <xdr:cNvPr id="10" name="Produk">
              <a:extLst>
                <a:ext uri="{FF2B5EF4-FFF2-40B4-BE49-F238E27FC236}">
                  <a16:creationId xmlns:a16="http://schemas.microsoft.com/office/drawing/2014/main" id="{6AF595AF-AD9B-4CCE-AB38-44FE2D92C7A8}"/>
                </a:ext>
              </a:extLst>
            </xdr:cNvPr>
            <xdr:cNvGraphicFramePr/>
          </xdr:nvGraphicFramePr>
          <xdr:xfrm>
            <a:off x="0" y="0"/>
            <a:ext cx="0" cy="0"/>
          </xdr:xfrm>
          <a:graphic>
            <a:graphicData uri="http://schemas.microsoft.com/office/drawing/2010/slicer">
              <sle:slicer xmlns:sle="http://schemas.microsoft.com/office/drawing/2010/slicer" name="Produk"/>
            </a:graphicData>
          </a:graphic>
        </xdr:graphicFrame>
      </mc:Choice>
      <mc:Fallback>
        <xdr:sp macro="" textlink="">
          <xdr:nvSpPr>
            <xdr:cNvPr id="0" name=""/>
            <xdr:cNvSpPr>
              <a:spLocks noTextEdit="1"/>
            </xdr:cNvSpPr>
          </xdr:nvSpPr>
          <xdr:spPr>
            <a:xfrm>
              <a:off x="380999" y="6057653"/>
              <a:ext cx="1847355" cy="173627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ka Susilo" refreshedDate="45914.659013425924" createdVersion="8" refreshedVersion="8" minRefreshableVersion="3" recordCount="143" xr:uid="{B707D577-5C7D-4CB2-AF32-B10D004996A5}">
  <cacheSource type="worksheet">
    <worksheetSource name="tPenjualan"/>
  </cacheSource>
  <cacheFields count="14">
    <cacheField name="Tanggal" numFmtId="164">
      <sharedItems containsSemiMixedTypes="0" containsNonDate="0" containsDate="1" containsString="0" minDate="2021-01-01T00:00:00" maxDate="2022-03-28T00:00:00" count="129">
        <d v="2021-01-01T00:00:00"/>
        <d v="2021-01-02T00:00:00"/>
        <d v="2021-01-05T00:00:00"/>
        <d v="2021-01-06T00:00:00"/>
        <d v="2021-01-07T00:00:00"/>
        <d v="2021-01-08T00:00:00"/>
        <d v="2021-01-12T00:00:00"/>
        <d v="2021-01-18T00:00:00"/>
        <d v="2021-01-22T00:00:00"/>
        <d v="2021-01-23T00:00:00"/>
        <d v="2021-01-26T00:00:00"/>
        <d v="2021-01-27T00:00:00"/>
        <d v="2021-02-06T00:00:00"/>
        <d v="2021-02-11T00:00:00"/>
        <d v="2021-02-12T00:00:00"/>
        <d v="2021-02-16T00:00:00"/>
        <d v="2021-02-25T00:00:00"/>
        <d v="2021-02-26T00:00:00"/>
        <d v="2021-03-06T00:00:00"/>
        <d v="2021-03-07T00:00:00"/>
        <d v="2021-03-14T00:00:00"/>
        <d v="2021-03-26T00:00:00"/>
        <d v="2021-04-03T00:00:00"/>
        <d v="2021-04-06T00:00:00"/>
        <d v="2021-04-10T00:00:00"/>
        <d v="2021-04-11T00:00:00"/>
        <d v="2021-04-13T00:00:00"/>
        <d v="2021-04-23T00:00:00"/>
        <d v="2021-04-25T00:00:00"/>
        <d v="2021-05-02T00:00:00"/>
        <d v="2021-05-04T00:00:00"/>
        <d v="2021-05-05T00:00:00"/>
        <d v="2021-05-06T00:00:00"/>
        <d v="2021-05-12T00:00:00"/>
        <d v="2021-05-16T00:00:00"/>
        <d v="2021-05-18T00:00:00"/>
        <d v="2021-05-19T00:00:00"/>
        <d v="2021-05-23T00:00:00"/>
        <d v="2021-05-25T00:00:00"/>
        <d v="2021-05-27T00:00:00"/>
        <d v="2021-05-28T00:00:00"/>
        <d v="2021-06-02T00:00:00"/>
        <d v="2021-06-05T00:00:00"/>
        <d v="2021-06-09T00:00:00"/>
        <d v="2021-06-10T00:00:00"/>
        <d v="2021-06-12T00:00:00"/>
        <d v="2021-06-15T00:00:00"/>
        <d v="2021-06-21T00:00:00"/>
        <d v="2021-06-22T00:00:00"/>
        <d v="2021-06-25T00:00:00"/>
        <d v="2021-06-29T00:00:00"/>
        <d v="2021-06-30T00:00:00"/>
        <d v="2021-07-01T00:00:00"/>
        <d v="2021-07-03T00:00:00"/>
        <d v="2021-07-06T00:00:00"/>
        <d v="2021-07-09T00:00:00"/>
        <d v="2021-07-14T00:00:00"/>
        <d v="2021-07-18T00:00:00"/>
        <d v="2021-07-20T00:00:00"/>
        <d v="2021-08-03T00:00:00"/>
        <d v="2021-08-11T00:00:00"/>
        <d v="2021-08-15T00:00:00"/>
        <d v="2021-08-16T00:00:00"/>
        <d v="2021-08-21T00:00:00"/>
        <d v="2021-08-25T00:00:00"/>
        <d v="2021-08-26T00:00:00"/>
        <d v="2021-08-30T00:00:00"/>
        <d v="2021-09-01T00:00:00"/>
        <d v="2021-09-07T00:00:00"/>
        <d v="2021-09-12T00:00:00"/>
        <d v="2021-09-16T00:00:00"/>
        <d v="2021-09-24T00:00:00"/>
        <d v="2021-09-27T00:00:00"/>
        <d v="2021-09-30T00:00:00"/>
        <d v="2021-10-01T00:00:00"/>
        <d v="2021-10-03T00:00:00"/>
        <d v="2021-10-04T00:00:00"/>
        <d v="2021-10-06T00:00:00"/>
        <d v="2021-10-07T00:00:00"/>
        <d v="2021-10-09T00:00:00"/>
        <d v="2021-10-16T00:00:00"/>
        <d v="2021-10-17T00:00:00"/>
        <d v="2021-10-21T00:00:00"/>
        <d v="2021-10-29T00:00:00"/>
        <d v="2021-10-30T00:00:00"/>
        <d v="2021-11-03T00:00:00"/>
        <d v="2021-11-07T00:00:00"/>
        <d v="2021-11-15T00:00:00"/>
        <d v="2021-11-19T00:00:00"/>
        <d v="2021-11-22T00:00:00"/>
        <d v="2021-11-25T00:00:00"/>
        <d v="2021-11-26T00:00:00"/>
        <d v="2021-11-29T00:00:00"/>
        <d v="2021-12-03T00:00:00"/>
        <d v="2021-12-08T00:00:00"/>
        <d v="2021-12-21T00:00:00"/>
        <d v="2021-12-23T00:00:00"/>
        <d v="2022-01-19T00:00:00"/>
        <d v="2022-03-09T00:00:00"/>
        <d v="2022-02-04T00:00:00"/>
        <d v="2022-02-20T00:00:00"/>
        <d v="2022-03-19T00:00:00"/>
        <d v="2022-03-12T00:00:00"/>
        <d v="2022-02-08T00:00:00"/>
        <d v="2022-02-27T00:00:00"/>
        <d v="2022-03-23T00:00:00"/>
        <d v="2022-02-16T00:00:00"/>
        <d v="2022-03-25T00:00:00"/>
        <d v="2022-01-16T00:00:00"/>
        <d v="2022-01-31T00:00:00"/>
        <d v="2022-03-26T00:00:00"/>
        <d v="2022-01-25T00:00:00"/>
        <d v="2022-03-11T00:00:00"/>
        <d v="2022-02-23T00:00:00"/>
        <d v="2022-01-03T00:00:00"/>
        <d v="2022-01-17T00:00:00"/>
        <d v="2022-01-14T00:00:00"/>
        <d v="2022-01-08T00:00:00"/>
        <d v="2022-03-06T00:00:00"/>
        <d v="2022-03-16T00:00:00"/>
        <d v="2022-03-27T00:00:00"/>
        <d v="2022-01-26T00:00:00"/>
        <d v="2022-02-05T00:00:00"/>
        <d v="2022-01-02T00:00:00"/>
        <d v="2022-02-11T00:00:00"/>
        <d v="2022-03-10T00:00:00"/>
        <d v="2022-03-18T00:00:00"/>
        <d v="2022-01-07T00:00:00"/>
        <d v="2022-01-21T00:00:00"/>
      </sharedItems>
      <fieldGroup par="11"/>
    </cacheField>
    <cacheField name="Produk" numFmtId="0">
      <sharedItems count="5">
        <s v="Gaun"/>
        <s v="Jas"/>
        <s v="Kemeja"/>
        <s v="Mantel"/>
        <s v="Rok"/>
      </sharedItems>
    </cacheField>
    <cacheField name="Region" numFmtId="0">
      <sharedItems count="4">
        <s v="Sulawesi"/>
        <s v="Kalimantan"/>
        <s v="Jawa"/>
        <s v="Sumatra"/>
      </sharedItems>
      <fieldGroup par="13"/>
    </cacheField>
    <cacheField name="SalesRep" numFmtId="0">
      <sharedItems count="6">
        <s v="Indra Agustina"/>
        <s v="Kusuma Dina"/>
        <s v="Andi Ade"/>
        <s v="Ika Indah"/>
        <s v="Ratna Fitria"/>
        <s v="Ahmad Surya"/>
      </sharedItems>
    </cacheField>
    <cacheField name="Customer" numFmtId="0">
      <sharedItems count="31">
        <s v="PCC"/>
        <s v="WSD"/>
        <s v="FM"/>
        <s v="HHH"/>
        <s v="PSA"/>
        <s v="TRU"/>
        <s v="ITW"/>
        <s v="KBTB"/>
        <s v="AST"/>
        <s v="AA"/>
        <s v="SFWK"/>
        <s v="QT"/>
        <s v="MNGD"/>
        <s v="JAQ"/>
        <s v="ZAT"/>
        <s v="WT"/>
        <s v="ET"/>
        <s v="YTR"/>
        <s v="BBT"/>
        <s v="PLOT"/>
        <s v="EPP"/>
        <s v="T"/>
        <s v="TTT"/>
        <s v="HII"/>
        <s v="MBG"/>
        <s v="KPSA"/>
        <s v="DFR"/>
        <s v="DFGH"/>
        <s v="FRED"/>
        <s v="ITTW"/>
        <s v="LOP"/>
      </sharedItems>
    </cacheField>
    <cacheField name="Units" numFmtId="0">
      <sharedItems containsSemiMixedTypes="0" containsString="0" containsNumber="1" containsInteger="1" minValue="6" maxValue="65"/>
    </cacheField>
    <cacheField name="Penjualan" numFmtId="165">
      <sharedItems containsSemiMixedTypes="0" containsString="0" containsNumber="1" minValue="1717950" maxValue="75009000"/>
    </cacheField>
    <cacheField name="COGS" numFmtId="165">
      <sharedItems containsSemiMixedTypes="0" containsString="0" containsNumber="1" minValue="723900" maxValue="14143950"/>
    </cacheField>
    <cacheField name="Profit" numFmtId="165">
      <sharedItems containsSemiMixedTypes="0" containsString="0" containsNumber="1" minValue="994050" maxValue="65856600" count="105">
        <n v="12006450"/>
        <n v="4682250"/>
        <n v="9348300"/>
        <n v="2286900.0000000005"/>
        <n v="8913150"/>
        <n v="4943250"/>
        <n v="5441700"/>
        <n v="10496550"/>
        <n v="7019250"/>
        <n v="10498950"/>
        <n v="1308750"/>
        <n v="3964050"/>
        <n v="8062500"/>
        <n v="4498950"/>
        <n v="11333550"/>
        <n v="8270550"/>
        <n v="3453000"/>
        <n v="6348900"/>
        <n v="5579000"/>
        <n v="1264950"/>
        <n v="1993050"/>
        <n v="8261550"/>
        <n v="6113400"/>
        <n v="994050"/>
        <n v="9581250"/>
        <n v="1875749.9999999995"/>
        <n v="6272400"/>
        <n v="2111700"/>
        <n v="2337900"/>
        <n v="8241450"/>
        <n v="10257000"/>
        <n v="9350850"/>
        <n v="7201950"/>
        <n v="11431350"/>
        <n v="10739250"/>
        <n v="10621500"/>
        <n v="2619750"/>
        <n v="3804750"/>
        <n v="3007050"/>
        <n v="4322250"/>
        <n v="12191700"/>
        <n v="6836400"/>
        <n v="1265100"/>
        <n v="1005150"/>
        <n v="4050150"/>
        <n v="1329600"/>
        <n v="1797300"/>
        <n v="4747800"/>
        <n v="2994000"/>
        <n v="3231000"/>
        <n v="10881000"/>
        <n v="10622550"/>
        <n v="10217250"/>
        <n v="6304050"/>
        <n v="3879750"/>
        <n v="7881000"/>
        <n v="3427350"/>
        <n v="7192350"/>
        <n v="10929150"/>
        <n v="1614150"/>
        <n v="2152500"/>
        <n v="3594750"/>
        <n v="10048800"/>
        <n v="1076400"/>
        <n v="6292800"/>
        <n v="9743700"/>
        <n v="4121400"/>
        <n v="65856600"/>
        <n v="6935550"/>
        <n v="5626050"/>
        <n v="10795050"/>
        <n v="11628900"/>
        <n v="3066600"/>
        <n v="1817850"/>
        <n v="1970250"/>
        <n v="2702700"/>
        <n v="9184800"/>
        <n v="3803850"/>
        <n v="3188100"/>
        <n v="3606900"/>
        <n v="7754700"/>
        <n v="11819100"/>
        <n v="11099850"/>
        <n v="2702100"/>
        <n v="6600600"/>
        <n v="8287050"/>
        <n v="10548900"/>
        <n v="8072700"/>
        <n v="10076400"/>
        <n v="3770400"/>
        <n v="4692900"/>
        <n v="1873950"/>
        <n v="5438250"/>
        <n v="9540300"/>
        <n v="8079750"/>
        <n v="5099400"/>
        <n v="3337050"/>
        <n v="3190800"/>
        <n v="9541050"/>
        <n v="5228100"/>
        <n v="2873100"/>
        <n v="4855050"/>
        <n v="1790100"/>
        <n v="8999700.0000000019"/>
        <n v="8424600"/>
      </sharedItems>
    </cacheField>
    <cacheField name="Months (Tanggal)" numFmtId="0" databaseField="0">
      <fieldGroup base="0">
        <rangePr groupBy="months" startDate="2021-01-01T00:00:00" endDate="2022-03-28T00:00:00"/>
        <groupItems count="14">
          <s v="&lt;1/1/2021"/>
          <s v="Jan"/>
          <s v="Feb"/>
          <s v="Mar"/>
          <s v="Apr"/>
          <s v="May"/>
          <s v="Jun"/>
          <s v="Jul"/>
          <s v="Aug"/>
          <s v="Sep"/>
          <s v="Oct"/>
          <s v="Nov"/>
          <s v="Dec"/>
          <s v="&gt;3/28/2022"/>
        </groupItems>
      </fieldGroup>
    </cacheField>
    <cacheField name="Quarters (Tanggal)" numFmtId="0" databaseField="0">
      <fieldGroup base="0">
        <rangePr groupBy="quarters" startDate="2021-01-01T00:00:00" endDate="2022-03-28T00:00:00"/>
        <groupItems count="6">
          <s v="&lt;1/1/2021"/>
          <s v="Qtr1"/>
          <s v="Qtr2"/>
          <s v="Qtr3"/>
          <s v="Qtr4"/>
          <s v="&gt;3/28/2022"/>
        </groupItems>
      </fieldGroup>
    </cacheField>
    <cacheField name="Years (Tanggal)" numFmtId="0" databaseField="0">
      <fieldGroup base="0">
        <rangePr groupBy="years" startDate="2021-01-01T00:00:00" endDate="2022-03-28T00:00:00"/>
        <groupItems count="4">
          <s v="&lt;1/1/2021"/>
          <s v="2021"/>
          <s v="2022"/>
          <s v="&gt;3/28/2022"/>
        </groupItems>
      </fieldGroup>
    </cacheField>
    <cacheField name="COGS per unit" numFmtId="0" formula="COGS/Units" databaseField="0"/>
    <cacheField name="Region2" numFmtId="0" databaseField="0">
      <fieldGroup base="2">
        <discretePr count="4">
          <x v="0"/>
          <x v="0"/>
          <x v="1"/>
          <x v="1"/>
        </discretePr>
        <groupItems count="2">
          <s v="Group2"/>
          <s v="Group1"/>
        </groupItems>
      </fieldGroup>
    </cacheField>
  </cacheFields>
  <extLst>
    <ext xmlns:x14="http://schemas.microsoft.com/office/spreadsheetml/2009/9/main" uri="{725AE2AE-9491-48be-B2B4-4EB974FC3084}">
      <x14:pivotCacheDefinition pivotCacheId="1305372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
  <r>
    <x v="0"/>
    <x v="0"/>
    <x v="0"/>
    <x v="0"/>
    <x v="0"/>
    <n v="64"/>
    <n v="25932150"/>
    <n v="13925700"/>
    <x v="0"/>
  </r>
  <r>
    <x v="1"/>
    <x v="1"/>
    <x v="1"/>
    <x v="1"/>
    <x v="1"/>
    <n v="26"/>
    <n v="8586300"/>
    <n v="3904049.9999999995"/>
    <x v="1"/>
  </r>
  <r>
    <x v="2"/>
    <x v="2"/>
    <x v="1"/>
    <x v="2"/>
    <x v="2"/>
    <n v="52"/>
    <n v="17940450"/>
    <n v="8592150"/>
    <x v="2"/>
  </r>
  <r>
    <x v="2"/>
    <x v="3"/>
    <x v="1"/>
    <x v="3"/>
    <x v="3"/>
    <n v="13"/>
    <n v="4096500.0000000005"/>
    <n v="1809600"/>
    <x v="3"/>
  </r>
  <r>
    <x v="3"/>
    <x v="4"/>
    <x v="2"/>
    <x v="4"/>
    <x v="4"/>
    <n v="54"/>
    <n v="15404400"/>
    <n v="6491250"/>
    <x v="4"/>
  </r>
  <r>
    <x v="4"/>
    <x v="4"/>
    <x v="1"/>
    <x v="1"/>
    <x v="5"/>
    <n v="30"/>
    <n v="8553300"/>
    <n v="3610050"/>
    <x v="5"/>
  </r>
  <r>
    <x v="4"/>
    <x v="4"/>
    <x v="3"/>
    <x v="3"/>
    <x v="4"/>
    <n v="33"/>
    <n v="9409800"/>
    <n v="3968100.0000000005"/>
    <x v="6"/>
  </r>
  <r>
    <x v="5"/>
    <x v="0"/>
    <x v="0"/>
    <x v="5"/>
    <x v="6"/>
    <n v="56"/>
    <n v="22689000"/>
    <n v="12192450"/>
    <x v="7"/>
  </r>
  <r>
    <x v="6"/>
    <x v="2"/>
    <x v="2"/>
    <x v="0"/>
    <x v="0"/>
    <n v="39"/>
    <n v="13464450"/>
    <n v="6445200"/>
    <x v="8"/>
  </r>
  <r>
    <x v="7"/>
    <x v="0"/>
    <x v="1"/>
    <x v="5"/>
    <x v="7"/>
    <n v="56"/>
    <n v="22682850"/>
    <n v="12183900"/>
    <x v="9"/>
  </r>
  <r>
    <x v="8"/>
    <x v="4"/>
    <x v="0"/>
    <x v="0"/>
    <x v="8"/>
    <n v="8"/>
    <n v="2283600"/>
    <n v="974849.99999999988"/>
    <x v="10"/>
  </r>
  <r>
    <x v="9"/>
    <x v="4"/>
    <x v="2"/>
    <x v="4"/>
    <x v="9"/>
    <n v="24"/>
    <n v="6846150"/>
    <n v="2882100"/>
    <x v="11"/>
  </r>
  <r>
    <x v="10"/>
    <x v="0"/>
    <x v="2"/>
    <x v="5"/>
    <x v="10"/>
    <n v="43"/>
    <n v="17418750"/>
    <n v="9356250"/>
    <x v="12"/>
  </r>
  <r>
    <x v="11"/>
    <x v="1"/>
    <x v="1"/>
    <x v="0"/>
    <x v="11"/>
    <n v="25"/>
    <n v="8255850"/>
    <n v="3756900"/>
    <x v="13"/>
  </r>
  <r>
    <x v="12"/>
    <x v="2"/>
    <x v="2"/>
    <x v="3"/>
    <x v="9"/>
    <n v="63"/>
    <n v="21738150"/>
    <n v="10404600"/>
    <x v="14"/>
  </r>
  <r>
    <x v="13"/>
    <x v="2"/>
    <x v="1"/>
    <x v="4"/>
    <x v="12"/>
    <n v="46"/>
    <n v="15870150"/>
    <n v="7599600"/>
    <x v="15"/>
  </r>
  <r>
    <x v="14"/>
    <x v="4"/>
    <x v="3"/>
    <x v="4"/>
    <x v="13"/>
    <n v="21"/>
    <n v="5987250"/>
    <n v="2534250"/>
    <x v="16"/>
  </r>
  <r>
    <x v="15"/>
    <x v="3"/>
    <x v="2"/>
    <x v="2"/>
    <x v="14"/>
    <n v="36"/>
    <n v="11346900"/>
    <n v="4998000"/>
    <x v="17"/>
  </r>
  <r>
    <x v="16"/>
    <x v="2"/>
    <x v="1"/>
    <x v="2"/>
    <x v="11"/>
    <n v="31"/>
    <n v="10699200"/>
    <n v="5120200"/>
    <x v="18"/>
  </r>
  <r>
    <x v="17"/>
    <x v="1"/>
    <x v="1"/>
    <x v="1"/>
    <x v="15"/>
    <n v="7"/>
    <n v="2324250"/>
    <n v="1059300"/>
    <x v="19"/>
  </r>
  <r>
    <x v="18"/>
    <x v="4"/>
    <x v="0"/>
    <x v="4"/>
    <x v="16"/>
    <n v="12"/>
    <n v="3433350"/>
    <n v="1440300"/>
    <x v="20"/>
  </r>
  <r>
    <x v="18"/>
    <x v="0"/>
    <x v="2"/>
    <x v="4"/>
    <x v="0"/>
    <n v="44"/>
    <n v="17832150"/>
    <n v="9570600"/>
    <x v="21"/>
  </r>
  <r>
    <x v="19"/>
    <x v="2"/>
    <x v="2"/>
    <x v="4"/>
    <x v="13"/>
    <n v="34"/>
    <n v="11734800"/>
    <n v="5621400"/>
    <x v="22"/>
  </r>
  <r>
    <x v="20"/>
    <x v="4"/>
    <x v="1"/>
    <x v="0"/>
    <x v="0"/>
    <n v="6"/>
    <n v="1717950"/>
    <n v="723900"/>
    <x v="23"/>
  </r>
  <r>
    <x v="21"/>
    <x v="4"/>
    <x v="0"/>
    <x v="0"/>
    <x v="17"/>
    <n v="58"/>
    <n v="16542150"/>
    <n v="6960900"/>
    <x v="24"/>
  </r>
  <r>
    <x v="22"/>
    <x v="0"/>
    <x v="0"/>
    <x v="1"/>
    <x v="0"/>
    <n v="10"/>
    <n v="4061699.9999999995"/>
    <n v="2185950"/>
    <x v="25"/>
  </r>
  <r>
    <x v="23"/>
    <x v="4"/>
    <x v="2"/>
    <x v="3"/>
    <x v="2"/>
    <n v="38"/>
    <n v="10833300"/>
    <n v="4560900"/>
    <x v="26"/>
  </r>
  <r>
    <x v="24"/>
    <x v="3"/>
    <x v="2"/>
    <x v="5"/>
    <x v="12"/>
    <n v="12"/>
    <n v="3786600"/>
    <n v="1674900"/>
    <x v="27"/>
  </r>
  <r>
    <x v="25"/>
    <x v="2"/>
    <x v="3"/>
    <x v="4"/>
    <x v="18"/>
    <n v="13"/>
    <n v="4494600"/>
    <n v="2156700"/>
    <x v="28"/>
  </r>
  <r>
    <x v="26"/>
    <x v="0"/>
    <x v="1"/>
    <x v="4"/>
    <x v="17"/>
    <n v="44"/>
    <n v="17823300"/>
    <n v="9581850"/>
    <x v="29"/>
  </r>
  <r>
    <x v="27"/>
    <x v="1"/>
    <x v="3"/>
    <x v="3"/>
    <x v="19"/>
    <n v="57"/>
    <n v="18818550"/>
    <n v="8561550"/>
    <x v="30"/>
  </r>
  <r>
    <x v="28"/>
    <x v="3"/>
    <x v="0"/>
    <x v="3"/>
    <x v="15"/>
    <n v="53"/>
    <n v="16705500"/>
    <n v="7354650"/>
    <x v="31"/>
  </r>
  <r>
    <x v="29"/>
    <x v="1"/>
    <x v="3"/>
    <x v="3"/>
    <x v="4"/>
    <n v="40"/>
    <n v="13209000"/>
    <n v="6007050"/>
    <x v="32"/>
  </r>
  <r>
    <x v="30"/>
    <x v="0"/>
    <x v="3"/>
    <x v="1"/>
    <x v="20"/>
    <n v="61"/>
    <n v="24708900"/>
    <n v="13277550"/>
    <x v="33"/>
  </r>
  <r>
    <x v="31"/>
    <x v="3"/>
    <x v="0"/>
    <x v="3"/>
    <x v="21"/>
    <n v="61"/>
    <n v="19216500"/>
    <n v="8477250"/>
    <x v="34"/>
  </r>
  <r>
    <x v="32"/>
    <x v="2"/>
    <x v="2"/>
    <x v="1"/>
    <x v="16"/>
    <n v="59"/>
    <n v="20358750"/>
    <n v="9737250"/>
    <x v="35"/>
  </r>
  <r>
    <x v="33"/>
    <x v="0"/>
    <x v="2"/>
    <x v="4"/>
    <x v="6"/>
    <n v="14"/>
    <n v="5674050"/>
    <n v="3054300"/>
    <x v="36"/>
  </r>
  <r>
    <x v="34"/>
    <x v="4"/>
    <x v="1"/>
    <x v="0"/>
    <x v="22"/>
    <n v="23"/>
    <n v="6567150"/>
    <n v="2762400"/>
    <x v="37"/>
  </r>
  <r>
    <x v="35"/>
    <x v="0"/>
    <x v="0"/>
    <x v="1"/>
    <x v="23"/>
    <n v="16"/>
    <n v="6490050"/>
    <n v="3483000"/>
    <x v="38"/>
  </r>
  <r>
    <x v="36"/>
    <x v="1"/>
    <x v="1"/>
    <x v="5"/>
    <x v="7"/>
    <n v="24"/>
    <n v="7927500"/>
    <n v="3605250"/>
    <x v="39"/>
  </r>
  <r>
    <x v="37"/>
    <x v="0"/>
    <x v="0"/>
    <x v="2"/>
    <x v="7"/>
    <n v="65"/>
    <n v="26335650"/>
    <n v="14143950"/>
    <x v="40"/>
  </r>
  <r>
    <x v="38"/>
    <x v="2"/>
    <x v="2"/>
    <x v="4"/>
    <x v="1"/>
    <n v="38"/>
    <n v="13116750"/>
    <n v="6280350"/>
    <x v="41"/>
  </r>
  <r>
    <x v="39"/>
    <x v="1"/>
    <x v="3"/>
    <x v="5"/>
    <x v="2"/>
    <n v="7"/>
    <n v="2315100"/>
    <n v="1050000"/>
    <x v="42"/>
  </r>
  <r>
    <x v="40"/>
    <x v="0"/>
    <x v="2"/>
    <x v="0"/>
    <x v="9"/>
    <n v="16"/>
    <n v="4500000"/>
    <n v="3494850"/>
    <x v="43"/>
  </r>
  <r>
    <x v="41"/>
    <x v="3"/>
    <x v="1"/>
    <x v="3"/>
    <x v="1"/>
    <n v="23"/>
    <n v="7253700"/>
    <n v="3203550"/>
    <x v="44"/>
  </r>
  <r>
    <x v="42"/>
    <x v="4"/>
    <x v="3"/>
    <x v="2"/>
    <x v="22"/>
    <n v="8"/>
    <n v="2291400"/>
    <n v="961800.00000000012"/>
    <x v="45"/>
  </r>
  <r>
    <x v="42"/>
    <x v="2"/>
    <x v="0"/>
    <x v="5"/>
    <x v="11"/>
    <n v="10"/>
    <n v="3453750"/>
    <n v="1656450"/>
    <x v="46"/>
  </r>
  <r>
    <x v="43"/>
    <x v="3"/>
    <x v="2"/>
    <x v="5"/>
    <x v="5"/>
    <n v="27"/>
    <n v="8507700"/>
    <n v="3759900"/>
    <x v="47"/>
  </r>
  <r>
    <x v="44"/>
    <x v="3"/>
    <x v="2"/>
    <x v="2"/>
    <x v="24"/>
    <n v="17"/>
    <n v="5363250"/>
    <n v="2369250"/>
    <x v="48"/>
  </r>
  <r>
    <x v="45"/>
    <x v="2"/>
    <x v="0"/>
    <x v="0"/>
    <x v="25"/>
    <n v="18"/>
    <n v="6211650"/>
    <n v="2980650"/>
    <x v="49"/>
  </r>
  <r>
    <x v="46"/>
    <x v="0"/>
    <x v="2"/>
    <x v="1"/>
    <x v="2"/>
    <n v="58"/>
    <n v="23502450"/>
    <n v="12621450"/>
    <x v="50"/>
  </r>
  <r>
    <x v="47"/>
    <x v="1"/>
    <x v="2"/>
    <x v="3"/>
    <x v="26"/>
    <n v="59"/>
    <n v="19483800"/>
    <n v="8861250"/>
    <x v="51"/>
  </r>
  <r>
    <x v="48"/>
    <x v="4"/>
    <x v="3"/>
    <x v="1"/>
    <x v="0"/>
    <n v="62"/>
    <n v="17671050"/>
    <n v="7453800"/>
    <x v="52"/>
  </r>
  <r>
    <x v="49"/>
    <x v="1"/>
    <x v="1"/>
    <x v="0"/>
    <x v="21"/>
    <n v="35"/>
    <n v="11562000"/>
    <n v="5257950"/>
    <x v="53"/>
  </r>
  <r>
    <x v="50"/>
    <x v="3"/>
    <x v="3"/>
    <x v="0"/>
    <x v="0"/>
    <n v="22"/>
    <n v="6933300"/>
    <n v="3053550"/>
    <x v="54"/>
  </r>
  <r>
    <x v="51"/>
    <x v="0"/>
    <x v="3"/>
    <x v="2"/>
    <x v="17"/>
    <n v="42"/>
    <n v="17024100"/>
    <n v="9143100"/>
    <x v="55"/>
  </r>
  <r>
    <x v="52"/>
    <x v="1"/>
    <x v="0"/>
    <x v="3"/>
    <x v="10"/>
    <n v="19"/>
    <n v="6278100"/>
    <n v="2850750"/>
    <x v="56"/>
  </r>
  <r>
    <x v="52"/>
    <x v="1"/>
    <x v="2"/>
    <x v="3"/>
    <x v="20"/>
    <n v="40"/>
    <n v="13205700"/>
    <n v="6013350"/>
    <x v="57"/>
  </r>
  <r>
    <x v="53"/>
    <x v="3"/>
    <x v="0"/>
    <x v="1"/>
    <x v="2"/>
    <n v="62"/>
    <n v="19542900"/>
    <n v="8613750"/>
    <x v="58"/>
  </r>
  <r>
    <x v="54"/>
    <x v="1"/>
    <x v="2"/>
    <x v="5"/>
    <x v="27"/>
    <n v="9"/>
    <n v="2970900"/>
    <n v="1356750"/>
    <x v="59"/>
  </r>
  <r>
    <x v="55"/>
    <x v="2"/>
    <x v="3"/>
    <x v="4"/>
    <x v="3"/>
    <n v="12"/>
    <n v="4140900"/>
    <n v="1988400"/>
    <x v="60"/>
  </r>
  <r>
    <x v="56"/>
    <x v="2"/>
    <x v="3"/>
    <x v="1"/>
    <x v="2"/>
    <n v="20"/>
    <n v="6904200"/>
    <n v="3309450"/>
    <x v="61"/>
  </r>
  <r>
    <x v="57"/>
    <x v="3"/>
    <x v="1"/>
    <x v="3"/>
    <x v="22"/>
    <n v="57"/>
    <n v="17968500"/>
    <n v="7919700"/>
    <x v="62"/>
  </r>
  <r>
    <x v="58"/>
    <x v="1"/>
    <x v="0"/>
    <x v="2"/>
    <x v="15"/>
    <n v="6"/>
    <n v="1985100"/>
    <n v="908700"/>
    <x v="63"/>
  </r>
  <r>
    <x v="59"/>
    <x v="1"/>
    <x v="0"/>
    <x v="0"/>
    <x v="17"/>
    <n v="35"/>
    <n v="11552700"/>
    <n v="5259900"/>
    <x v="64"/>
  </r>
  <r>
    <x v="60"/>
    <x v="4"/>
    <x v="3"/>
    <x v="4"/>
    <x v="3"/>
    <n v="59"/>
    <n v="16829400"/>
    <n v="7085700"/>
    <x v="65"/>
  </r>
  <r>
    <x v="60"/>
    <x v="0"/>
    <x v="2"/>
    <x v="3"/>
    <x v="15"/>
    <n v="22"/>
    <n v="8912550"/>
    <n v="4791150"/>
    <x v="66"/>
  </r>
  <r>
    <x v="61"/>
    <x v="1"/>
    <x v="0"/>
    <x v="3"/>
    <x v="28"/>
    <n v="61"/>
    <n v="75009000"/>
    <n v="9152400"/>
    <x v="67"/>
  </r>
  <r>
    <x v="62"/>
    <x v="4"/>
    <x v="2"/>
    <x v="2"/>
    <x v="0"/>
    <n v="42"/>
    <n v="11977950"/>
    <n v="5042400"/>
    <x v="68"/>
  </r>
  <r>
    <x v="63"/>
    <x v="0"/>
    <x v="0"/>
    <x v="3"/>
    <x v="8"/>
    <n v="30"/>
    <n v="12160650"/>
    <n v="6534600"/>
    <x v="69"/>
  </r>
  <r>
    <x v="64"/>
    <x v="2"/>
    <x v="0"/>
    <x v="4"/>
    <x v="29"/>
    <n v="60"/>
    <n v="20701050"/>
    <n v="9906000"/>
    <x v="70"/>
  </r>
  <r>
    <x v="65"/>
    <x v="0"/>
    <x v="2"/>
    <x v="4"/>
    <x v="23"/>
    <n v="62"/>
    <n v="25122300"/>
    <n v="13493400"/>
    <x v="71"/>
  </r>
  <r>
    <x v="66"/>
    <x v="1"/>
    <x v="2"/>
    <x v="1"/>
    <x v="25"/>
    <n v="17"/>
    <n v="5622150"/>
    <n v="2555550"/>
    <x v="72"/>
  </r>
  <r>
    <x v="67"/>
    <x v="4"/>
    <x v="3"/>
    <x v="1"/>
    <x v="17"/>
    <n v="11"/>
    <n v="3148800"/>
    <n v="1330950"/>
    <x v="73"/>
  </r>
  <r>
    <x v="68"/>
    <x v="1"/>
    <x v="1"/>
    <x v="2"/>
    <x v="5"/>
    <n v="11"/>
    <n v="3633900"/>
    <n v="1663650"/>
    <x v="74"/>
  </r>
  <r>
    <x v="69"/>
    <x v="1"/>
    <x v="1"/>
    <x v="0"/>
    <x v="11"/>
    <n v="15"/>
    <n v="4959150"/>
    <n v="2256450"/>
    <x v="75"/>
  </r>
  <r>
    <x v="70"/>
    <x v="0"/>
    <x v="2"/>
    <x v="2"/>
    <x v="18"/>
    <n v="49"/>
    <n v="19857150"/>
    <n v="10672350"/>
    <x v="76"/>
  </r>
  <r>
    <x v="70"/>
    <x v="4"/>
    <x v="3"/>
    <x v="3"/>
    <x v="26"/>
    <n v="23"/>
    <n v="6568800"/>
    <n v="2764950"/>
    <x v="77"/>
  </r>
  <r>
    <x v="71"/>
    <x v="0"/>
    <x v="2"/>
    <x v="2"/>
    <x v="26"/>
    <n v="17"/>
    <n v="6889350"/>
    <n v="3701250"/>
    <x v="78"/>
  </r>
  <r>
    <x v="72"/>
    <x v="1"/>
    <x v="2"/>
    <x v="4"/>
    <x v="27"/>
    <n v="20"/>
    <n v="6615000"/>
    <n v="3008100"/>
    <x v="79"/>
  </r>
  <r>
    <x v="73"/>
    <x v="3"/>
    <x v="1"/>
    <x v="0"/>
    <x v="27"/>
    <n v="44"/>
    <n v="13864350"/>
    <n v="6109650"/>
    <x v="80"/>
  </r>
  <r>
    <x v="74"/>
    <x v="0"/>
    <x v="0"/>
    <x v="5"/>
    <x v="23"/>
    <n v="63"/>
    <n v="25525200"/>
    <n v="13706100"/>
    <x v="81"/>
  </r>
  <r>
    <x v="75"/>
    <x v="3"/>
    <x v="2"/>
    <x v="5"/>
    <x v="8"/>
    <n v="63"/>
    <n v="19850250"/>
    <n v="8750400"/>
    <x v="82"/>
  </r>
  <r>
    <x v="75"/>
    <x v="2"/>
    <x v="0"/>
    <x v="2"/>
    <x v="30"/>
    <n v="15"/>
    <n v="5188200"/>
    <n v="2486100"/>
    <x v="83"/>
  </r>
  <r>
    <x v="76"/>
    <x v="4"/>
    <x v="1"/>
    <x v="2"/>
    <x v="11"/>
    <n v="40"/>
    <n v="11403600"/>
    <n v="4803000"/>
    <x v="84"/>
  </r>
  <r>
    <x v="77"/>
    <x v="3"/>
    <x v="1"/>
    <x v="0"/>
    <x v="24"/>
    <n v="47"/>
    <n v="14814300"/>
    <n v="6527250"/>
    <x v="85"/>
  </r>
  <r>
    <x v="78"/>
    <x v="4"/>
    <x v="3"/>
    <x v="2"/>
    <x v="11"/>
    <n v="64"/>
    <n v="18241800"/>
    <n v="7692900"/>
    <x v="86"/>
  </r>
  <r>
    <x v="79"/>
    <x v="4"/>
    <x v="1"/>
    <x v="1"/>
    <x v="21"/>
    <n v="49"/>
    <n v="13966350"/>
    <n v="5893650"/>
    <x v="87"/>
  </r>
  <r>
    <x v="80"/>
    <x v="1"/>
    <x v="3"/>
    <x v="0"/>
    <x v="17"/>
    <n v="56"/>
    <n v="18480750"/>
    <n v="8404350"/>
    <x v="88"/>
  </r>
  <r>
    <x v="81"/>
    <x v="1"/>
    <x v="3"/>
    <x v="5"/>
    <x v="4"/>
    <n v="21"/>
    <n v="6932550"/>
    <n v="3162150"/>
    <x v="89"/>
  </r>
  <r>
    <x v="82"/>
    <x v="0"/>
    <x v="1"/>
    <x v="0"/>
    <x v="22"/>
    <n v="25"/>
    <n v="10136250"/>
    <n v="5443350"/>
    <x v="90"/>
  </r>
  <r>
    <x v="83"/>
    <x v="0"/>
    <x v="3"/>
    <x v="5"/>
    <x v="19"/>
    <n v="10"/>
    <n v="4057500"/>
    <n v="2183550"/>
    <x v="91"/>
  </r>
  <r>
    <x v="84"/>
    <x v="0"/>
    <x v="1"/>
    <x v="4"/>
    <x v="2"/>
    <n v="29"/>
    <n v="11756250"/>
    <n v="6318000"/>
    <x v="92"/>
  </r>
  <r>
    <x v="85"/>
    <x v="2"/>
    <x v="1"/>
    <x v="2"/>
    <x v="17"/>
    <n v="53"/>
    <n v="18295500"/>
    <n v="8755200"/>
    <x v="93"/>
  </r>
  <r>
    <x v="86"/>
    <x v="4"/>
    <x v="0"/>
    <x v="5"/>
    <x v="26"/>
    <n v="49"/>
    <n v="13972350"/>
    <n v="5892600"/>
    <x v="94"/>
  </r>
  <r>
    <x v="87"/>
    <x v="3"/>
    <x v="3"/>
    <x v="0"/>
    <x v="18"/>
    <n v="29"/>
    <n v="9136800"/>
    <n v="4037400.0000000005"/>
    <x v="95"/>
  </r>
  <r>
    <x v="88"/>
    <x v="3"/>
    <x v="3"/>
    <x v="5"/>
    <x v="6"/>
    <n v="19"/>
    <n v="5985300"/>
    <n v="2648250"/>
    <x v="96"/>
  </r>
  <r>
    <x v="89"/>
    <x v="0"/>
    <x v="3"/>
    <x v="2"/>
    <x v="19"/>
    <n v="17"/>
    <n v="6899250"/>
    <n v="3708450"/>
    <x v="97"/>
  </r>
  <r>
    <x v="90"/>
    <x v="1"/>
    <x v="0"/>
    <x v="3"/>
    <x v="8"/>
    <n v="53"/>
    <n v="17494650"/>
    <n v="7953600"/>
    <x v="98"/>
  </r>
  <r>
    <x v="91"/>
    <x v="2"/>
    <x v="1"/>
    <x v="2"/>
    <x v="7"/>
    <n v="29"/>
    <n v="10019850"/>
    <n v="4791750"/>
    <x v="99"/>
  </r>
  <r>
    <x v="92"/>
    <x v="1"/>
    <x v="3"/>
    <x v="2"/>
    <x v="0"/>
    <n v="16"/>
    <n v="5283000"/>
    <n v="2409900"/>
    <x v="100"/>
  </r>
  <r>
    <x v="93"/>
    <x v="1"/>
    <x v="0"/>
    <x v="2"/>
    <x v="21"/>
    <n v="27"/>
    <n v="8911350"/>
    <n v="4056300.0000000005"/>
    <x v="101"/>
  </r>
  <r>
    <x v="94"/>
    <x v="1"/>
    <x v="2"/>
    <x v="5"/>
    <x v="4"/>
    <n v="10"/>
    <n v="3302700"/>
    <n v="1512600"/>
    <x v="102"/>
  </r>
  <r>
    <x v="95"/>
    <x v="1"/>
    <x v="2"/>
    <x v="1"/>
    <x v="8"/>
    <n v="50"/>
    <n v="16502100.000000002"/>
    <n v="7502400"/>
    <x v="103"/>
  </r>
  <r>
    <x v="96"/>
    <x v="4"/>
    <x v="1"/>
    <x v="2"/>
    <x v="28"/>
    <n v="51"/>
    <n v="14545800"/>
    <n v="6121200"/>
    <x v="104"/>
  </r>
  <r>
    <x v="97"/>
    <x v="1"/>
    <x v="0"/>
    <x v="3"/>
    <x v="28"/>
    <n v="61"/>
    <n v="75009000"/>
    <n v="9152400"/>
    <x v="67"/>
  </r>
  <r>
    <x v="98"/>
    <x v="4"/>
    <x v="2"/>
    <x v="2"/>
    <x v="0"/>
    <n v="42"/>
    <n v="11977950"/>
    <n v="5042400"/>
    <x v="68"/>
  </r>
  <r>
    <x v="99"/>
    <x v="0"/>
    <x v="0"/>
    <x v="3"/>
    <x v="8"/>
    <n v="30"/>
    <n v="12160650"/>
    <n v="6534600"/>
    <x v="69"/>
  </r>
  <r>
    <x v="100"/>
    <x v="2"/>
    <x v="0"/>
    <x v="4"/>
    <x v="29"/>
    <n v="60"/>
    <n v="20701050"/>
    <n v="9906000"/>
    <x v="70"/>
  </r>
  <r>
    <x v="101"/>
    <x v="0"/>
    <x v="2"/>
    <x v="4"/>
    <x v="23"/>
    <n v="62"/>
    <n v="25122300"/>
    <n v="13493400"/>
    <x v="71"/>
  </r>
  <r>
    <x v="102"/>
    <x v="1"/>
    <x v="2"/>
    <x v="1"/>
    <x v="25"/>
    <n v="17"/>
    <n v="5622150"/>
    <n v="2555550"/>
    <x v="72"/>
  </r>
  <r>
    <x v="103"/>
    <x v="4"/>
    <x v="3"/>
    <x v="1"/>
    <x v="17"/>
    <n v="11"/>
    <n v="3148800"/>
    <n v="1330950"/>
    <x v="73"/>
  </r>
  <r>
    <x v="104"/>
    <x v="1"/>
    <x v="1"/>
    <x v="2"/>
    <x v="5"/>
    <n v="11"/>
    <n v="3633900"/>
    <n v="1663650"/>
    <x v="74"/>
  </r>
  <r>
    <x v="105"/>
    <x v="1"/>
    <x v="1"/>
    <x v="0"/>
    <x v="11"/>
    <n v="15"/>
    <n v="4959150"/>
    <n v="2256450"/>
    <x v="75"/>
  </r>
  <r>
    <x v="100"/>
    <x v="0"/>
    <x v="2"/>
    <x v="2"/>
    <x v="18"/>
    <n v="49"/>
    <n v="19857150"/>
    <n v="10672350"/>
    <x v="76"/>
  </r>
  <r>
    <x v="106"/>
    <x v="4"/>
    <x v="3"/>
    <x v="3"/>
    <x v="26"/>
    <n v="23"/>
    <n v="6568800"/>
    <n v="2764950"/>
    <x v="77"/>
  </r>
  <r>
    <x v="107"/>
    <x v="0"/>
    <x v="2"/>
    <x v="2"/>
    <x v="26"/>
    <n v="17"/>
    <n v="6889350"/>
    <n v="3701250"/>
    <x v="78"/>
  </r>
  <r>
    <x v="108"/>
    <x v="1"/>
    <x v="2"/>
    <x v="4"/>
    <x v="27"/>
    <n v="20"/>
    <n v="6615000"/>
    <n v="3008100"/>
    <x v="79"/>
  </r>
  <r>
    <x v="109"/>
    <x v="3"/>
    <x v="1"/>
    <x v="0"/>
    <x v="27"/>
    <n v="44"/>
    <n v="13864350"/>
    <n v="6109650"/>
    <x v="80"/>
  </r>
  <r>
    <x v="110"/>
    <x v="0"/>
    <x v="0"/>
    <x v="5"/>
    <x v="23"/>
    <n v="63"/>
    <n v="25525200"/>
    <n v="13706100"/>
    <x v="81"/>
  </r>
  <r>
    <x v="111"/>
    <x v="3"/>
    <x v="2"/>
    <x v="5"/>
    <x v="8"/>
    <n v="63"/>
    <n v="19850250"/>
    <n v="8750400"/>
    <x v="82"/>
  </r>
  <r>
    <x v="112"/>
    <x v="2"/>
    <x v="0"/>
    <x v="2"/>
    <x v="30"/>
    <n v="15"/>
    <n v="5188200"/>
    <n v="2486100"/>
    <x v="83"/>
  </r>
  <r>
    <x v="113"/>
    <x v="4"/>
    <x v="1"/>
    <x v="2"/>
    <x v="11"/>
    <n v="40"/>
    <n v="11403600"/>
    <n v="4803000"/>
    <x v="84"/>
  </r>
  <r>
    <x v="114"/>
    <x v="3"/>
    <x v="1"/>
    <x v="0"/>
    <x v="24"/>
    <n v="47"/>
    <n v="14814300"/>
    <n v="6527250"/>
    <x v="85"/>
  </r>
  <r>
    <x v="115"/>
    <x v="4"/>
    <x v="3"/>
    <x v="2"/>
    <x v="11"/>
    <n v="64"/>
    <n v="18241800"/>
    <n v="7692900"/>
    <x v="86"/>
  </r>
  <r>
    <x v="116"/>
    <x v="4"/>
    <x v="1"/>
    <x v="1"/>
    <x v="21"/>
    <n v="49"/>
    <n v="13966350"/>
    <n v="5893650"/>
    <x v="87"/>
  </r>
  <r>
    <x v="117"/>
    <x v="1"/>
    <x v="3"/>
    <x v="0"/>
    <x v="17"/>
    <n v="56"/>
    <n v="18480750"/>
    <n v="8404350"/>
    <x v="88"/>
  </r>
  <r>
    <x v="118"/>
    <x v="1"/>
    <x v="3"/>
    <x v="5"/>
    <x v="4"/>
    <n v="21"/>
    <n v="6932550"/>
    <n v="3162150"/>
    <x v="89"/>
  </r>
  <r>
    <x v="119"/>
    <x v="0"/>
    <x v="1"/>
    <x v="0"/>
    <x v="22"/>
    <n v="25"/>
    <n v="10136250"/>
    <n v="5443350"/>
    <x v="90"/>
  </r>
  <r>
    <x v="100"/>
    <x v="0"/>
    <x v="3"/>
    <x v="5"/>
    <x v="19"/>
    <n v="10"/>
    <n v="4057500"/>
    <n v="2183550"/>
    <x v="91"/>
  </r>
  <r>
    <x v="120"/>
    <x v="0"/>
    <x v="1"/>
    <x v="4"/>
    <x v="2"/>
    <n v="29"/>
    <n v="11756250"/>
    <n v="6318000"/>
    <x v="92"/>
  </r>
  <r>
    <x v="109"/>
    <x v="2"/>
    <x v="1"/>
    <x v="2"/>
    <x v="17"/>
    <n v="53"/>
    <n v="18295500"/>
    <n v="8755200"/>
    <x v="93"/>
  </r>
  <r>
    <x v="121"/>
    <x v="4"/>
    <x v="0"/>
    <x v="5"/>
    <x v="26"/>
    <n v="49"/>
    <n v="13972350"/>
    <n v="5892600"/>
    <x v="94"/>
  </r>
  <r>
    <x v="122"/>
    <x v="3"/>
    <x v="3"/>
    <x v="0"/>
    <x v="18"/>
    <n v="29"/>
    <n v="9136800"/>
    <n v="4037400.0000000005"/>
    <x v="95"/>
  </r>
  <r>
    <x v="123"/>
    <x v="3"/>
    <x v="3"/>
    <x v="5"/>
    <x v="6"/>
    <n v="19"/>
    <n v="5985300"/>
    <n v="2648250"/>
    <x v="96"/>
  </r>
  <r>
    <x v="124"/>
    <x v="0"/>
    <x v="3"/>
    <x v="2"/>
    <x v="19"/>
    <n v="17"/>
    <n v="6899250"/>
    <n v="3708450"/>
    <x v="97"/>
  </r>
  <r>
    <x v="125"/>
    <x v="1"/>
    <x v="0"/>
    <x v="3"/>
    <x v="8"/>
    <n v="53"/>
    <n v="17494650"/>
    <n v="7953600"/>
    <x v="98"/>
  </r>
  <r>
    <x v="126"/>
    <x v="2"/>
    <x v="1"/>
    <x v="2"/>
    <x v="7"/>
    <n v="29"/>
    <n v="10019850"/>
    <n v="4791750"/>
    <x v="99"/>
  </r>
  <r>
    <x v="127"/>
    <x v="1"/>
    <x v="3"/>
    <x v="2"/>
    <x v="0"/>
    <n v="16"/>
    <n v="5283000"/>
    <n v="2409900"/>
    <x v="100"/>
  </r>
  <r>
    <x v="128"/>
    <x v="1"/>
    <x v="0"/>
    <x v="2"/>
    <x v="21"/>
    <n v="27"/>
    <n v="8911350"/>
    <n v="4056300.0000000005"/>
    <x v="101"/>
  </r>
  <r>
    <x v="101"/>
    <x v="1"/>
    <x v="2"/>
    <x v="5"/>
    <x v="4"/>
    <n v="10"/>
    <n v="3302700"/>
    <n v="1512600"/>
    <x v="102"/>
  </r>
  <r>
    <x v="121"/>
    <x v="1"/>
    <x v="2"/>
    <x v="1"/>
    <x v="8"/>
    <n v="50"/>
    <n v="16502100.000000002"/>
    <n v="7502400"/>
    <x v="103"/>
  </r>
  <r>
    <x v="104"/>
    <x v="4"/>
    <x v="1"/>
    <x v="2"/>
    <x v="28"/>
    <n v="51"/>
    <n v="14545800"/>
    <n v="6121200"/>
    <x v="1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AD95F1-6B9E-4EFC-8AA9-40F362D2D95D}"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25:Q33" firstHeaderRow="1" firstDataRow="2"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axis="axisCol" showAll="0">
      <items count="6">
        <item x="1"/>
        <item x="0"/>
        <item x="2"/>
        <item x="3"/>
        <item x="4"/>
        <item t="default"/>
      </items>
    </pivotField>
    <pivotField axis="axisRow" showAll="0">
      <items count="5">
        <item x="2"/>
        <item x="3"/>
        <item x="1"/>
        <item x="0"/>
        <item t="default"/>
      </items>
    </pivotField>
    <pivotField showAll="0"/>
    <pivotField showAll="0"/>
    <pivotField showAll="0"/>
    <pivotField numFmtId="165" showAll="0"/>
    <pivotField numFmtId="165" showAll="0"/>
    <pivotField dataField="1" numFmtId="165" showAll="0"/>
    <pivotField showAll="0" defaultSubtotal="0"/>
    <pivotField showAll="0" defaultSubtotal="0"/>
    <pivotField showAll="0" defaultSubtotal="0">
      <items count="4">
        <item x="0"/>
        <item x="1"/>
        <item x="2"/>
        <item x="3"/>
      </items>
    </pivotField>
    <pivotField dragToRow="0" dragToCol="0" dragToPage="0" showAll="0" defaultSubtotal="0"/>
    <pivotField axis="axisRow" showAll="0">
      <items count="3">
        <item x="1"/>
        <item n="East" x="0"/>
        <item t="default"/>
      </items>
    </pivotField>
  </pivotFields>
  <rowFields count="2">
    <field x="13"/>
    <field x="2"/>
  </rowFields>
  <rowItems count="7">
    <i>
      <x/>
    </i>
    <i r="1">
      <x/>
    </i>
    <i r="1">
      <x v="1"/>
    </i>
    <i>
      <x v="1"/>
    </i>
    <i r="1">
      <x v="2"/>
    </i>
    <i r="1">
      <x v="3"/>
    </i>
    <i t="grand">
      <x/>
    </i>
  </rowItems>
  <colFields count="1">
    <field x="1"/>
  </colFields>
  <colItems count="6">
    <i>
      <x/>
    </i>
    <i>
      <x v="1"/>
    </i>
    <i>
      <x v="2"/>
    </i>
    <i>
      <x v="3"/>
    </i>
    <i>
      <x v="4"/>
    </i>
    <i t="grand">
      <x/>
    </i>
  </colItems>
  <dataFields count="1">
    <dataField name="Sum of Profit" fld="8" baseField="0" baseItem="0" numFmtId="167"/>
  </dataFields>
  <formats count="1">
    <format dxfId="1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681771-7977-426B-85D6-6775B925F51A}"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6:R14" firstHeaderRow="1" firstDataRow="3"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axis="axisRow" showAll="0">
      <items count="6">
        <item x="1"/>
        <item x="0"/>
        <item x="2"/>
        <item x="3"/>
        <item x="4"/>
        <item t="default"/>
      </items>
    </pivotField>
    <pivotField axis="axisCol" showAll="0">
      <items count="5">
        <item x="2"/>
        <item x="3"/>
        <item x="1"/>
        <item x="0"/>
        <item t="default"/>
      </items>
    </pivotField>
    <pivotField showAll="0">
      <items count="7">
        <item h="1" x="5"/>
        <item h="1" x="2"/>
        <item h="1" x="3"/>
        <item x="0"/>
        <item h="1" x="1"/>
        <item h="1" x="4"/>
        <item t="default"/>
      </items>
    </pivotField>
    <pivotField showAll="0"/>
    <pivotField showAll="0"/>
    <pivotField numFmtId="165" showAll="0"/>
    <pivotField numFmtId="165" showAll="0"/>
    <pivotField dataField="1" numFmtId="165" showAll="0"/>
    <pivotField showAll="0" defaultSubtotal="0"/>
    <pivotField showAll="0" defaultSubtotal="0"/>
    <pivotField showAll="0" defaultSubtotal="0">
      <items count="4">
        <item x="0"/>
        <item x="1"/>
        <item x="2"/>
        <item x="3"/>
      </items>
    </pivotField>
    <pivotField dragToRow="0" dragToCol="0" dragToPage="0" showAll="0" defaultSubtotal="0"/>
    <pivotField axis="axisCol" showAll="0">
      <items count="3">
        <item x="1"/>
        <item x="0"/>
        <item t="default"/>
      </items>
    </pivotField>
  </pivotFields>
  <rowFields count="1">
    <field x="1"/>
  </rowFields>
  <rowItems count="6">
    <i>
      <x/>
    </i>
    <i>
      <x v="1"/>
    </i>
    <i>
      <x v="2"/>
    </i>
    <i>
      <x v="3"/>
    </i>
    <i>
      <x v="4"/>
    </i>
    <i t="grand">
      <x/>
    </i>
  </rowItems>
  <colFields count="2">
    <field x="13"/>
    <field x="2"/>
  </colFields>
  <colItems count="7">
    <i>
      <x/>
      <x/>
    </i>
    <i r="1">
      <x v="1"/>
    </i>
    <i t="default">
      <x/>
    </i>
    <i>
      <x v="1"/>
      <x v="2"/>
    </i>
    <i r="1">
      <x v="3"/>
    </i>
    <i t="default">
      <x v="1"/>
    </i>
    <i t="grand">
      <x/>
    </i>
  </colItems>
  <dataFields count="1">
    <dataField name="Sum of Profit" fld="8" baseField="0" baseItem="0" numFmtId="167"/>
  </dataFields>
  <formats count="1">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899B79-3E98-44DA-8E56-36A427679B6E}" name="PivotTable10" cacheId="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T5:U11" firstHeaderRow="1" firstDataRow="1"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showAll="0"/>
    <pivotField showAll="0">
      <items count="5">
        <item x="2"/>
        <item x="1"/>
        <item x="0"/>
        <item x="3"/>
        <item t="default"/>
      </items>
    </pivotField>
    <pivotField showAll="0" measureFilter="1" sortType="descending">
      <autoSortScope>
        <pivotArea dataOnly="0" outline="0" fieldPosition="0">
          <references count="1">
            <reference field="4294967294" count="1" selected="0">
              <x v="0"/>
            </reference>
          </references>
        </pivotArea>
      </autoSortScope>
    </pivotField>
    <pivotField axis="axisRow" showAll="0" measureFilter="1" sortType="descending">
      <items count="32">
        <item x="14"/>
        <item x="17"/>
        <item x="15"/>
        <item x="1"/>
        <item x="22"/>
        <item x="5"/>
        <item x="21"/>
        <item x="10"/>
        <item x="11"/>
        <item x="4"/>
        <item x="19"/>
        <item x="0"/>
        <item x="12"/>
        <item x="24"/>
        <item x="30"/>
        <item x="25"/>
        <item x="7"/>
        <item x="13"/>
        <item x="6"/>
        <item x="29"/>
        <item x="23"/>
        <item x="3"/>
        <item x="28"/>
        <item x="2"/>
        <item x="16"/>
        <item x="20"/>
        <item x="26"/>
        <item x="27"/>
        <item x="18"/>
        <item x="8"/>
        <item x="9"/>
        <item t="default"/>
      </items>
    </pivotField>
    <pivotField showAll="0"/>
    <pivotField numFmtId="165" showAll="0"/>
    <pivotField numFmtId="165" showAll="0"/>
    <pivotField dataField="1"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showAll="0">
      <items count="3">
        <item x="1"/>
        <item x="0"/>
        <item t="default"/>
      </items>
    </pivotField>
  </pivotFields>
  <rowFields count="1">
    <field x="4"/>
  </rowFields>
  <rowItems count="6">
    <i>
      <x v="1"/>
    </i>
    <i>
      <x v="11"/>
    </i>
    <i>
      <x v="22"/>
    </i>
    <i>
      <x v="23"/>
    </i>
    <i>
      <x v="29"/>
    </i>
    <i t="grand">
      <x/>
    </i>
  </rowItems>
  <colItems count="1">
    <i/>
  </colItems>
  <dataFields count="1">
    <dataField name="Sum of Profit" fld="8" baseField="3" baseItem="1" numFmtId="165"/>
  </dataFields>
  <pivotTableStyleInfo name="PivotStyleLight16" showRowHeaders="1" showColHeaders="1" showRowStripes="0" showColStripes="0" showLastColumn="1"/>
  <filters count="2">
    <filter fld="3" type="count" evalOrder="-1" id="3" iMeasureFld="0">
      <autoFilter ref="A1">
        <filterColumn colId="0">
          <top10 val="5" filterVal="5"/>
        </filterColumn>
      </autoFilter>
    </filter>
    <filter fld="4"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065601-0FC1-454E-B41F-9D410A01D4C6}" name="PivotTable16" cacheId="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Q18:R21" firstHeaderRow="1" firstDataRow="1"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showAll="0"/>
    <pivotField showAll="0">
      <items count="5">
        <item x="2"/>
        <item x="1"/>
        <item x="0"/>
        <item x="3"/>
        <item t="default"/>
      </items>
    </pivotField>
    <pivotField axis="axisRow" showAll="0" measureFilter="1">
      <items count="7">
        <item x="5"/>
        <item x="2"/>
        <item x="0"/>
        <item x="1"/>
        <item x="3"/>
        <item x="4"/>
        <item t="default"/>
      </items>
    </pivotField>
    <pivotField showAll="0">
      <items count="32">
        <item x="9"/>
        <item x="8"/>
        <item x="18"/>
        <item x="27"/>
        <item x="26"/>
        <item x="20"/>
        <item x="16"/>
        <item x="2"/>
        <item x="28"/>
        <item x="3"/>
        <item x="23"/>
        <item x="29"/>
        <item x="6"/>
        <item x="13"/>
        <item x="7"/>
        <item x="25"/>
        <item x="30"/>
        <item x="24"/>
        <item x="12"/>
        <item x="0"/>
        <item x="19"/>
        <item x="4"/>
        <item x="11"/>
        <item x="10"/>
        <item x="21"/>
        <item x="5"/>
        <item x="22"/>
        <item x="1"/>
        <item x="15"/>
        <item x="17"/>
        <item x="14"/>
        <item t="default"/>
      </items>
    </pivotField>
    <pivotField showAll="0"/>
    <pivotField numFmtId="165" showAll="0"/>
    <pivotField numFmtId="165" showAll="0"/>
    <pivotField dataField="1"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showAll="0">
      <items count="3">
        <item x="1"/>
        <item x="0"/>
        <item t="default"/>
      </items>
    </pivotField>
  </pivotFields>
  <rowFields count="1">
    <field x="3"/>
  </rowFields>
  <rowItems count="3">
    <i>
      <x/>
    </i>
    <i>
      <x v="3"/>
    </i>
    <i t="grand">
      <x/>
    </i>
  </rowItems>
  <colItems count="1">
    <i/>
  </colItems>
  <dataFields count="1">
    <dataField name="Sum of Profit" fld="8" baseField="3" baseItem="1" numFmtId="165"/>
  </dataFields>
  <pivotTableStyleInfo name="PivotStyleLight16" showRowHeaders="1" showColHeaders="1" showRowStripes="0" showColStripes="0" showLastColumn="1"/>
  <filters count="1">
    <filter fld="3" type="count" evalOrder="-1" id="4" iMeasureFld="0">
      <autoFilter ref="A1">
        <filterColumn colId="0">
          <top10 top="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BC4431-AABE-4D9A-9223-1A3D2E4D537F}" name="PivotTable8" cacheId="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Q5:R12" firstHeaderRow="1" firstDataRow="1"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showAll="0"/>
    <pivotField showAll="0">
      <items count="5">
        <item x="2"/>
        <item x="1"/>
        <item x="0"/>
        <item x="3"/>
        <item t="default"/>
      </items>
    </pivotField>
    <pivotField axis="axisRow" showAll="0" sortType="ascending">
      <items count="7">
        <item x="5"/>
        <item x="2"/>
        <item x="3"/>
        <item x="0"/>
        <item x="1"/>
        <item x="4"/>
        <item t="default"/>
      </items>
    </pivotField>
    <pivotField showAll="0">
      <items count="32">
        <item x="9"/>
        <item x="8"/>
        <item x="18"/>
        <item x="27"/>
        <item x="26"/>
        <item x="20"/>
        <item x="16"/>
        <item x="2"/>
        <item x="28"/>
        <item x="3"/>
        <item x="23"/>
        <item x="29"/>
        <item x="6"/>
        <item x="13"/>
        <item x="7"/>
        <item x="25"/>
        <item x="30"/>
        <item x="24"/>
        <item x="12"/>
        <item x="0"/>
        <item x="19"/>
        <item x="4"/>
        <item x="11"/>
        <item x="10"/>
        <item x="21"/>
        <item x="5"/>
        <item x="22"/>
        <item x="1"/>
        <item x="15"/>
        <item x="17"/>
        <item x="14"/>
        <item t="default"/>
      </items>
    </pivotField>
    <pivotField showAll="0"/>
    <pivotField numFmtId="165" showAll="0"/>
    <pivotField numFmtId="165" showAll="0"/>
    <pivotField dataField="1"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showAll="0">
      <items count="3">
        <item x="1"/>
        <item x="0"/>
        <item t="default"/>
      </items>
    </pivotField>
  </pivotFields>
  <rowFields count="1">
    <field x="3"/>
  </rowFields>
  <rowItems count="7">
    <i>
      <x/>
    </i>
    <i>
      <x v="1"/>
    </i>
    <i>
      <x v="2"/>
    </i>
    <i>
      <x v="3"/>
    </i>
    <i>
      <x v="4"/>
    </i>
    <i>
      <x v="5"/>
    </i>
    <i t="grand">
      <x/>
    </i>
  </rowItems>
  <colItems count="1">
    <i/>
  </colItems>
  <dataFields count="1">
    <dataField name="Sum of Profit" fld="8" baseField="3"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D3042E-45EB-49DA-8763-DB1A8A805726}" name="PivotTable7" cacheId="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I5:J12" firstHeaderRow="1" firstDataRow="1"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showAll="0"/>
    <pivotField axis="axisRow" showAll="0">
      <items count="5">
        <item x="2"/>
        <item x="1"/>
        <item x="0"/>
        <item x="3"/>
        <item t="default"/>
      </items>
    </pivotField>
    <pivotField showAll="0"/>
    <pivotField showAll="0">
      <items count="32">
        <item x="9"/>
        <item x="8"/>
        <item x="18"/>
        <item x="27"/>
        <item x="26"/>
        <item x="20"/>
        <item x="16"/>
        <item x="2"/>
        <item x="28"/>
        <item x="3"/>
        <item x="23"/>
        <item x="29"/>
        <item x="6"/>
        <item x="13"/>
        <item x="7"/>
        <item x="25"/>
        <item x="30"/>
        <item x="24"/>
        <item x="12"/>
        <item x="0"/>
        <item x="19"/>
        <item x="4"/>
        <item x="11"/>
        <item x="10"/>
        <item x="21"/>
        <item x="5"/>
        <item x="22"/>
        <item x="1"/>
        <item x="15"/>
        <item x="17"/>
        <item x="14"/>
        <item t="default"/>
      </items>
    </pivotField>
    <pivotField showAll="0"/>
    <pivotField numFmtId="165" showAll="0"/>
    <pivotField numFmtId="165" showAll="0"/>
    <pivotField dataField="1" numFmtId="165" showAll="0"/>
    <pivotField showAll="0" defaultSubtotal="0"/>
    <pivotField showAll="0" defaultSubtotal="0"/>
    <pivotField showAll="0" defaultSubtotal="0">
      <items count="4">
        <item x="0"/>
        <item x="1"/>
        <item x="2"/>
        <item x="3"/>
      </items>
    </pivotField>
    <pivotField dragToRow="0" dragToCol="0" dragToPage="0" showAll="0" defaultSubtotal="0"/>
    <pivotField axis="axisRow" showAll="0">
      <items count="3">
        <item x="1"/>
        <item x="0"/>
        <item t="default"/>
      </items>
    </pivotField>
  </pivotFields>
  <rowFields count="2">
    <field x="13"/>
    <field x="2"/>
  </rowFields>
  <rowItems count="7">
    <i>
      <x/>
    </i>
    <i r="1">
      <x/>
    </i>
    <i r="1">
      <x v="3"/>
    </i>
    <i>
      <x v="1"/>
    </i>
    <i r="1">
      <x v="1"/>
    </i>
    <i r="1">
      <x v="2"/>
    </i>
    <i t="grand">
      <x/>
    </i>
  </rowItems>
  <colItems count="1">
    <i/>
  </colItems>
  <dataFields count="1">
    <dataField name="Sum of Profit" fld="8" baseField="2"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67B266-42AB-4574-B2E7-2766D7E1EA06}" name="PivotTable6" cacheId="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B5:C12" firstHeaderRow="1" firstDataRow="1"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items count="32">
        <item x="9"/>
        <item x="8"/>
        <item x="18"/>
        <item x="27"/>
        <item x="26"/>
        <item x="20"/>
        <item x="16"/>
        <item x="2"/>
        <item x="28"/>
        <item x="3"/>
        <item x="23"/>
        <item x="29"/>
        <item x="6"/>
        <item x="13"/>
        <item x="7"/>
        <item x="25"/>
        <item x="30"/>
        <item x="24"/>
        <item x="12"/>
        <item x="0"/>
        <item x="19"/>
        <item x="4"/>
        <item x="11"/>
        <item x="10"/>
        <item x="21"/>
        <item x="5"/>
        <item x="22"/>
        <item x="1"/>
        <item x="15"/>
        <item x="17"/>
        <item x="14"/>
        <item t="default"/>
      </items>
    </pivotField>
    <pivotField showAll="0"/>
    <pivotField numFmtId="165" showAll="0"/>
    <pivotField numFmtId="165" showAll="0"/>
    <pivotField dataField="1" numFmtId="165" showAll="0"/>
    <pivotField showAll="0" defaultSubtotal="0"/>
    <pivotField showAll="0" defaultSubtotal="0"/>
    <pivotField showAll="0" defaultSubtotal="0">
      <items count="4">
        <item x="0"/>
        <item x="1"/>
        <item x="2"/>
        <item x="3"/>
      </items>
    </pivotField>
    <pivotField dragToRow="0" dragToCol="0" dragToPage="0" showAll="0" defaultSubtotal="0"/>
    <pivotField axis="axisRow" showAll="0">
      <items count="3">
        <item x="1"/>
        <item x="0"/>
        <item t="default"/>
      </items>
    </pivotField>
  </pivotFields>
  <rowFields count="2">
    <field x="13"/>
    <field x="2"/>
  </rowFields>
  <rowItems count="7">
    <i>
      <x/>
    </i>
    <i r="1">
      <x/>
    </i>
    <i r="1">
      <x v="3"/>
    </i>
    <i>
      <x v="1"/>
    </i>
    <i r="1">
      <x v="2"/>
    </i>
    <i r="1">
      <x v="1"/>
    </i>
    <i t="grand">
      <x/>
    </i>
  </rowItems>
  <colItems count="1">
    <i/>
  </colItems>
  <dataFields count="1">
    <dataField name="Sum of Profit" fld="8"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2B8792-4D8D-4C10-8A12-6D5462E94C61}"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Nama Sales" colHeaderCaption="Region">
  <location ref="I5:N9" firstHeaderRow="1" firstDataRow="3"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showAll="0"/>
    <pivotField axis="axisCol" showAll="0">
      <items count="5">
        <item x="2"/>
        <item x="3"/>
        <item x="1"/>
        <item x="0"/>
        <item t="default"/>
      </items>
    </pivotField>
    <pivotField axis="axisRow" showAll="0" measureFilter="1">
      <items count="7">
        <item x="5"/>
        <item x="2"/>
        <item x="3"/>
        <item x="0"/>
        <item x="1"/>
        <item x="4"/>
        <item t="default"/>
      </items>
    </pivotField>
    <pivotField showAll="0">
      <items count="32">
        <item x="9"/>
        <item x="8"/>
        <item x="18"/>
        <item x="27"/>
        <item x="26"/>
        <item x="20"/>
        <item x="16"/>
        <item x="2"/>
        <item x="28"/>
        <item x="3"/>
        <item x="23"/>
        <item x="29"/>
        <item x="6"/>
        <item x="13"/>
        <item x="7"/>
        <item x="25"/>
        <item x="30"/>
        <item x="24"/>
        <item x="12"/>
        <item x="0"/>
        <item x="19"/>
        <item x="4"/>
        <item x="11"/>
        <item x="10"/>
        <item x="21"/>
        <item x="5"/>
        <item x="22"/>
        <item x="1"/>
        <item x="15"/>
        <item x="17"/>
        <item x="14"/>
        <item t="default"/>
      </items>
    </pivotField>
    <pivotField showAll="0"/>
    <pivotField numFmtId="165" showAll="0"/>
    <pivotField numFmtId="165" showAll="0"/>
    <pivotField dataField="1" numFmtId="165" showAll="0"/>
    <pivotField showAll="0" defaultSubtotal="0"/>
    <pivotField showAll="0" defaultSubtotal="0"/>
    <pivotField showAll="0" defaultSubtotal="0">
      <items count="4">
        <item x="0"/>
        <item x="1"/>
        <item x="2"/>
        <item x="3"/>
      </items>
    </pivotField>
    <pivotField dragToRow="0" dragToCol="0" dragToPage="0" showAll="0" defaultSubtotal="0"/>
    <pivotField axis="axisCol" showAll="0" defaultSubtotal="0">
      <items count="2">
        <item n="West" x="1"/>
        <item n="East" x="0"/>
      </items>
    </pivotField>
  </pivotFields>
  <rowFields count="1">
    <field x="3"/>
  </rowFields>
  <rowItems count="2">
    <i>
      <x v="2"/>
    </i>
    <i t="grand">
      <x/>
    </i>
  </rowItems>
  <colFields count="2">
    <field x="13"/>
    <field x="2"/>
  </colFields>
  <colItems count="5">
    <i>
      <x/>
      <x/>
    </i>
    <i r="1">
      <x v="1"/>
    </i>
    <i>
      <x v="1"/>
      <x v="2"/>
    </i>
    <i r="1">
      <x v="3"/>
    </i>
    <i t="grand">
      <x/>
    </i>
  </colItems>
  <dataFields count="1">
    <dataField name="Profit Summary" fld="8" baseField="0" baseItem="0" numFmtId="42"/>
  </dataFields>
  <formats count="1">
    <format dxfId="97">
      <pivotArea outline="0" collapsedLevelsAreSubtotals="1" fieldPosition="0"/>
    </format>
  </formats>
  <pivotTableStyleInfo name="PivotStyleLight16" showRowHeaders="1" showColHeaders="1" showRowStripes="0" showColStripes="0" showLastColumn="1"/>
  <filters count="1">
    <filter fld="3" type="sum"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B60CCA-F907-4A17-9012-37DDD4A6E2E5}"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Nama Sales" colHeaderCaption="Region">
  <location ref="B5:G14" firstHeaderRow="1" firstDataRow="3"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showAll="0"/>
    <pivotField axis="axisCol" showAll="0">
      <items count="5">
        <item x="2"/>
        <item x="1"/>
        <item x="0"/>
        <item x="3"/>
        <item t="default"/>
      </items>
    </pivotField>
    <pivotField axis="axisRow" showAll="0">
      <items count="7">
        <item x="5"/>
        <item x="2"/>
        <item x="3"/>
        <item x="0"/>
        <item x="1"/>
        <item x="4"/>
        <item t="default"/>
      </items>
    </pivotField>
    <pivotField showAll="0">
      <items count="32">
        <item x="9"/>
        <item x="8"/>
        <item x="18"/>
        <item x="27"/>
        <item x="26"/>
        <item x="20"/>
        <item x="16"/>
        <item x="2"/>
        <item x="28"/>
        <item x="3"/>
        <item x="23"/>
        <item x="29"/>
        <item x="6"/>
        <item x="13"/>
        <item x="7"/>
        <item x="25"/>
        <item x="30"/>
        <item x="24"/>
        <item x="12"/>
        <item x="0"/>
        <item x="19"/>
        <item x="4"/>
        <item x="11"/>
        <item x="10"/>
        <item x="21"/>
        <item x="5"/>
        <item x="22"/>
        <item x="1"/>
        <item x="15"/>
        <item x="17"/>
        <item x="14"/>
        <item t="default"/>
      </items>
    </pivotField>
    <pivotField showAll="0"/>
    <pivotField numFmtId="165" showAll="0"/>
    <pivotField numFmtId="165" showAll="0"/>
    <pivotField dataField="1" numFmtId="165" showAll="0"/>
    <pivotField showAll="0" defaultSubtotal="0"/>
    <pivotField showAll="0" defaultSubtotal="0"/>
    <pivotField showAll="0" defaultSubtotal="0">
      <items count="4">
        <item x="0"/>
        <item x="1"/>
        <item x="2"/>
        <item x="3"/>
      </items>
    </pivotField>
    <pivotField dragToRow="0" dragToCol="0" dragToPage="0" showAll="0" defaultSubtotal="0"/>
    <pivotField axis="axisCol" showAll="0" defaultSubtotal="0">
      <items count="2">
        <item x="1"/>
        <item x="0"/>
      </items>
    </pivotField>
  </pivotFields>
  <rowFields count="1">
    <field x="3"/>
  </rowFields>
  <rowItems count="7">
    <i>
      <x/>
    </i>
    <i>
      <x v="1"/>
    </i>
    <i>
      <x v="2"/>
    </i>
    <i>
      <x v="3"/>
    </i>
    <i>
      <x v="4"/>
    </i>
    <i>
      <x v="5"/>
    </i>
    <i t="grand">
      <x/>
    </i>
  </rowItems>
  <colFields count="2">
    <field x="13"/>
    <field x="2"/>
  </colFields>
  <colItems count="5">
    <i>
      <x/>
      <x/>
    </i>
    <i r="1">
      <x v="3"/>
    </i>
    <i>
      <x v="1"/>
      <x v="1"/>
    </i>
    <i r="1">
      <x v="2"/>
    </i>
    <i t="grand">
      <x/>
    </i>
  </colItems>
  <dataFields count="1">
    <dataField name="Profit Summary" fld="8" baseField="0" baseItem="0" numFmtId="42"/>
  </dataFields>
  <formats count="1">
    <format dxfId="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2BD502-9344-49B3-A7FC-4A5D52B11322}"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ales Name" colHeaderCaption="Region">
  <location ref="B4:G12" firstHeaderRow="1" firstDataRow="2"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showAll="0"/>
    <pivotField axis="axisCol" showAll="0">
      <items count="5">
        <item x="2"/>
        <item x="1"/>
        <item x="0"/>
        <item x="3"/>
        <item t="default"/>
      </items>
    </pivotField>
    <pivotField axis="axisRow" showAll="0">
      <items count="7">
        <item x="5"/>
        <item x="2"/>
        <item x="3"/>
        <item x="0"/>
        <item x="1"/>
        <item x="4"/>
        <item t="default"/>
      </items>
    </pivotField>
    <pivotField showAll="0">
      <items count="32">
        <item x="9"/>
        <item x="8"/>
        <item x="18"/>
        <item x="27"/>
        <item x="26"/>
        <item x="20"/>
        <item x="16"/>
        <item x="2"/>
        <item x="28"/>
        <item x="3"/>
        <item x="23"/>
        <item x="29"/>
        <item x="6"/>
        <item x="13"/>
        <item x="7"/>
        <item x="25"/>
        <item x="30"/>
        <item x="24"/>
        <item x="12"/>
        <item x="0"/>
        <item x="19"/>
        <item x="4"/>
        <item x="11"/>
        <item x="10"/>
        <item x="21"/>
        <item x="5"/>
        <item x="22"/>
        <item x="1"/>
        <item x="15"/>
        <item x="17"/>
        <item x="14"/>
        <item t="default"/>
      </items>
    </pivotField>
    <pivotField showAll="0"/>
    <pivotField numFmtId="165" showAll="0"/>
    <pivotField numFmtId="165" showAll="0"/>
    <pivotField dataField="1" numFmtId="165" showAll="0"/>
    <pivotField showAll="0" defaultSubtotal="0"/>
    <pivotField showAll="0" defaultSubtotal="0"/>
    <pivotField showAll="0" defaultSubtotal="0">
      <items count="4">
        <item x="0"/>
        <item x="1"/>
        <item x="2"/>
        <item x="3"/>
      </items>
    </pivotField>
    <pivotField dragToRow="0" dragToCol="0" dragToPage="0" showAll="0" defaultSubtotal="0"/>
    <pivotField showAll="0" defaultSubtotal="0">
      <items count="2">
        <item x="0"/>
        <item x="1"/>
      </items>
    </pivotField>
  </pivotFields>
  <rowFields count="1">
    <field x="3"/>
  </rowFields>
  <rowItems count="7">
    <i>
      <x/>
    </i>
    <i>
      <x v="1"/>
    </i>
    <i>
      <x v="2"/>
    </i>
    <i>
      <x v="3"/>
    </i>
    <i>
      <x v="4"/>
    </i>
    <i>
      <x v="5"/>
    </i>
    <i t="grand">
      <x/>
    </i>
  </rowItems>
  <colFields count="1">
    <field x="2"/>
  </colFields>
  <colItems count="5">
    <i>
      <x/>
    </i>
    <i>
      <x v="1"/>
    </i>
    <i>
      <x v="2"/>
    </i>
    <i>
      <x v="3"/>
    </i>
    <i t="grand">
      <x/>
    </i>
  </colItems>
  <dataFields count="1">
    <dataField name="Average of Profit" fld="8" subtotal="average" baseField="0" baseItem="0" numFmtId="42"/>
  </dataFields>
  <formats count="2">
    <format dxfId="96">
      <pivotArea outline="0" collapsedLevelsAreSubtotals="1" fieldPosition="0"/>
    </format>
    <format dxfId="9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309BC9-EB69-4EA8-9C80-B99F30F8571E}" name="PivotTable7"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 rowHeaderCaption="Sales Name" colHeaderCaption="Region">
  <location ref="B21:C26" firstHeaderRow="1" firstDataRow="1"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showAll="0"/>
    <pivotField axis="axisRow" showAll="0">
      <items count="5">
        <item x="3"/>
        <item x="2"/>
        <item x="1"/>
        <item x="0"/>
        <item t="default"/>
      </items>
    </pivotField>
    <pivotField showAll="0">
      <items count="7">
        <item x="5"/>
        <item x="2"/>
        <item x="3"/>
        <item x="0"/>
        <item x="1"/>
        <item x="4"/>
        <item t="default"/>
      </items>
    </pivotField>
    <pivotField showAll="0">
      <items count="32">
        <item x="9"/>
        <item x="8"/>
        <item x="18"/>
        <item x="27"/>
        <item x="26"/>
        <item x="20"/>
        <item x="16"/>
        <item x="2"/>
        <item x="28"/>
        <item x="3"/>
        <item x="23"/>
        <item x="29"/>
        <item x="6"/>
        <item x="13"/>
        <item x="7"/>
        <item x="25"/>
        <item x="30"/>
        <item x="24"/>
        <item x="12"/>
        <item x="0"/>
        <item x="19"/>
        <item x="4"/>
        <item x="11"/>
        <item x="10"/>
        <item x="21"/>
        <item x="5"/>
        <item x="22"/>
        <item x="1"/>
        <item x="15"/>
        <item x="17"/>
        <item x="14"/>
        <item t="default"/>
      </items>
    </pivotField>
    <pivotField showAll="0"/>
    <pivotField numFmtId="165" showAll="0"/>
    <pivotField numFmtId="165" showAll="0"/>
    <pivotField dataField="1" numFmtId="165" showAll="0"/>
    <pivotField showAll="0" defaultSubtotal="0"/>
    <pivotField showAll="0" defaultSubtotal="0"/>
    <pivotField showAll="0" defaultSubtotal="0">
      <items count="4">
        <item x="0"/>
        <item x="1"/>
        <item x="2"/>
        <item x="3"/>
      </items>
    </pivotField>
    <pivotField dragToRow="0" dragToCol="0" dragToPage="0" showAll="0" defaultSubtotal="0"/>
    <pivotField showAll="0" defaultSubtotal="0">
      <items count="2">
        <item x="0"/>
        <item x="1"/>
      </items>
    </pivotField>
  </pivotFields>
  <rowFields count="1">
    <field x="2"/>
  </rowFields>
  <rowItems count="5">
    <i>
      <x/>
    </i>
    <i>
      <x v="1"/>
    </i>
    <i>
      <x v="2"/>
    </i>
    <i>
      <x v="3"/>
    </i>
    <i t="grand">
      <x/>
    </i>
  </rowItems>
  <colItems count="1">
    <i/>
  </colItems>
  <dataFields count="1">
    <dataField name="Sum of Profit" fld="8" baseField="0" baseItem="0" numFmtId="42"/>
  </dataFields>
  <formats count="2">
    <format dxfId="93">
      <pivotArea outline="0" collapsedLevelsAreSubtotals="1" fieldPosition="0"/>
    </format>
    <format dxfId="94">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4" name="Tanggal">
      <autoFilter ref="A1">
        <filterColumn colId="0">
          <customFilters and="1">
            <customFilter operator="greaterThanOrEqual" val="44562"/>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62F0BB0-2264-4798-9771-EB14D9503ACE}" name="PivotTable5"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A56:B154" firstHeaderRow="1" firstDataRow="1" firstDataCol="1"/>
  <pivotFields count="14">
    <pivotField axis="axisRow"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showAll="0">
      <items count="6">
        <item x="1"/>
        <item x="0"/>
        <item x="2"/>
        <item x="3"/>
        <item x="4"/>
        <item t="default"/>
      </items>
    </pivotField>
    <pivotField showAll="0">
      <items count="5">
        <item x="2"/>
        <item x="1"/>
        <item x="0"/>
        <item x="3"/>
        <item t="default"/>
      </items>
    </pivotField>
    <pivotField showAll="0">
      <items count="7">
        <item x="5"/>
        <item x="2"/>
        <item x="3"/>
        <item x="0"/>
        <item x="1"/>
        <item x="4"/>
        <item t="default"/>
      </items>
    </pivotField>
    <pivotField showAll="0">
      <items count="32">
        <item x="9"/>
        <item x="8"/>
        <item x="18"/>
        <item x="27"/>
        <item x="26"/>
        <item x="20"/>
        <item x="16"/>
        <item x="2"/>
        <item x="28"/>
        <item x="3"/>
        <item x="23"/>
        <item x="29"/>
        <item x="6"/>
        <item x="13"/>
        <item x="7"/>
        <item x="25"/>
        <item x="30"/>
        <item x="24"/>
        <item x="12"/>
        <item x="0"/>
        <item x="19"/>
        <item x="4"/>
        <item x="11"/>
        <item x="10"/>
        <item x="21"/>
        <item x="5"/>
        <item x="22"/>
        <item x="1"/>
        <item x="15"/>
        <item x="17"/>
        <item x="14"/>
        <item t="default"/>
      </items>
    </pivotField>
    <pivotField dataField="1" showAll="0"/>
    <pivotField numFmtId="165" showAll="0"/>
    <pivotField numFmtId="165" showAll="0"/>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h="1" sd="0" x="0"/>
        <item sd="0" x="1"/>
        <item h="1" sd="0" x="2"/>
        <item h="1" sd="0" x="3"/>
      </items>
    </pivotField>
    <pivotField dragToRow="0" dragToCol="0" dragToPage="0" showAll="0" defaultSubtotal="0"/>
    <pivotField showAll="0" defaultSubtotal="0">
      <items count="2">
        <item x="0"/>
        <item x="1"/>
      </items>
    </pivotField>
  </pivotFields>
  <rowFields count="1">
    <field x="0"/>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Items count="1">
    <i/>
  </colItems>
  <dataFields count="1">
    <dataField name="Sum of Units" fld="5" baseField="0" baseItem="0"/>
  </dataFields>
  <formats count="1">
    <format dxfId="90">
      <pivotArea outline="0" collapsedLevelsAreSubtotals="1" fieldPosition="0"/>
    </format>
  </formats>
  <chartFormats count="3">
    <chartFormat chart="7"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07A0BA6-724B-4039-85C4-618E2A1EC74D}" name="PivotTable4"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35:B42" firstHeaderRow="1" firstDataRow="1"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showAll="0">
      <items count="6">
        <item x="1"/>
        <item x="0"/>
        <item x="2"/>
        <item x="3"/>
        <item x="4"/>
        <item t="default"/>
      </items>
    </pivotField>
    <pivotField showAll="0">
      <items count="5">
        <item x="2"/>
        <item x="1"/>
        <item x="0"/>
        <item x="3"/>
        <item t="default"/>
      </items>
    </pivotField>
    <pivotField axis="axisRow" showAll="0">
      <items count="7">
        <item x="5"/>
        <item x="2"/>
        <item x="3"/>
        <item x="0"/>
        <item x="1"/>
        <item x="4"/>
        <item t="default"/>
      </items>
    </pivotField>
    <pivotField showAll="0">
      <items count="32">
        <item x="9"/>
        <item x="8"/>
        <item x="18"/>
        <item x="27"/>
        <item x="26"/>
        <item x="20"/>
        <item x="16"/>
        <item x="2"/>
        <item x="28"/>
        <item x="3"/>
        <item x="23"/>
        <item x="29"/>
        <item x="6"/>
        <item x="13"/>
        <item x="7"/>
        <item x="25"/>
        <item x="30"/>
        <item x="24"/>
        <item x="12"/>
        <item x="0"/>
        <item x="19"/>
        <item x="4"/>
        <item x="11"/>
        <item x="10"/>
        <item x="21"/>
        <item x="5"/>
        <item x="22"/>
        <item x="1"/>
        <item x="15"/>
        <item x="17"/>
        <item x="14"/>
        <item t="default"/>
      </items>
    </pivotField>
    <pivotField showAll="0"/>
    <pivotField numFmtId="165" showAll="0"/>
    <pivotField numFmtId="165" showAll="0"/>
    <pivotField dataField="1" numFmtId="165" showAll="0"/>
    <pivotField showAll="0" defaultSubtotal="0"/>
    <pivotField showAll="0" defaultSubtotal="0"/>
    <pivotField showAll="0" defaultSubtotal="0">
      <items count="4">
        <item h="1" x="0"/>
        <item x="1"/>
        <item h="1" x="2"/>
        <item h="1" x="3"/>
      </items>
    </pivotField>
    <pivotField dragToRow="0" dragToCol="0" dragToPage="0" showAll="0" defaultSubtotal="0"/>
    <pivotField showAll="0" defaultSubtotal="0">
      <items count="2">
        <item x="0"/>
        <item x="1"/>
      </items>
    </pivotField>
  </pivotFields>
  <rowFields count="1">
    <field x="3"/>
  </rowFields>
  <rowItems count="7">
    <i>
      <x/>
    </i>
    <i>
      <x v="1"/>
    </i>
    <i>
      <x v="2"/>
    </i>
    <i>
      <x v="3"/>
    </i>
    <i>
      <x v="4"/>
    </i>
    <i>
      <x v="5"/>
    </i>
    <i t="grand">
      <x/>
    </i>
  </rowItems>
  <colItems count="1">
    <i/>
  </colItems>
  <dataFields count="1">
    <dataField name="Sum of Profit" fld="8" baseField="0" baseItem="0" numFmtId="42"/>
  </dataFields>
  <formats count="1">
    <format dxfId="9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12FCA67-21AC-4BE5-B031-071812CAB66E}" name="PivotTable3"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22:B27" firstHeaderRow="1" firstDataRow="1"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showAll="0">
      <items count="6">
        <item x="1"/>
        <item x="0"/>
        <item x="2"/>
        <item x="3"/>
        <item x="4"/>
        <item t="default"/>
      </items>
    </pivotField>
    <pivotField axis="axisRow" showAll="0">
      <items count="5">
        <item x="2"/>
        <item x="1"/>
        <item x="0"/>
        <item x="3"/>
        <item t="default"/>
      </items>
    </pivotField>
    <pivotField showAll="0">
      <items count="7">
        <item x="5"/>
        <item x="2"/>
        <item x="3"/>
        <item x="0"/>
        <item x="1"/>
        <item x="4"/>
        <item t="default"/>
      </items>
    </pivotField>
    <pivotField showAll="0">
      <items count="32">
        <item x="9"/>
        <item x="8"/>
        <item x="18"/>
        <item x="27"/>
        <item x="26"/>
        <item x="20"/>
        <item x="16"/>
        <item x="2"/>
        <item x="28"/>
        <item x="3"/>
        <item x="23"/>
        <item x="29"/>
        <item x="6"/>
        <item x="13"/>
        <item x="7"/>
        <item x="25"/>
        <item x="30"/>
        <item x="24"/>
        <item x="12"/>
        <item x="0"/>
        <item x="19"/>
        <item x="4"/>
        <item x="11"/>
        <item x="10"/>
        <item x="21"/>
        <item x="5"/>
        <item x="22"/>
        <item x="1"/>
        <item x="15"/>
        <item x="17"/>
        <item x="14"/>
        <item t="default"/>
      </items>
    </pivotField>
    <pivotField showAll="0"/>
    <pivotField numFmtId="165" showAll="0"/>
    <pivotField numFmtId="165" showAll="0"/>
    <pivotField dataField="1" numFmtId="165" showAll="0"/>
    <pivotField showAll="0" defaultSubtotal="0"/>
    <pivotField showAll="0" defaultSubtotal="0"/>
    <pivotField showAll="0" defaultSubtotal="0">
      <items count="4">
        <item h="1" x="0"/>
        <item x="1"/>
        <item h="1" x="2"/>
        <item h="1" x="3"/>
      </items>
    </pivotField>
    <pivotField dragToRow="0" dragToCol="0" dragToPage="0" showAll="0" defaultSubtotal="0"/>
    <pivotField showAll="0" defaultSubtotal="0">
      <items count="2">
        <item x="0"/>
        <item x="1"/>
      </items>
    </pivotField>
  </pivotFields>
  <rowFields count="1">
    <field x="2"/>
  </rowFields>
  <rowItems count="5">
    <i>
      <x/>
    </i>
    <i>
      <x v="1"/>
    </i>
    <i>
      <x v="2"/>
    </i>
    <i>
      <x v="3"/>
    </i>
    <i t="grand">
      <x/>
    </i>
  </rowItems>
  <colItems count="1">
    <i/>
  </colItems>
  <dataFields count="1">
    <dataField name="Sum of Profit" fld="8" baseField="0" baseItem="0" numFmtId="42"/>
  </dataFields>
  <formats count="1">
    <format dxfId="92">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 chart="5" format="9">
      <pivotArea type="data" outline="0" fieldPosition="0">
        <references count="2">
          <reference field="4294967294" count="1" selected="0">
            <x v="0"/>
          </reference>
          <reference field="2" count="1" selected="0">
            <x v="2"/>
          </reference>
        </references>
      </pivotArea>
    </chartFormat>
    <chartFormat chart="5"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CC4D125-3129-4174-8076-1E02223D9FA4}" name="PivotTable2"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B9" firstHeaderRow="1" firstDataRow="1" firstDataCol="1"/>
  <pivotFields count="14">
    <pivotField numFmtId="16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23"/>
        <item x="114"/>
        <item x="127"/>
        <item x="117"/>
        <item x="116"/>
        <item x="108"/>
        <item x="115"/>
        <item x="97"/>
        <item x="128"/>
        <item x="111"/>
        <item x="121"/>
        <item x="109"/>
        <item x="99"/>
        <item x="122"/>
        <item x="103"/>
        <item x="124"/>
        <item x="106"/>
        <item x="100"/>
        <item x="113"/>
        <item x="104"/>
        <item x="118"/>
        <item x="98"/>
        <item x="125"/>
        <item x="112"/>
        <item x="102"/>
        <item x="119"/>
        <item x="126"/>
        <item x="101"/>
        <item x="105"/>
        <item x="107"/>
        <item x="110"/>
        <item x="120"/>
        <item t="default"/>
      </items>
    </pivotField>
    <pivotField axis="axisRow" showAll="0">
      <items count="6">
        <item x="1"/>
        <item x="0"/>
        <item x="2"/>
        <item x="3"/>
        <item x="4"/>
        <item t="default"/>
      </items>
    </pivotField>
    <pivotField showAll="0">
      <items count="5">
        <item x="2"/>
        <item x="1"/>
        <item x="0"/>
        <item x="3"/>
        <item t="default"/>
      </items>
    </pivotField>
    <pivotField showAll="0">
      <items count="7">
        <item x="5"/>
        <item x="2"/>
        <item x="3"/>
        <item x="0"/>
        <item x="1"/>
        <item x="4"/>
        <item t="default"/>
      </items>
    </pivotField>
    <pivotField showAll="0">
      <items count="32">
        <item x="9"/>
        <item x="8"/>
        <item x="18"/>
        <item x="27"/>
        <item x="26"/>
        <item x="20"/>
        <item x="16"/>
        <item x="2"/>
        <item x="28"/>
        <item x="3"/>
        <item x="23"/>
        <item x="29"/>
        <item x="6"/>
        <item x="13"/>
        <item x="7"/>
        <item x="25"/>
        <item x="30"/>
        <item x="24"/>
        <item x="12"/>
        <item x="0"/>
        <item x="19"/>
        <item x="4"/>
        <item x="11"/>
        <item x="10"/>
        <item x="21"/>
        <item x="5"/>
        <item x="22"/>
        <item x="1"/>
        <item x="15"/>
        <item x="17"/>
        <item x="14"/>
        <item t="default"/>
      </items>
    </pivotField>
    <pivotField showAll="0"/>
    <pivotField numFmtId="165" showAll="0"/>
    <pivotField numFmtId="165" showAll="0"/>
    <pivotField dataField="1" numFmtId="165" showAll="0"/>
    <pivotField showAll="0" defaultSubtotal="0"/>
    <pivotField showAll="0" defaultSubtotal="0"/>
    <pivotField showAll="0" defaultSubtotal="0">
      <items count="4">
        <item h="1" x="0"/>
        <item x="1"/>
        <item h="1" x="2"/>
        <item h="1" x="3"/>
      </items>
    </pivotField>
    <pivotField dragToRow="0" dragToCol="0" dragToPage="0" showAll="0" defaultSubtotal="0"/>
    <pivotField showAll="0" defaultSubtotal="0">
      <items count="2">
        <item x="0"/>
        <item x="1"/>
      </items>
    </pivotField>
  </pivotFields>
  <rowFields count="1">
    <field x="1"/>
  </rowFields>
  <rowItems count="6">
    <i>
      <x/>
    </i>
    <i>
      <x v="1"/>
    </i>
    <i>
      <x v="2"/>
    </i>
    <i>
      <x v="3"/>
    </i>
    <i>
      <x v="4"/>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FE523F70-3D23-4D79-96F8-EF269D477A22}" sourceName="SalesRep">
  <pivotTables>
    <pivotTable tabId="2" name="PivotTable1"/>
  </pivotTables>
  <data>
    <tabular pivotCacheId="1305372647">
      <items count="6">
        <i x="5"/>
        <i x="2"/>
        <i x="3"/>
        <i x="0" s="1"/>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4BF71D-1E0A-4BD2-A243-BB4449BDBABE}" sourceName="Region">
  <pivotTables>
    <pivotTable tabId="11" name="PivotTable7"/>
  </pivotTables>
  <data>
    <tabular pivotCacheId="1305372647">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03D682B9-723B-4D6F-B3DC-899B187BAF49}" sourceName="Customer">
  <pivotTables>
    <pivotTable tabId="14" name="PivotTable2"/>
    <pivotTable tabId="10" name="PivotTable4"/>
    <pivotTable tabId="10" name="PivotTable5"/>
    <pivotTable tabId="14" name="PivotTable3"/>
    <pivotTable tabId="14" name="PivotTable4"/>
    <pivotTable tabId="14" name="PivotTable5"/>
  </pivotTables>
  <data>
    <tabular pivotCacheId="1305372647">
      <items count="31">
        <i x="9" s="1"/>
        <i x="8" s="1"/>
        <i x="18" s="1"/>
        <i x="27" s="1"/>
        <i x="26" s="1"/>
        <i x="20" s="1"/>
        <i x="16" s="1"/>
        <i x="2" s="1"/>
        <i x="28" s="1"/>
        <i x="3" s="1"/>
        <i x="23" s="1"/>
        <i x="29" s="1"/>
        <i x="6" s="1"/>
        <i x="13" s="1"/>
        <i x="7" s="1"/>
        <i x="25" s="1"/>
        <i x="30" s="1"/>
        <i x="24" s="1"/>
        <i x="12" s="1"/>
        <i x="0" s="1"/>
        <i x="19" s="1"/>
        <i x="4" s="1"/>
        <i x="11" s="1"/>
        <i x="10" s="1"/>
        <i x="21" s="1"/>
        <i x="5" s="1"/>
        <i x="22" s="1"/>
        <i x="1" s="1"/>
        <i x="15" s="1"/>
        <i x="17"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anggal" xr10:uid="{C7282A02-18A7-429B-BC8D-337BD1F90290}" sourceName="Years (Tanggal)">
  <pivotTables>
    <pivotTable tabId="14" name="PivotTable2"/>
    <pivotTable tabId="14" name="PivotTable3"/>
    <pivotTable tabId="14" name="PivotTable4"/>
    <pivotTable tabId="14" name="PivotTable5"/>
  </pivotTables>
  <data>
    <tabular pivotCacheId="1305372647">
      <items count="4">
        <i x="1" s="1"/>
        <i x="2"/>
        <i x="0"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k" xr10:uid="{39DF5B4E-6EB6-4BE1-84AE-3B2B954C243E}" sourceName="Produk">
  <pivotTables>
    <pivotTable tabId="14" name="PivotTable2"/>
    <pivotTable tabId="14" name="PivotTable3"/>
    <pivotTable tabId="14" name="PivotTable4"/>
    <pivotTable tabId="14" name="PivotTable5"/>
  </pivotTables>
  <data>
    <tabular pivotCacheId="1305372647">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Rep" xr10:uid="{21299298-3955-444B-9B3B-2AE3D197A717}" cache="Slicer_SalesRep" caption="SalesRe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C467FF-F89B-45A5-B5A1-915AF012E50C}"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B1AF0807-E2CE-4A30-9846-5AA1358327A7}" cache="Slicer_Customer" caption="Customer" startItem="17" rowHeight="241300"/>
  <slicer name="Years (Tanggal)" xr10:uid="{789A587A-AACA-4951-81BA-19AA2A2CB996}" cache="Slicer_Years__Tanggal" caption="Years (Tanggal)"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1" xr10:uid="{8D1E4C39-88F0-4EBF-A5E0-C6810DEE7EFF}" cache="Slicer_Customer" caption="Customer" rowHeight="241300"/>
  <slicer name="Years (Tanggal) 1" xr10:uid="{83BBF05E-118B-4F54-B868-4382C7845199}" cache="Slicer_Years__Tanggal" caption="Years (Tanggal)" rowHeight="241300"/>
  <slicer name="Produk" xr10:uid="{F64FB05A-45E2-403B-AAE9-3093E3AFC917}" cache="Slicer_Produk" caption="Produk"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1B66E-9D20-46B4-BF68-E45C2B8FE691}" name="tPenjualan" displayName="tPenjualan" ref="A2:I145" totalsRowShown="0" headerRowDxfId="109" tableBorderDxfId="108">
  <autoFilter ref="A2:I145" xr:uid="{A3C1B66E-9D20-46B4-BF68-E45C2B8FE691}"/>
  <tableColumns count="9">
    <tableColumn id="1" xr3:uid="{877B8FD0-4A32-4272-B8F1-DF93FD4A3B3A}" name="Tanggal" dataDxfId="107"/>
    <tableColumn id="2" xr3:uid="{1B9C123F-EC9A-49C0-8A16-79177A913005}" name="Produk" dataDxfId="106"/>
    <tableColumn id="3" xr3:uid="{48F55F3F-B8D2-44BF-A93D-B466C6F66E9A}" name="Region" dataDxfId="105"/>
    <tableColumn id="4" xr3:uid="{A4C90B70-F4C4-4A56-9B51-5C7471F4BA08}" name="SalesRep" dataDxfId="104"/>
    <tableColumn id="5" xr3:uid="{CA0B2D8C-1FCC-4CEA-B4BB-8047CA887A92}" name="Customer" dataDxfId="103"/>
    <tableColumn id="6" xr3:uid="{F0402F78-30D5-4BEE-91B2-B98250EB8769}" name="Units" dataDxfId="102"/>
    <tableColumn id="7" xr3:uid="{AFE0B82D-29B6-432D-AF92-8955E606BA34}" name="Penjualan" dataDxfId="101"/>
    <tableColumn id="8" xr3:uid="{5AE7A8EE-C60C-43E1-9C08-207018EE4D6D}" name="COGS" dataDxfId="100"/>
    <tableColumn id="9" xr3:uid="{9DF57634-BC9D-484D-AEFD-864BB2488814}" name="Profit" dataDxfId="99">
      <calculatedColumnFormula>tPenjualan[[#This Row],[Penjualan]]-tPenjualan[[#This Row],[COGS]]</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 xr10:uid="{AFEF72F3-4A5D-48CC-BAF9-E3C5F9A6F8D9}" sourceName="Tanggal">
  <pivotTables>
    <pivotTable tabId="11" name="PivotTable7"/>
  </pivotTables>
  <state minimalRefreshVersion="6" lastRefreshVersion="6" pivotCacheId="1305372647" filterType="dateBetween">
    <selection startDate="2022-01-01T00:00:00" endDate="2022-01-31T00:00:00"/>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1" xr10:uid="{A687BA9F-DE46-4398-BEA0-8B68DD8424AB}" sourceName="Tanggal">
  <pivotTables>
    <pivotTable tabId="14" name="PivotTable2"/>
    <pivotTable tabId="14" name="PivotTable3"/>
    <pivotTable tabId="14" name="PivotTable4"/>
    <pivotTable tabId="14" name="PivotTable5"/>
  </pivotTables>
  <state minimalRefreshVersion="6" lastRefreshVersion="6" pivotCacheId="1305372647" filterType="dateBetween">
    <selection startDate="2022-01-01T00:00:00" endDate="2022-12-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xr10:uid="{A0F2B5F9-2980-462D-86D9-A7E3042CBC2F}" cache="NativeTimeline_Tanggal" caption="Tanggal" level="2" selectionLevel="2" scrollPosition="2021-09-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1" xr10:uid="{3679D244-D37C-4D82-931F-41D7A249C838}" cache="NativeTimeline_Tanggal1" caption="Tanggal" level="0" selectionLevel="0" scrollPosition="2021-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11/relationships/timeline" Target="../timelines/timeline1.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microsoft.com/office/2011/relationships/timeline" Target="../timelines/timeline2.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microsoft.com/office/2007/relationships/slicer" Target="../slicers/slicer3.xml"/><Relationship Id="rId5" Type="http://schemas.openxmlformats.org/officeDocument/2006/relationships/drawing" Target="../drawings/drawing5.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2:Y145"/>
  <sheetViews>
    <sheetView showGridLines="0" topLeftCell="A3" zoomScaleNormal="100" workbookViewId="0">
      <selection activeCell="A2" sqref="A2:I145"/>
    </sheetView>
  </sheetViews>
  <sheetFormatPr defaultRowHeight="15" x14ac:dyDescent="0.25"/>
  <cols>
    <col min="1" max="1" width="9.28515625" customWidth="1"/>
    <col min="2" max="2" width="9" customWidth="1"/>
    <col min="3" max="3" width="11" bestFit="1" customWidth="1"/>
    <col min="4" max="4" width="13.85546875" bestFit="1" customWidth="1"/>
    <col min="5" max="5" width="11.28515625" customWidth="1"/>
    <col min="6" max="6" width="7.28515625" customWidth="1"/>
    <col min="7" max="8" width="13.140625" bestFit="1" customWidth="1"/>
    <col min="9" max="10" width="13.140625" customWidth="1"/>
    <col min="11" max="11" width="13.140625" bestFit="1" customWidth="1"/>
    <col min="12" max="12" width="16.28515625" bestFit="1" customWidth="1"/>
    <col min="13" max="17" width="14" bestFit="1" customWidth="1"/>
    <col min="18" max="18" width="15" bestFit="1" customWidth="1"/>
    <col min="19" max="19" width="15.140625" bestFit="1" customWidth="1"/>
    <col min="20" max="20" width="12.42578125" bestFit="1" customWidth="1"/>
    <col min="21" max="21" width="13.5703125" bestFit="1" customWidth="1"/>
    <col min="22" max="22" width="12.42578125" bestFit="1" customWidth="1"/>
    <col min="23" max="23" width="13.5703125" bestFit="1" customWidth="1"/>
    <col min="24" max="25" width="12.42578125" bestFit="1" customWidth="1"/>
    <col min="26" max="26" width="13.5703125" bestFit="1" customWidth="1"/>
    <col min="27" max="30" width="12.42578125" bestFit="1" customWidth="1"/>
    <col min="31" max="31" width="13.5703125" bestFit="1" customWidth="1"/>
    <col min="32" max="34" width="12.42578125" bestFit="1" customWidth="1"/>
    <col min="35" max="36" width="13.5703125" bestFit="1" customWidth="1"/>
    <col min="37" max="37" width="15.140625" bestFit="1" customWidth="1"/>
  </cols>
  <sheetData>
    <row r="2" spans="1:25" x14ac:dyDescent="0.25">
      <c r="A2" s="1" t="s">
        <v>0</v>
      </c>
      <c r="B2" s="1" t="s">
        <v>1</v>
      </c>
      <c r="C2" s="1" t="s">
        <v>2</v>
      </c>
      <c r="D2" s="1" t="s">
        <v>3</v>
      </c>
      <c r="E2" s="1" t="s">
        <v>4</v>
      </c>
      <c r="F2" s="1" t="s">
        <v>5</v>
      </c>
      <c r="G2" s="1" t="s">
        <v>6</v>
      </c>
      <c r="H2" s="1" t="s">
        <v>7</v>
      </c>
      <c r="I2" s="1" t="s">
        <v>8</v>
      </c>
      <c r="K2" s="1" t="s">
        <v>9</v>
      </c>
      <c r="X2" t="s">
        <v>9</v>
      </c>
    </row>
    <row r="3" spans="1:25" x14ac:dyDescent="0.25">
      <c r="A3" s="2">
        <v>44197</v>
      </c>
      <c r="B3" s="3" t="s">
        <v>9</v>
      </c>
      <c r="C3" s="3" t="s">
        <v>10</v>
      </c>
      <c r="D3" s="3" t="s">
        <v>11</v>
      </c>
      <c r="E3" s="3" t="s">
        <v>12</v>
      </c>
      <c r="F3" s="3">
        <v>64</v>
      </c>
      <c r="G3" s="4">
        <v>25932150</v>
      </c>
      <c r="H3" s="4">
        <v>13925700</v>
      </c>
      <c r="I3" s="16">
        <f>tPenjualan[[#This Row],[Penjualan]]-tPenjualan[[#This Row],[COGS]]</f>
        <v>12006450</v>
      </c>
      <c r="J3" s="12"/>
      <c r="Y3" t="s">
        <v>13</v>
      </c>
    </row>
    <row r="4" spans="1:25" x14ac:dyDescent="0.25">
      <c r="A4" s="2">
        <v>44198</v>
      </c>
      <c r="B4" s="3" t="s">
        <v>13</v>
      </c>
      <c r="C4" s="3" t="s">
        <v>14</v>
      </c>
      <c r="D4" s="3" t="s">
        <v>15</v>
      </c>
      <c r="E4" s="3" t="s">
        <v>16</v>
      </c>
      <c r="F4" s="3">
        <v>26</v>
      </c>
      <c r="G4" s="4">
        <v>8586300</v>
      </c>
      <c r="H4" s="4">
        <v>3904049.9999999995</v>
      </c>
      <c r="I4" s="4">
        <f>tPenjualan[[#This Row],[Penjualan]]-tPenjualan[[#This Row],[COGS]]</f>
        <v>4682250</v>
      </c>
      <c r="J4" s="12"/>
      <c r="K4" s="1" t="s">
        <v>6</v>
      </c>
      <c r="L4" s="11"/>
      <c r="M4" t="e">
        <f ca="1">_xlfn.FORMULATEXT(L4)</f>
        <v>#N/A</v>
      </c>
      <c r="Y4" t="s">
        <v>17</v>
      </c>
    </row>
    <row r="5" spans="1:25" x14ac:dyDescent="0.25">
      <c r="A5" s="2">
        <v>44201</v>
      </c>
      <c r="B5" s="3" t="s">
        <v>17</v>
      </c>
      <c r="C5" s="3" t="s">
        <v>14</v>
      </c>
      <c r="D5" s="3" t="s">
        <v>18</v>
      </c>
      <c r="E5" s="3" t="s">
        <v>19</v>
      </c>
      <c r="F5" s="3">
        <v>52</v>
      </c>
      <c r="G5" s="4">
        <v>17940450</v>
      </c>
      <c r="H5" s="4">
        <v>8592150</v>
      </c>
      <c r="I5" s="4">
        <f>tPenjualan[[#This Row],[Penjualan]]-tPenjualan[[#This Row],[COGS]]</f>
        <v>9348300</v>
      </c>
      <c r="J5" s="12"/>
      <c r="K5" s="5"/>
      <c r="L5" s="9"/>
      <c r="Y5" t="s">
        <v>20</v>
      </c>
    </row>
    <row r="6" spans="1:25" x14ac:dyDescent="0.25">
      <c r="A6" s="2">
        <v>44201</v>
      </c>
      <c r="B6" s="3" t="s">
        <v>20</v>
      </c>
      <c r="C6" s="3" t="s">
        <v>14</v>
      </c>
      <c r="D6" s="3" t="s">
        <v>21</v>
      </c>
      <c r="E6" s="3" t="s">
        <v>22</v>
      </c>
      <c r="F6" s="3">
        <v>13</v>
      </c>
      <c r="G6" s="4">
        <v>4096500.0000000005</v>
      </c>
      <c r="H6" s="4">
        <v>1809600</v>
      </c>
      <c r="I6" s="4">
        <f>tPenjualan[[#This Row],[Penjualan]]-tPenjualan[[#This Row],[COGS]]</f>
        <v>2286900.0000000005</v>
      </c>
      <c r="J6" s="12"/>
      <c r="K6" s="13" t="s">
        <v>61</v>
      </c>
      <c r="L6" s="13" t="s">
        <v>68</v>
      </c>
      <c r="Y6" t="s">
        <v>23</v>
      </c>
    </row>
    <row r="7" spans="1:25" x14ac:dyDescent="0.25">
      <c r="A7" s="2">
        <v>44202</v>
      </c>
      <c r="B7" s="3" t="s">
        <v>23</v>
      </c>
      <c r="C7" s="3" t="s">
        <v>24</v>
      </c>
      <c r="D7" s="3" t="s">
        <v>25</v>
      </c>
      <c r="E7" s="3" t="s">
        <v>26</v>
      </c>
      <c r="F7" s="3">
        <v>54</v>
      </c>
      <c r="G7" s="4">
        <v>15404400</v>
      </c>
      <c r="H7" s="4">
        <v>6491250</v>
      </c>
      <c r="I7" s="4">
        <f>tPenjualan[[#This Row],[Penjualan]]-tPenjualan[[#This Row],[COGS]]</f>
        <v>8913150</v>
      </c>
      <c r="L7" t="s">
        <v>69</v>
      </c>
      <c r="N7" t="s">
        <v>70</v>
      </c>
      <c r="O7" t="s">
        <v>71</v>
      </c>
      <c r="Q7" t="s">
        <v>72</v>
      </c>
      <c r="R7" t="s">
        <v>62</v>
      </c>
    </row>
    <row r="8" spans="1:25" x14ac:dyDescent="0.25">
      <c r="A8" s="6">
        <v>44203</v>
      </c>
      <c r="B8" s="7" t="s">
        <v>23</v>
      </c>
      <c r="C8" s="7" t="s">
        <v>14</v>
      </c>
      <c r="D8" s="7" t="s">
        <v>15</v>
      </c>
      <c r="E8" s="7" t="s">
        <v>27</v>
      </c>
      <c r="F8" s="7">
        <v>30</v>
      </c>
      <c r="G8" s="8">
        <v>8553300</v>
      </c>
      <c r="H8" s="8">
        <v>3610050</v>
      </c>
      <c r="I8" s="4">
        <f>tPenjualan[[#This Row],[Penjualan]]-tPenjualan[[#This Row],[COGS]]</f>
        <v>4943250</v>
      </c>
      <c r="K8" s="13" t="s">
        <v>60</v>
      </c>
      <c r="L8" t="s">
        <v>24</v>
      </c>
      <c r="M8" t="s">
        <v>28</v>
      </c>
      <c r="O8" t="s">
        <v>14</v>
      </c>
      <c r="P8" t="s">
        <v>10</v>
      </c>
    </row>
    <row r="9" spans="1:25" x14ac:dyDescent="0.25">
      <c r="A9" s="2">
        <v>44203</v>
      </c>
      <c r="B9" s="3" t="s">
        <v>23</v>
      </c>
      <c r="C9" s="3" t="s">
        <v>28</v>
      </c>
      <c r="D9" s="3" t="s">
        <v>21</v>
      </c>
      <c r="E9" s="3" t="s">
        <v>26</v>
      </c>
      <c r="F9" s="3">
        <v>33</v>
      </c>
      <c r="G9" s="4">
        <v>9409800</v>
      </c>
      <c r="H9" s="4">
        <v>3968100.0000000005</v>
      </c>
      <c r="I9" s="4">
        <f>tPenjualan[[#This Row],[Penjualan]]-tPenjualan[[#This Row],[COGS]]</f>
        <v>5441700</v>
      </c>
      <c r="K9" s="14" t="s">
        <v>13</v>
      </c>
      <c r="L9" s="19"/>
      <c r="M9" s="19">
        <v>20152800</v>
      </c>
      <c r="N9" s="19">
        <v>20152800</v>
      </c>
      <c r="O9" s="19">
        <v>16208400</v>
      </c>
      <c r="P9" s="19">
        <v>6292800</v>
      </c>
      <c r="Q9" s="19">
        <v>22501200</v>
      </c>
      <c r="R9" s="19">
        <v>42654000</v>
      </c>
    </row>
    <row r="10" spans="1:25" x14ac:dyDescent="0.25">
      <c r="A10" s="2">
        <v>44204</v>
      </c>
      <c r="B10" s="3" t="s">
        <v>9</v>
      </c>
      <c r="C10" s="3" t="s">
        <v>10</v>
      </c>
      <c r="D10" s="3" t="s">
        <v>29</v>
      </c>
      <c r="E10" s="3" t="s">
        <v>30</v>
      </c>
      <c r="F10" s="3">
        <v>56</v>
      </c>
      <c r="G10" s="4">
        <v>22689000</v>
      </c>
      <c r="H10" s="4">
        <v>12192450</v>
      </c>
      <c r="I10" s="4">
        <f>tPenjualan[[#This Row],[Penjualan]]-tPenjualan[[#This Row],[COGS]]</f>
        <v>10496550</v>
      </c>
      <c r="K10" s="14" t="s">
        <v>9</v>
      </c>
      <c r="L10" s="19">
        <v>1005150</v>
      </c>
      <c r="M10" s="19"/>
      <c r="N10" s="19">
        <v>1005150</v>
      </c>
      <c r="O10" s="19">
        <v>9385800</v>
      </c>
      <c r="P10" s="19">
        <v>12006450</v>
      </c>
      <c r="Q10" s="19">
        <v>21392250</v>
      </c>
      <c r="R10" s="19">
        <v>22397400</v>
      </c>
    </row>
    <row r="11" spans="1:25" x14ac:dyDescent="0.25">
      <c r="A11" s="2">
        <v>44208</v>
      </c>
      <c r="B11" s="3" t="s">
        <v>17</v>
      </c>
      <c r="C11" s="3" t="s">
        <v>24</v>
      </c>
      <c r="D11" s="3" t="s">
        <v>11</v>
      </c>
      <c r="E11" s="3" t="s">
        <v>12</v>
      </c>
      <c r="F11" s="3">
        <v>39</v>
      </c>
      <c r="G11" s="4">
        <v>13464450</v>
      </c>
      <c r="H11" s="4">
        <v>6445200</v>
      </c>
      <c r="I11" s="4">
        <f>tPenjualan[[#This Row],[Penjualan]]-tPenjualan[[#This Row],[COGS]]</f>
        <v>7019250</v>
      </c>
      <c r="K11" s="14" t="s">
        <v>17</v>
      </c>
      <c r="L11" s="19">
        <v>7019250</v>
      </c>
      <c r="M11" s="19"/>
      <c r="N11" s="19">
        <v>7019250</v>
      </c>
      <c r="O11" s="19"/>
      <c r="P11" s="19">
        <v>3231000</v>
      </c>
      <c r="Q11" s="19">
        <v>3231000</v>
      </c>
      <c r="R11" s="19">
        <v>10250250</v>
      </c>
    </row>
    <row r="12" spans="1:25" x14ac:dyDescent="0.25">
      <c r="A12" s="2">
        <v>44214</v>
      </c>
      <c r="B12" s="3" t="s">
        <v>9</v>
      </c>
      <c r="C12" s="3" t="s">
        <v>14</v>
      </c>
      <c r="D12" s="3" t="s">
        <v>29</v>
      </c>
      <c r="E12" s="3" t="s">
        <v>31</v>
      </c>
      <c r="F12" s="3">
        <v>56</v>
      </c>
      <c r="G12" s="4">
        <v>22682850</v>
      </c>
      <c r="H12" s="4">
        <v>12183900</v>
      </c>
      <c r="I12" s="4">
        <f>tPenjualan[[#This Row],[Penjualan]]-tPenjualan[[#This Row],[COGS]]</f>
        <v>10498950</v>
      </c>
      <c r="K12" s="14" t="s">
        <v>20</v>
      </c>
      <c r="L12" s="19"/>
      <c r="M12" s="19">
        <v>14078550</v>
      </c>
      <c r="N12" s="19">
        <v>14078550</v>
      </c>
      <c r="O12" s="19">
        <v>32083500</v>
      </c>
      <c r="P12" s="19"/>
      <c r="Q12" s="19">
        <v>32083500</v>
      </c>
      <c r="R12" s="19">
        <v>46162050</v>
      </c>
    </row>
    <row r="13" spans="1:25" x14ac:dyDescent="0.25">
      <c r="A13" s="2">
        <v>44218</v>
      </c>
      <c r="B13" s="3" t="s">
        <v>23</v>
      </c>
      <c r="C13" s="3" t="s">
        <v>10</v>
      </c>
      <c r="D13" s="3" t="s">
        <v>11</v>
      </c>
      <c r="E13" s="3" t="s">
        <v>32</v>
      </c>
      <c r="F13" s="3">
        <v>8</v>
      </c>
      <c r="G13" s="4">
        <v>2283600</v>
      </c>
      <c r="H13" s="4">
        <v>974849.99999999988</v>
      </c>
      <c r="I13" s="4">
        <f>tPenjualan[[#This Row],[Penjualan]]-tPenjualan[[#This Row],[COGS]]</f>
        <v>1308750</v>
      </c>
      <c r="K13" s="14" t="s">
        <v>23</v>
      </c>
      <c r="L13" s="19"/>
      <c r="M13" s="19"/>
      <c r="N13" s="19"/>
      <c r="O13" s="19">
        <v>4798800</v>
      </c>
      <c r="P13" s="19">
        <v>10890000</v>
      </c>
      <c r="Q13" s="19">
        <v>15688800</v>
      </c>
      <c r="R13" s="19">
        <v>15688800</v>
      </c>
    </row>
    <row r="14" spans="1:25" x14ac:dyDescent="0.25">
      <c r="A14" s="2">
        <v>44219</v>
      </c>
      <c r="B14" s="3" t="s">
        <v>23</v>
      </c>
      <c r="C14" s="3" t="s">
        <v>24</v>
      </c>
      <c r="D14" s="3" t="s">
        <v>25</v>
      </c>
      <c r="E14" s="3" t="s">
        <v>33</v>
      </c>
      <c r="F14" s="3">
        <v>24</v>
      </c>
      <c r="G14" s="4">
        <v>6846150</v>
      </c>
      <c r="H14" s="4">
        <v>2882100</v>
      </c>
      <c r="I14" s="4">
        <f>tPenjualan[[#This Row],[Penjualan]]-tPenjualan[[#This Row],[COGS]]</f>
        <v>3964050</v>
      </c>
      <c r="K14" s="14" t="s">
        <v>62</v>
      </c>
      <c r="L14" s="19">
        <v>8024400</v>
      </c>
      <c r="M14" s="19">
        <v>34231350</v>
      </c>
      <c r="N14" s="19">
        <v>42255750</v>
      </c>
      <c r="O14" s="19">
        <v>62476500</v>
      </c>
      <c r="P14" s="19">
        <v>32420250</v>
      </c>
      <c r="Q14" s="19">
        <v>94896750</v>
      </c>
      <c r="R14" s="19">
        <v>137152500</v>
      </c>
    </row>
    <row r="15" spans="1:25" x14ac:dyDescent="0.25">
      <c r="A15" s="2">
        <v>44222</v>
      </c>
      <c r="B15" s="3" t="s">
        <v>9</v>
      </c>
      <c r="C15" s="3" t="s">
        <v>24</v>
      </c>
      <c r="D15" s="3" t="s">
        <v>29</v>
      </c>
      <c r="E15" s="3" t="s">
        <v>34</v>
      </c>
      <c r="F15" s="3">
        <v>43</v>
      </c>
      <c r="G15" s="4">
        <v>17418750</v>
      </c>
      <c r="H15" s="4">
        <v>9356250</v>
      </c>
      <c r="I15" s="4">
        <f>tPenjualan[[#This Row],[Penjualan]]-tPenjualan[[#This Row],[COGS]]</f>
        <v>8062500</v>
      </c>
    </row>
    <row r="16" spans="1:25" x14ac:dyDescent="0.25">
      <c r="A16" s="2">
        <v>44223</v>
      </c>
      <c r="B16" s="3" t="s">
        <v>13</v>
      </c>
      <c r="C16" s="3" t="s">
        <v>14</v>
      </c>
      <c r="D16" s="3" t="s">
        <v>11</v>
      </c>
      <c r="E16" s="3" t="s">
        <v>35</v>
      </c>
      <c r="F16" s="3">
        <v>25</v>
      </c>
      <c r="G16" s="4">
        <v>8255850</v>
      </c>
      <c r="H16" s="4">
        <v>3756900</v>
      </c>
      <c r="I16" s="4">
        <f>tPenjualan[[#This Row],[Penjualan]]-tPenjualan[[#This Row],[COGS]]</f>
        <v>4498950</v>
      </c>
    </row>
    <row r="17" spans="1:17" x14ac:dyDescent="0.25">
      <c r="A17" s="2">
        <v>44233</v>
      </c>
      <c r="B17" s="3" t="s">
        <v>17</v>
      </c>
      <c r="C17" s="3" t="s">
        <v>24</v>
      </c>
      <c r="D17" s="3" t="s">
        <v>21</v>
      </c>
      <c r="E17" s="3" t="s">
        <v>33</v>
      </c>
      <c r="F17" s="3">
        <v>63</v>
      </c>
      <c r="G17" s="4">
        <v>21738150</v>
      </c>
      <c r="H17" s="4">
        <v>10404600</v>
      </c>
      <c r="I17" s="4">
        <f>tPenjualan[[#This Row],[Penjualan]]-tPenjualan[[#This Row],[COGS]]</f>
        <v>11333550</v>
      </c>
    </row>
    <row r="18" spans="1:17" x14ac:dyDescent="0.25">
      <c r="A18" s="2">
        <v>44238</v>
      </c>
      <c r="B18" s="3" t="s">
        <v>17</v>
      </c>
      <c r="C18" s="3" t="s">
        <v>14</v>
      </c>
      <c r="D18" s="3" t="s">
        <v>25</v>
      </c>
      <c r="E18" s="3" t="s">
        <v>36</v>
      </c>
      <c r="F18" s="3">
        <v>46</v>
      </c>
      <c r="G18" s="4">
        <v>15870150</v>
      </c>
      <c r="H18" s="4">
        <v>7599600</v>
      </c>
      <c r="I18" s="4">
        <f>tPenjualan[[#This Row],[Penjualan]]-tPenjualan[[#This Row],[COGS]]</f>
        <v>8270550</v>
      </c>
    </row>
    <row r="19" spans="1:17" x14ac:dyDescent="0.25">
      <c r="A19" s="2">
        <v>44239</v>
      </c>
      <c r="B19" s="3" t="s">
        <v>23</v>
      </c>
      <c r="C19" s="3" t="s">
        <v>28</v>
      </c>
      <c r="D19" s="3" t="s">
        <v>25</v>
      </c>
      <c r="E19" s="3" t="s">
        <v>37</v>
      </c>
      <c r="F19" s="3">
        <v>21</v>
      </c>
      <c r="G19" s="4">
        <v>5987250</v>
      </c>
      <c r="H19" s="4">
        <v>2534250</v>
      </c>
      <c r="I19" s="4">
        <f>tPenjualan[[#This Row],[Penjualan]]-tPenjualan[[#This Row],[COGS]]</f>
        <v>3453000</v>
      </c>
    </row>
    <row r="20" spans="1:17" x14ac:dyDescent="0.25">
      <c r="A20" s="2">
        <v>44243</v>
      </c>
      <c r="B20" s="3" t="s">
        <v>20</v>
      </c>
      <c r="C20" s="3" t="s">
        <v>24</v>
      </c>
      <c r="D20" s="3" t="s">
        <v>18</v>
      </c>
      <c r="E20" s="3" t="s">
        <v>38</v>
      </c>
      <c r="F20" s="3">
        <v>36</v>
      </c>
      <c r="G20" s="4">
        <v>11346900</v>
      </c>
      <c r="H20" s="4">
        <v>4998000</v>
      </c>
      <c r="I20" s="4">
        <f>tPenjualan[[#This Row],[Penjualan]]-tPenjualan[[#This Row],[COGS]]</f>
        <v>6348900</v>
      </c>
    </row>
    <row r="21" spans="1:17" x14ac:dyDescent="0.25">
      <c r="A21" s="2">
        <v>44252</v>
      </c>
      <c r="B21" s="3" t="s">
        <v>17</v>
      </c>
      <c r="C21" s="3" t="s">
        <v>14</v>
      </c>
      <c r="D21" s="3" t="s">
        <v>18</v>
      </c>
      <c r="E21" s="3" t="s">
        <v>35</v>
      </c>
      <c r="F21" s="3">
        <v>31</v>
      </c>
      <c r="G21" s="4">
        <v>10699200</v>
      </c>
      <c r="H21" s="4">
        <v>5120200</v>
      </c>
      <c r="I21" s="4">
        <f>tPenjualan[[#This Row],[Penjualan]]-tPenjualan[[#This Row],[COGS]]</f>
        <v>5579000</v>
      </c>
    </row>
    <row r="22" spans="1:17" x14ac:dyDescent="0.25">
      <c r="A22" s="2">
        <v>44253</v>
      </c>
      <c r="B22" s="3" t="s">
        <v>13</v>
      </c>
      <c r="C22" s="3" t="s">
        <v>14</v>
      </c>
      <c r="D22" s="3" t="s">
        <v>15</v>
      </c>
      <c r="E22" s="3" t="s">
        <v>39</v>
      </c>
      <c r="F22" s="3">
        <v>7</v>
      </c>
      <c r="G22" s="4">
        <v>2324250</v>
      </c>
      <c r="H22" s="4">
        <v>1059300</v>
      </c>
      <c r="I22" s="4">
        <f>tPenjualan[[#This Row],[Penjualan]]-tPenjualan[[#This Row],[COGS]]</f>
        <v>1264950</v>
      </c>
    </row>
    <row r="23" spans="1:17" x14ac:dyDescent="0.25">
      <c r="A23" s="2">
        <v>44261</v>
      </c>
      <c r="B23" s="3" t="s">
        <v>23</v>
      </c>
      <c r="C23" s="3" t="s">
        <v>10</v>
      </c>
      <c r="D23" s="3" t="s">
        <v>25</v>
      </c>
      <c r="E23" s="3" t="s">
        <v>40</v>
      </c>
      <c r="F23" s="3">
        <v>12</v>
      </c>
      <c r="G23" s="4">
        <v>3433350</v>
      </c>
      <c r="H23" s="4">
        <v>1440300</v>
      </c>
      <c r="I23" s="4">
        <f>tPenjualan[[#This Row],[Penjualan]]-tPenjualan[[#This Row],[COGS]]</f>
        <v>1993050</v>
      </c>
    </row>
    <row r="24" spans="1:17" x14ac:dyDescent="0.25">
      <c r="A24" s="2">
        <v>44261</v>
      </c>
      <c r="B24" s="3" t="s">
        <v>9</v>
      </c>
      <c r="C24" s="3" t="s">
        <v>24</v>
      </c>
      <c r="D24" s="3" t="s">
        <v>25</v>
      </c>
      <c r="E24" s="3" t="s">
        <v>12</v>
      </c>
      <c r="F24" s="3">
        <v>44</v>
      </c>
      <c r="G24" s="4">
        <v>17832150</v>
      </c>
      <c r="H24" s="4">
        <v>9570600</v>
      </c>
      <c r="I24" s="4">
        <f>tPenjualan[[#This Row],[Penjualan]]-tPenjualan[[#This Row],[COGS]]</f>
        <v>8261550</v>
      </c>
    </row>
    <row r="25" spans="1:17" x14ac:dyDescent="0.25">
      <c r="A25" s="2">
        <v>44262</v>
      </c>
      <c r="B25" s="3" t="s">
        <v>17</v>
      </c>
      <c r="C25" s="3" t="s">
        <v>24</v>
      </c>
      <c r="D25" s="3" t="s">
        <v>25</v>
      </c>
      <c r="E25" s="3" t="s">
        <v>37</v>
      </c>
      <c r="F25" s="3">
        <v>34</v>
      </c>
      <c r="G25" s="4">
        <v>11734800</v>
      </c>
      <c r="H25" s="4">
        <v>5621400</v>
      </c>
      <c r="I25" s="4">
        <f>tPenjualan[[#This Row],[Penjualan]]-tPenjualan[[#This Row],[COGS]]</f>
        <v>6113400</v>
      </c>
      <c r="J25" s="12"/>
      <c r="K25" s="13" t="s">
        <v>61</v>
      </c>
      <c r="L25" s="13" t="s">
        <v>68</v>
      </c>
    </row>
    <row r="26" spans="1:17" x14ac:dyDescent="0.25">
      <c r="A26" s="2">
        <v>44269</v>
      </c>
      <c r="B26" s="3" t="s">
        <v>23</v>
      </c>
      <c r="C26" s="3" t="s">
        <v>14</v>
      </c>
      <c r="D26" s="3" t="s">
        <v>11</v>
      </c>
      <c r="E26" s="3" t="s">
        <v>12</v>
      </c>
      <c r="F26" s="3">
        <v>6</v>
      </c>
      <c r="G26" s="4">
        <v>1717950</v>
      </c>
      <c r="H26" s="4">
        <v>723900</v>
      </c>
      <c r="I26" s="4">
        <f>tPenjualan[[#This Row],[Penjualan]]-tPenjualan[[#This Row],[COGS]]</f>
        <v>994050</v>
      </c>
      <c r="J26" s="12"/>
      <c r="K26" s="13" t="s">
        <v>60</v>
      </c>
      <c r="L26" t="s">
        <v>13</v>
      </c>
      <c r="M26" t="s">
        <v>9</v>
      </c>
      <c r="N26" t="s">
        <v>17</v>
      </c>
      <c r="O26" t="s">
        <v>20</v>
      </c>
      <c r="P26" t="s">
        <v>23</v>
      </c>
      <c r="Q26" t="s">
        <v>62</v>
      </c>
    </row>
    <row r="27" spans="1:17" x14ac:dyDescent="0.25">
      <c r="A27" s="2">
        <v>44281</v>
      </c>
      <c r="B27" s="3" t="s">
        <v>23</v>
      </c>
      <c r="C27" s="3" t="s">
        <v>10</v>
      </c>
      <c r="D27" s="3" t="s">
        <v>11</v>
      </c>
      <c r="E27" s="3" t="s">
        <v>41</v>
      </c>
      <c r="F27" s="3">
        <v>58</v>
      </c>
      <c r="G27" s="4">
        <v>16542150</v>
      </c>
      <c r="H27" s="4">
        <v>6960900</v>
      </c>
      <c r="I27" s="4">
        <f>tPenjualan[[#This Row],[Penjualan]]-tPenjualan[[#This Row],[COGS]]</f>
        <v>9581250</v>
      </c>
      <c r="J27" s="12"/>
      <c r="K27" s="14" t="s">
        <v>69</v>
      </c>
      <c r="L27" s="19">
        <v>106519500</v>
      </c>
      <c r="M27" s="19">
        <v>112396800</v>
      </c>
      <c r="N27" s="19">
        <v>50009250</v>
      </c>
      <c r="O27" s="19">
        <v>59154750</v>
      </c>
      <c r="P27" s="19">
        <v>95547150</v>
      </c>
      <c r="Q27" s="19">
        <v>423627450</v>
      </c>
    </row>
    <row r="28" spans="1:17" x14ac:dyDescent="0.25">
      <c r="A28" s="2">
        <v>44289</v>
      </c>
      <c r="B28" s="3" t="s">
        <v>9</v>
      </c>
      <c r="C28" s="3" t="s">
        <v>10</v>
      </c>
      <c r="D28" s="3" t="s">
        <v>15</v>
      </c>
      <c r="E28" s="3" t="s">
        <v>12</v>
      </c>
      <c r="F28" s="3">
        <v>10</v>
      </c>
      <c r="G28" s="4">
        <v>4061699.9999999995</v>
      </c>
      <c r="H28" s="4">
        <v>2185950</v>
      </c>
      <c r="I28" s="4">
        <f>tPenjualan[[#This Row],[Penjualan]]-tPenjualan[[#This Row],[COGS]]</f>
        <v>1875749.9999999995</v>
      </c>
      <c r="J28" s="12"/>
      <c r="K28" s="17" t="s">
        <v>24</v>
      </c>
      <c r="L28" s="19">
        <v>54355650</v>
      </c>
      <c r="M28" s="19">
        <v>82954950</v>
      </c>
      <c r="N28" s="19">
        <v>41924100</v>
      </c>
      <c r="O28" s="19">
        <v>38402100</v>
      </c>
      <c r="P28" s="19">
        <v>33020700</v>
      </c>
      <c r="Q28" s="19">
        <v>250657500</v>
      </c>
    </row>
    <row r="29" spans="1:17" x14ac:dyDescent="0.25">
      <c r="A29" s="2">
        <v>44292</v>
      </c>
      <c r="B29" s="3" t="s">
        <v>23</v>
      </c>
      <c r="C29" s="3" t="s">
        <v>24</v>
      </c>
      <c r="D29" s="3" t="s">
        <v>21</v>
      </c>
      <c r="E29" s="3" t="s">
        <v>19</v>
      </c>
      <c r="F29" s="3">
        <v>38</v>
      </c>
      <c r="G29" s="4">
        <v>10833300</v>
      </c>
      <c r="H29" s="4">
        <v>4560900</v>
      </c>
      <c r="I29" s="4">
        <f>tPenjualan[[#This Row],[Penjualan]]-tPenjualan[[#This Row],[COGS]]</f>
        <v>6272400</v>
      </c>
      <c r="J29" s="12"/>
      <c r="K29" s="17" t="s">
        <v>28</v>
      </c>
      <c r="L29" s="19">
        <v>52163850</v>
      </c>
      <c r="M29" s="19">
        <v>29441850</v>
      </c>
      <c r="N29" s="19">
        <v>8085150</v>
      </c>
      <c r="O29" s="19">
        <v>20752650</v>
      </c>
      <c r="P29" s="19">
        <v>62526450</v>
      </c>
      <c r="Q29" s="19">
        <v>172969950</v>
      </c>
    </row>
    <row r="30" spans="1:17" x14ac:dyDescent="0.25">
      <c r="A30" s="2">
        <v>44296</v>
      </c>
      <c r="B30" s="3" t="s">
        <v>20</v>
      </c>
      <c r="C30" s="3" t="s">
        <v>24</v>
      </c>
      <c r="D30" s="3" t="s">
        <v>29</v>
      </c>
      <c r="E30" s="3" t="s">
        <v>36</v>
      </c>
      <c r="F30" s="3">
        <v>12</v>
      </c>
      <c r="G30" s="4">
        <v>3786600</v>
      </c>
      <c r="H30" s="4">
        <v>1674900</v>
      </c>
      <c r="I30" s="4">
        <f>tPenjualan[[#This Row],[Penjualan]]-tPenjualan[[#This Row],[COGS]]</f>
        <v>2111700</v>
      </c>
      <c r="J30" s="12"/>
      <c r="K30" s="14" t="s">
        <v>74</v>
      </c>
      <c r="L30" s="19">
        <v>201720300</v>
      </c>
      <c r="M30" s="19">
        <v>113470500</v>
      </c>
      <c r="N30" s="19">
        <v>84757250</v>
      </c>
      <c r="O30" s="19">
        <v>79488600</v>
      </c>
      <c r="P30" s="19">
        <v>84980400</v>
      </c>
      <c r="Q30" s="19">
        <v>564417050</v>
      </c>
    </row>
    <row r="31" spans="1:17" x14ac:dyDescent="0.25">
      <c r="A31" s="2">
        <v>44297</v>
      </c>
      <c r="B31" s="3" t="s">
        <v>17</v>
      </c>
      <c r="C31" s="3" t="s">
        <v>28</v>
      </c>
      <c r="D31" s="3" t="s">
        <v>25</v>
      </c>
      <c r="E31" s="3" t="s">
        <v>42</v>
      </c>
      <c r="F31" s="3">
        <v>13</v>
      </c>
      <c r="G31" s="4">
        <v>4494600</v>
      </c>
      <c r="H31" s="4">
        <v>2156700</v>
      </c>
      <c r="I31" s="4">
        <f>tPenjualan[[#This Row],[Penjualan]]-tPenjualan[[#This Row],[COGS]]</f>
        <v>2337900</v>
      </c>
      <c r="J31" s="12"/>
      <c r="K31" s="17" t="s">
        <v>14</v>
      </c>
      <c r="L31" s="19">
        <v>30418350</v>
      </c>
      <c r="M31" s="19">
        <v>39002700</v>
      </c>
      <c r="N31" s="19">
        <v>52734650</v>
      </c>
      <c r="O31" s="19">
        <v>48469350</v>
      </c>
      <c r="P31" s="19">
        <v>55937850</v>
      </c>
      <c r="Q31" s="19">
        <v>226562900</v>
      </c>
    </row>
    <row r="32" spans="1:17" x14ac:dyDescent="0.25">
      <c r="A32" s="2">
        <v>44299</v>
      </c>
      <c r="B32" s="3" t="s">
        <v>9</v>
      </c>
      <c r="C32" s="3" t="s">
        <v>14</v>
      </c>
      <c r="D32" s="3" t="s">
        <v>25</v>
      </c>
      <c r="E32" s="3" t="s">
        <v>41</v>
      </c>
      <c r="F32" s="3">
        <v>44</v>
      </c>
      <c r="G32" s="4">
        <v>17823300</v>
      </c>
      <c r="H32" s="4">
        <v>9581850</v>
      </c>
      <c r="I32" s="4">
        <f>tPenjualan[[#This Row],[Penjualan]]-tPenjualan[[#This Row],[COGS]]</f>
        <v>8241450</v>
      </c>
      <c r="J32" s="12"/>
      <c r="K32" s="17" t="s">
        <v>10</v>
      </c>
      <c r="L32" s="19">
        <v>171301950</v>
      </c>
      <c r="M32" s="19">
        <v>74467800</v>
      </c>
      <c r="N32" s="19">
        <v>32022600</v>
      </c>
      <c r="O32" s="19">
        <v>31019250</v>
      </c>
      <c r="P32" s="19">
        <v>29042550</v>
      </c>
      <c r="Q32" s="19">
        <v>337854150</v>
      </c>
    </row>
    <row r="33" spans="1:17" x14ac:dyDescent="0.25">
      <c r="A33" s="2">
        <v>44309</v>
      </c>
      <c r="B33" s="3" t="s">
        <v>13</v>
      </c>
      <c r="C33" s="3" t="s">
        <v>28</v>
      </c>
      <c r="D33" s="3" t="s">
        <v>21</v>
      </c>
      <c r="E33" s="3" t="s">
        <v>43</v>
      </c>
      <c r="F33" s="3">
        <v>57</v>
      </c>
      <c r="G33" s="4">
        <v>18818550</v>
      </c>
      <c r="H33" s="4">
        <v>8561550</v>
      </c>
      <c r="I33" s="4">
        <f>tPenjualan[[#This Row],[Penjualan]]-tPenjualan[[#This Row],[COGS]]</f>
        <v>10257000</v>
      </c>
      <c r="J33" s="12"/>
      <c r="K33" s="14" t="s">
        <v>62</v>
      </c>
      <c r="L33" s="19">
        <v>308239800</v>
      </c>
      <c r="M33" s="19">
        <v>225867300</v>
      </c>
      <c r="N33" s="19">
        <v>134766500</v>
      </c>
      <c r="O33" s="19">
        <v>138643350</v>
      </c>
      <c r="P33" s="19">
        <v>180527550</v>
      </c>
      <c r="Q33" s="19">
        <v>988044500</v>
      </c>
    </row>
    <row r="34" spans="1:17" x14ac:dyDescent="0.25">
      <c r="A34" s="2">
        <v>44311</v>
      </c>
      <c r="B34" s="3" t="s">
        <v>20</v>
      </c>
      <c r="C34" s="3" t="s">
        <v>10</v>
      </c>
      <c r="D34" s="3" t="s">
        <v>21</v>
      </c>
      <c r="E34" s="3" t="s">
        <v>39</v>
      </c>
      <c r="F34" s="3">
        <v>53</v>
      </c>
      <c r="G34" s="4">
        <v>16705500</v>
      </c>
      <c r="H34" s="4">
        <v>7354650</v>
      </c>
      <c r="I34" s="4">
        <f>tPenjualan[[#This Row],[Penjualan]]-tPenjualan[[#This Row],[COGS]]</f>
        <v>9350850</v>
      </c>
      <c r="J34" s="12"/>
    </row>
    <row r="35" spans="1:17" x14ac:dyDescent="0.25">
      <c r="A35" s="2">
        <v>44318</v>
      </c>
      <c r="B35" s="3" t="s">
        <v>13</v>
      </c>
      <c r="C35" s="3" t="s">
        <v>28</v>
      </c>
      <c r="D35" s="3" t="s">
        <v>21</v>
      </c>
      <c r="E35" s="3" t="s">
        <v>26</v>
      </c>
      <c r="F35" s="3">
        <v>40</v>
      </c>
      <c r="G35" s="4">
        <v>13209000</v>
      </c>
      <c r="H35" s="4">
        <v>6007050</v>
      </c>
      <c r="I35" s="4">
        <f>tPenjualan[[#This Row],[Penjualan]]-tPenjualan[[#This Row],[COGS]]</f>
        <v>7201950</v>
      </c>
      <c r="J35" s="12"/>
    </row>
    <row r="36" spans="1:17" x14ac:dyDescent="0.25">
      <c r="A36" s="2">
        <v>44320</v>
      </c>
      <c r="B36" s="3" t="s">
        <v>9</v>
      </c>
      <c r="C36" s="3" t="s">
        <v>28</v>
      </c>
      <c r="D36" s="3" t="s">
        <v>15</v>
      </c>
      <c r="E36" s="3" t="s">
        <v>44</v>
      </c>
      <c r="F36" s="3">
        <v>61</v>
      </c>
      <c r="G36" s="4">
        <v>24708900</v>
      </c>
      <c r="H36" s="4">
        <v>13277550</v>
      </c>
      <c r="I36" s="4">
        <f>tPenjualan[[#This Row],[Penjualan]]-tPenjualan[[#This Row],[COGS]]</f>
        <v>11431350</v>
      </c>
      <c r="J36" s="12"/>
    </row>
    <row r="37" spans="1:17" x14ac:dyDescent="0.25">
      <c r="A37" s="2">
        <v>44321</v>
      </c>
      <c r="B37" s="3" t="s">
        <v>20</v>
      </c>
      <c r="C37" s="3" t="s">
        <v>10</v>
      </c>
      <c r="D37" s="3" t="s">
        <v>21</v>
      </c>
      <c r="E37" s="3" t="s">
        <v>45</v>
      </c>
      <c r="F37" s="3">
        <v>61</v>
      </c>
      <c r="G37" s="4">
        <v>19216500</v>
      </c>
      <c r="H37" s="4">
        <v>8477250</v>
      </c>
      <c r="I37" s="4">
        <f>tPenjualan[[#This Row],[Penjualan]]-tPenjualan[[#This Row],[COGS]]</f>
        <v>10739250</v>
      </c>
      <c r="J37" s="12"/>
    </row>
    <row r="38" spans="1:17" x14ac:dyDescent="0.25">
      <c r="A38" s="2">
        <v>44322</v>
      </c>
      <c r="B38" s="3" t="s">
        <v>17</v>
      </c>
      <c r="C38" s="3" t="s">
        <v>24</v>
      </c>
      <c r="D38" s="3" t="s">
        <v>15</v>
      </c>
      <c r="E38" s="3" t="s">
        <v>40</v>
      </c>
      <c r="F38" s="3">
        <v>59</v>
      </c>
      <c r="G38" s="4">
        <v>20358750</v>
      </c>
      <c r="H38" s="4">
        <v>9737250</v>
      </c>
      <c r="I38" s="4">
        <f>tPenjualan[[#This Row],[Penjualan]]-tPenjualan[[#This Row],[COGS]]</f>
        <v>10621500</v>
      </c>
      <c r="J38" s="12"/>
    </row>
    <row r="39" spans="1:17" x14ac:dyDescent="0.25">
      <c r="A39" s="2">
        <v>44328</v>
      </c>
      <c r="B39" s="3" t="s">
        <v>9</v>
      </c>
      <c r="C39" s="3" t="s">
        <v>24</v>
      </c>
      <c r="D39" s="3" t="s">
        <v>25</v>
      </c>
      <c r="E39" s="3" t="s">
        <v>30</v>
      </c>
      <c r="F39" s="3">
        <v>14</v>
      </c>
      <c r="G39" s="4">
        <v>5674050</v>
      </c>
      <c r="H39" s="4">
        <v>3054300</v>
      </c>
      <c r="I39" s="4">
        <f>tPenjualan[[#This Row],[Penjualan]]-tPenjualan[[#This Row],[COGS]]</f>
        <v>2619750</v>
      </c>
      <c r="J39" s="12"/>
    </row>
    <row r="40" spans="1:17" x14ac:dyDescent="0.25">
      <c r="A40" s="2">
        <v>44332</v>
      </c>
      <c r="B40" s="3" t="s">
        <v>23</v>
      </c>
      <c r="C40" s="3" t="s">
        <v>14</v>
      </c>
      <c r="D40" s="3" t="s">
        <v>11</v>
      </c>
      <c r="E40" s="3" t="s">
        <v>46</v>
      </c>
      <c r="F40" s="3">
        <v>23</v>
      </c>
      <c r="G40" s="4">
        <v>6567150</v>
      </c>
      <c r="H40" s="4">
        <v>2762400</v>
      </c>
      <c r="I40" s="4">
        <f>tPenjualan[[#This Row],[Penjualan]]-tPenjualan[[#This Row],[COGS]]</f>
        <v>3804750</v>
      </c>
      <c r="J40" s="12"/>
    </row>
    <row r="41" spans="1:17" x14ac:dyDescent="0.25">
      <c r="A41" s="2">
        <v>44334</v>
      </c>
      <c r="B41" s="3" t="s">
        <v>9</v>
      </c>
      <c r="C41" s="3" t="s">
        <v>10</v>
      </c>
      <c r="D41" s="3" t="s">
        <v>15</v>
      </c>
      <c r="E41" s="3" t="s">
        <v>47</v>
      </c>
      <c r="F41" s="3">
        <v>16</v>
      </c>
      <c r="G41" s="4">
        <v>6490050</v>
      </c>
      <c r="H41" s="4">
        <v>3483000</v>
      </c>
      <c r="I41" s="4">
        <f>tPenjualan[[#This Row],[Penjualan]]-tPenjualan[[#This Row],[COGS]]</f>
        <v>3007050</v>
      </c>
      <c r="J41" s="12"/>
    </row>
    <row r="42" spans="1:17" x14ac:dyDescent="0.25">
      <c r="A42" s="2">
        <v>44335</v>
      </c>
      <c r="B42" s="3" t="s">
        <v>13</v>
      </c>
      <c r="C42" s="3" t="s">
        <v>14</v>
      </c>
      <c r="D42" s="3" t="s">
        <v>29</v>
      </c>
      <c r="E42" s="3" t="s">
        <v>31</v>
      </c>
      <c r="F42" s="3">
        <v>24</v>
      </c>
      <c r="G42" s="4">
        <v>7927500</v>
      </c>
      <c r="H42" s="4">
        <v>3605250</v>
      </c>
      <c r="I42" s="4">
        <f>tPenjualan[[#This Row],[Penjualan]]-tPenjualan[[#This Row],[COGS]]</f>
        <v>4322250</v>
      </c>
      <c r="J42" s="12"/>
    </row>
    <row r="43" spans="1:17" x14ac:dyDescent="0.25">
      <c r="A43" s="2">
        <v>44339</v>
      </c>
      <c r="B43" s="3" t="s">
        <v>9</v>
      </c>
      <c r="C43" s="3" t="s">
        <v>10</v>
      </c>
      <c r="D43" s="3" t="s">
        <v>18</v>
      </c>
      <c r="E43" s="3" t="s">
        <v>31</v>
      </c>
      <c r="F43" s="3">
        <v>65</v>
      </c>
      <c r="G43" s="4">
        <v>26335650</v>
      </c>
      <c r="H43" s="4">
        <v>14143950</v>
      </c>
      <c r="I43" s="4">
        <f>tPenjualan[[#This Row],[Penjualan]]-tPenjualan[[#This Row],[COGS]]</f>
        <v>12191700</v>
      </c>
      <c r="J43" s="12"/>
    </row>
    <row r="44" spans="1:17" x14ac:dyDescent="0.25">
      <c r="A44" s="2">
        <v>44341</v>
      </c>
      <c r="B44" s="3" t="s">
        <v>17</v>
      </c>
      <c r="C44" s="3" t="s">
        <v>24</v>
      </c>
      <c r="D44" s="3" t="s">
        <v>25</v>
      </c>
      <c r="E44" s="3" t="s">
        <v>16</v>
      </c>
      <c r="F44" s="3">
        <v>38</v>
      </c>
      <c r="G44" s="4">
        <v>13116750</v>
      </c>
      <c r="H44" s="4">
        <v>6280350</v>
      </c>
      <c r="I44" s="4">
        <f>tPenjualan[[#This Row],[Penjualan]]-tPenjualan[[#This Row],[COGS]]</f>
        <v>6836400</v>
      </c>
      <c r="J44" s="12"/>
    </row>
    <row r="45" spans="1:17" x14ac:dyDescent="0.25">
      <c r="A45" s="2">
        <v>44343</v>
      </c>
      <c r="B45" s="3" t="s">
        <v>13</v>
      </c>
      <c r="C45" s="3" t="s">
        <v>28</v>
      </c>
      <c r="D45" s="3" t="s">
        <v>29</v>
      </c>
      <c r="E45" s="3" t="s">
        <v>19</v>
      </c>
      <c r="F45" s="3">
        <v>7</v>
      </c>
      <c r="G45" s="4">
        <v>2315100</v>
      </c>
      <c r="H45" s="4">
        <v>1050000</v>
      </c>
      <c r="I45" s="4">
        <f>tPenjualan[[#This Row],[Penjualan]]-tPenjualan[[#This Row],[COGS]]</f>
        <v>1265100</v>
      </c>
      <c r="J45" s="12"/>
    </row>
    <row r="46" spans="1:17" x14ac:dyDescent="0.25">
      <c r="A46" s="2">
        <v>44344</v>
      </c>
      <c r="B46" s="3" t="s">
        <v>9</v>
      </c>
      <c r="C46" s="3" t="s">
        <v>24</v>
      </c>
      <c r="D46" s="3" t="s">
        <v>11</v>
      </c>
      <c r="E46" s="3" t="s">
        <v>33</v>
      </c>
      <c r="F46" s="3">
        <v>16</v>
      </c>
      <c r="G46" s="4">
        <v>4500000</v>
      </c>
      <c r="H46" s="4">
        <v>3494850</v>
      </c>
      <c r="I46" s="4">
        <f>tPenjualan[[#This Row],[Penjualan]]-tPenjualan[[#This Row],[COGS]]</f>
        <v>1005150</v>
      </c>
      <c r="J46" s="12"/>
    </row>
    <row r="47" spans="1:17" x14ac:dyDescent="0.25">
      <c r="A47" s="2">
        <v>44349</v>
      </c>
      <c r="B47" s="3" t="s">
        <v>20</v>
      </c>
      <c r="C47" s="3" t="s">
        <v>14</v>
      </c>
      <c r="D47" s="3" t="s">
        <v>21</v>
      </c>
      <c r="E47" s="3" t="s">
        <v>16</v>
      </c>
      <c r="F47" s="3">
        <v>23</v>
      </c>
      <c r="G47" s="4">
        <v>7253700</v>
      </c>
      <c r="H47" s="4">
        <v>3203550</v>
      </c>
      <c r="I47" s="4">
        <f>tPenjualan[[#This Row],[Penjualan]]-tPenjualan[[#This Row],[COGS]]</f>
        <v>4050150</v>
      </c>
      <c r="J47" s="12"/>
    </row>
    <row r="48" spans="1:17" x14ac:dyDescent="0.25">
      <c r="A48" s="2">
        <v>44352</v>
      </c>
      <c r="B48" s="3" t="s">
        <v>23</v>
      </c>
      <c r="C48" s="3" t="s">
        <v>28</v>
      </c>
      <c r="D48" s="3" t="s">
        <v>18</v>
      </c>
      <c r="E48" s="3" t="s">
        <v>46</v>
      </c>
      <c r="F48" s="3">
        <v>8</v>
      </c>
      <c r="G48" s="4">
        <v>2291400</v>
      </c>
      <c r="H48" s="4">
        <v>961800.00000000012</v>
      </c>
      <c r="I48" s="4">
        <f>tPenjualan[[#This Row],[Penjualan]]-tPenjualan[[#This Row],[COGS]]</f>
        <v>1329600</v>
      </c>
      <c r="J48" s="12"/>
    </row>
    <row r="49" spans="1:10" x14ac:dyDescent="0.25">
      <c r="A49" s="2">
        <v>44352</v>
      </c>
      <c r="B49" s="3" t="s">
        <v>17</v>
      </c>
      <c r="C49" s="3" t="s">
        <v>10</v>
      </c>
      <c r="D49" s="3" t="s">
        <v>29</v>
      </c>
      <c r="E49" s="3" t="s">
        <v>35</v>
      </c>
      <c r="F49" s="3">
        <v>10</v>
      </c>
      <c r="G49" s="4">
        <v>3453750</v>
      </c>
      <c r="H49" s="4">
        <v>1656450</v>
      </c>
      <c r="I49" s="4">
        <f>tPenjualan[[#This Row],[Penjualan]]-tPenjualan[[#This Row],[COGS]]</f>
        <v>1797300</v>
      </c>
      <c r="J49" s="12"/>
    </row>
    <row r="50" spans="1:10" x14ac:dyDescent="0.25">
      <c r="A50" s="2">
        <v>44356</v>
      </c>
      <c r="B50" s="3" t="s">
        <v>20</v>
      </c>
      <c r="C50" s="3" t="s">
        <v>24</v>
      </c>
      <c r="D50" s="3" t="s">
        <v>29</v>
      </c>
      <c r="E50" s="3" t="s">
        <v>27</v>
      </c>
      <c r="F50" s="3">
        <v>27</v>
      </c>
      <c r="G50" s="4">
        <v>8507700</v>
      </c>
      <c r="H50" s="4">
        <v>3759900</v>
      </c>
      <c r="I50" s="4">
        <f>tPenjualan[[#This Row],[Penjualan]]-tPenjualan[[#This Row],[COGS]]</f>
        <v>4747800</v>
      </c>
      <c r="J50" s="12"/>
    </row>
    <row r="51" spans="1:10" x14ac:dyDescent="0.25">
      <c r="A51" s="2">
        <v>44357</v>
      </c>
      <c r="B51" s="3" t="s">
        <v>20</v>
      </c>
      <c r="C51" s="3" t="s">
        <v>24</v>
      </c>
      <c r="D51" s="3" t="s">
        <v>18</v>
      </c>
      <c r="E51" s="3" t="s">
        <v>48</v>
      </c>
      <c r="F51" s="3">
        <v>17</v>
      </c>
      <c r="G51" s="4">
        <v>5363250</v>
      </c>
      <c r="H51" s="4">
        <v>2369250</v>
      </c>
      <c r="I51" s="4">
        <f>tPenjualan[[#This Row],[Penjualan]]-tPenjualan[[#This Row],[COGS]]</f>
        <v>2994000</v>
      </c>
      <c r="J51" s="12"/>
    </row>
    <row r="52" spans="1:10" x14ac:dyDescent="0.25">
      <c r="A52" s="2">
        <v>44359</v>
      </c>
      <c r="B52" s="3" t="s">
        <v>17</v>
      </c>
      <c r="C52" s="3" t="s">
        <v>10</v>
      </c>
      <c r="D52" s="3" t="s">
        <v>11</v>
      </c>
      <c r="E52" s="3" t="s">
        <v>49</v>
      </c>
      <c r="F52" s="3">
        <v>18</v>
      </c>
      <c r="G52" s="4">
        <v>6211650</v>
      </c>
      <c r="H52" s="4">
        <v>2980650</v>
      </c>
      <c r="I52" s="4">
        <f>tPenjualan[[#This Row],[Penjualan]]-tPenjualan[[#This Row],[COGS]]</f>
        <v>3231000</v>
      </c>
      <c r="J52" s="12"/>
    </row>
    <row r="53" spans="1:10" x14ac:dyDescent="0.25">
      <c r="A53" s="2">
        <v>44362</v>
      </c>
      <c r="B53" s="3" t="s">
        <v>9</v>
      </c>
      <c r="C53" s="3" t="s">
        <v>24</v>
      </c>
      <c r="D53" s="3" t="s">
        <v>15</v>
      </c>
      <c r="E53" s="3" t="s">
        <v>19</v>
      </c>
      <c r="F53" s="3">
        <v>58</v>
      </c>
      <c r="G53" s="4">
        <v>23502450</v>
      </c>
      <c r="H53" s="4">
        <v>12621450</v>
      </c>
      <c r="I53" s="4">
        <f>tPenjualan[[#This Row],[Penjualan]]-tPenjualan[[#This Row],[COGS]]</f>
        <v>10881000</v>
      </c>
      <c r="J53" s="12"/>
    </row>
    <row r="54" spans="1:10" x14ac:dyDescent="0.25">
      <c r="A54" s="2">
        <v>44368</v>
      </c>
      <c r="B54" s="3" t="s">
        <v>13</v>
      </c>
      <c r="C54" s="3" t="s">
        <v>24</v>
      </c>
      <c r="D54" s="3" t="s">
        <v>21</v>
      </c>
      <c r="E54" s="3" t="s">
        <v>50</v>
      </c>
      <c r="F54" s="3">
        <v>59</v>
      </c>
      <c r="G54" s="4">
        <v>19483800</v>
      </c>
      <c r="H54" s="4">
        <v>8861250</v>
      </c>
      <c r="I54" s="4">
        <f>tPenjualan[[#This Row],[Penjualan]]-tPenjualan[[#This Row],[COGS]]</f>
        <v>10622550</v>
      </c>
      <c r="J54" s="12"/>
    </row>
    <row r="55" spans="1:10" x14ac:dyDescent="0.25">
      <c r="A55" s="2">
        <v>44369</v>
      </c>
      <c r="B55" s="3" t="s">
        <v>23</v>
      </c>
      <c r="C55" s="3" t="s">
        <v>28</v>
      </c>
      <c r="D55" s="3" t="s">
        <v>15</v>
      </c>
      <c r="E55" s="3" t="s">
        <v>12</v>
      </c>
      <c r="F55" s="3">
        <v>62</v>
      </c>
      <c r="G55" s="4">
        <v>17671050</v>
      </c>
      <c r="H55" s="4">
        <v>7453800</v>
      </c>
      <c r="I55" s="4">
        <f>tPenjualan[[#This Row],[Penjualan]]-tPenjualan[[#This Row],[COGS]]</f>
        <v>10217250</v>
      </c>
      <c r="J55" s="12"/>
    </row>
    <row r="56" spans="1:10" x14ac:dyDescent="0.25">
      <c r="A56" s="2">
        <v>44372</v>
      </c>
      <c r="B56" s="3" t="s">
        <v>13</v>
      </c>
      <c r="C56" s="3" t="s">
        <v>14</v>
      </c>
      <c r="D56" s="3" t="s">
        <v>11</v>
      </c>
      <c r="E56" s="3" t="s">
        <v>45</v>
      </c>
      <c r="F56" s="3">
        <v>35</v>
      </c>
      <c r="G56" s="4">
        <v>11562000</v>
      </c>
      <c r="H56" s="4">
        <v>5257950</v>
      </c>
      <c r="I56" s="4">
        <f>tPenjualan[[#This Row],[Penjualan]]-tPenjualan[[#This Row],[COGS]]</f>
        <v>6304050</v>
      </c>
      <c r="J56" s="12"/>
    </row>
    <row r="57" spans="1:10" x14ac:dyDescent="0.25">
      <c r="A57" s="2">
        <v>44376</v>
      </c>
      <c r="B57" s="3" t="s">
        <v>20</v>
      </c>
      <c r="C57" s="3" t="s">
        <v>28</v>
      </c>
      <c r="D57" s="3" t="s">
        <v>11</v>
      </c>
      <c r="E57" s="3" t="s">
        <v>12</v>
      </c>
      <c r="F57" s="3">
        <v>22</v>
      </c>
      <c r="G57" s="4">
        <v>6933300</v>
      </c>
      <c r="H57" s="4">
        <v>3053550</v>
      </c>
      <c r="I57" s="4">
        <f>tPenjualan[[#This Row],[Penjualan]]-tPenjualan[[#This Row],[COGS]]</f>
        <v>3879750</v>
      </c>
      <c r="J57" s="12"/>
    </row>
    <row r="58" spans="1:10" x14ac:dyDescent="0.25">
      <c r="A58" s="2">
        <v>44377</v>
      </c>
      <c r="B58" s="3" t="s">
        <v>9</v>
      </c>
      <c r="C58" s="3" t="s">
        <v>28</v>
      </c>
      <c r="D58" s="3" t="s">
        <v>18</v>
      </c>
      <c r="E58" s="3" t="s">
        <v>41</v>
      </c>
      <c r="F58" s="3">
        <v>42</v>
      </c>
      <c r="G58" s="4">
        <v>17024100</v>
      </c>
      <c r="H58" s="4">
        <v>9143100</v>
      </c>
      <c r="I58" s="4">
        <f>tPenjualan[[#This Row],[Penjualan]]-tPenjualan[[#This Row],[COGS]]</f>
        <v>7881000</v>
      </c>
      <c r="J58" s="12"/>
    </row>
    <row r="59" spans="1:10" x14ac:dyDescent="0.25">
      <c r="A59" s="2">
        <v>44378</v>
      </c>
      <c r="B59" s="3" t="s">
        <v>13</v>
      </c>
      <c r="C59" s="3" t="s">
        <v>10</v>
      </c>
      <c r="D59" s="3" t="s">
        <v>21</v>
      </c>
      <c r="E59" s="3" t="s">
        <v>34</v>
      </c>
      <c r="F59" s="3">
        <v>19</v>
      </c>
      <c r="G59" s="4">
        <v>6278100</v>
      </c>
      <c r="H59" s="4">
        <v>2850750</v>
      </c>
      <c r="I59" s="4">
        <f>tPenjualan[[#This Row],[Penjualan]]-tPenjualan[[#This Row],[COGS]]</f>
        <v>3427350</v>
      </c>
      <c r="J59" s="12"/>
    </row>
    <row r="60" spans="1:10" x14ac:dyDescent="0.25">
      <c r="A60" s="2">
        <v>44378</v>
      </c>
      <c r="B60" s="3" t="s">
        <v>13</v>
      </c>
      <c r="C60" s="3" t="s">
        <v>24</v>
      </c>
      <c r="D60" s="3" t="s">
        <v>21</v>
      </c>
      <c r="E60" s="3" t="s">
        <v>44</v>
      </c>
      <c r="F60" s="3">
        <v>40</v>
      </c>
      <c r="G60" s="4">
        <v>13205700</v>
      </c>
      <c r="H60" s="4">
        <v>6013350</v>
      </c>
      <c r="I60" s="4">
        <f>tPenjualan[[#This Row],[Penjualan]]-tPenjualan[[#This Row],[COGS]]</f>
        <v>7192350</v>
      </c>
      <c r="J60" s="12"/>
    </row>
    <row r="61" spans="1:10" x14ac:dyDescent="0.25">
      <c r="A61" s="2">
        <v>44380</v>
      </c>
      <c r="B61" s="3" t="s">
        <v>20</v>
      </c>
      <c r="C61" s="3" t="s">
        <v>10</v>
      </c>
      <c r="D61" s="3" t="s">
        <v>15</v>
      </c>
      <c r="E61" s="3" t="s">
        <v>19</v>
      </c>
      <c r="F61" s="3">
        <v>62</v>
      </c>
      <c r="G61" s="4">
        <v>19542900</v>
      </c>
      <c r="H61" s="4">
        <v>8613750</v>
      </c>
      <c r="I61" s="4">
        <f>tPenjualan[[#This Row],[Penjualan]]-tPenjualan[[#This Row],[COGS]]</f>
        <v>10929150</v>
      </c>
      <c r="J61" s="12"/>
    </row>
    <row r="62" spans="1:10" x14ac:dyDescent="0.25">
      <c r="A62" s="2">
        <v>44383</v>
      </c>
      <c r="B62" s="3" t="s">
        <v>13</v>
      </c>
      <c r="C62" s="3" t="s">
        <v>24</v>
      </c>
      <c r="D62" s="3" t="s">
        <v>29</v>
      </c>
      <c r="E62" s="3" t="s">
        <v>51</v>
      </c>
      <c r="F62" s="3">
        <v>9</v>
      </c>
      <c r="G62" s="4">
        <v>2970900</v>
      </c>
      <c r="H62" s="4">
        <v>1356750</v>
      </c>
      <c r="I62" s="4">
        <f>tPenjualan[[#This Row],[Penjualan]]-tPenjualan[[#This Row],[COGS]]</f>
        <v>1614150</v>
      </c>
      <c r="J62" s="12"/>
    </row>
    <row r="63" spans="1:10" x14ac:dyDescent="0.25">
      <c r="A63" s="2">
        <v>44386</v>
      </c>
      <c r="B63" s="3" t="s">
        <v>17</v>
      </c>
      <c r="C63" s="3" t="s">
        <v>28</v>
      </c>
      <c r="D63" s="3" t="s">
        <v>25</v>
      </c>
      <c r="E63" s="3" t="s">
        <v>22</v>
      </c>
      <c r="F63" s="3">
        <v>12</v>
      </c>
      <c r="G63" s="4">
        <v>4140900</v>
      </c>
      <c r="H63" s="4">
        <v>1988400</v>
      </c>
      <c r="I63" s="4">
        <f>tPenjualan[[#This Row],[Penjualan]]-tPenjualan[[#This Row],[COGS]]</f>
        <v>2152500</v>
      </c>
      <c r="J63" s="12"/>
    </row>
    <row r="64" spans="1:10" x14ac:dyDescent="0.25">
      <c r="A64" s="2">
        <v>44391</v>
      </c>
      <c r="B64" s="3" t="s">
        <v>17</v>
      </c>
      <c r="C64" s="3" t="s">
        <v>28</v>
      </c>
      <c r="D64" s="3" t="s">
        <v>15</v>
      </c>
      <c r="E64" s="3" t="s">
        <v>19</v>
      </c>
      <c r="F64" s="3">
        <v>20</v>
      </c>
      <c r="G64" s="4">
        <v>6904200</v>
      </c>
      <c r="H64" s="4">
        <v>3309450</v>
      </c>
      <c r="I64" s="4">
        <f>tPenjualan[[#This Row],[Penjualan]]-tPenjualan[[#This Row],[COGS]]</f>
        <v>3594750</v>
      </c>
      <c r="J64" s="12"/>
    </row>
    <row r="65" spans="1:10" x14ac:dyDescent="0.25">
      <c r="A65" s="2">
        <v>44395</v>
      </c>
      <c r="B65" s="3" t="s">
        <v>20</v>
      </c>
      <c r="C65" s="3" t="s">
        <v>14</v>
      </c>
      <c r="D65" s="3" t="s">
        <v>21</v>
      </c>
      <c r="E65" s="3" t="s">
        <v>46</v>
      </c>
      <c r="F65" s="3">
        <v>57</v>
      </c>
      <c r="G65" s="4">
        <v>17968500</v>
      </c>
      <c r="H65" s="4">
        <v>7919700</v>
      </c>
      <c r="I65" s="4">
        <f>tPenjualan[[#This Row],[Penjualan]]-tPenjualan[[#This Row],[COGS]]</f>
        <v>10048800</v>
      </c>
      <c r="J65" s="12"/>
    </row>
    <row r="66" spans="1:10" x14ac:dyDescent="0.25">
      <c r="A66" s="2">
        <v>44397</v>
      </c>
      <c r="B66" s="3" t="s">
        <v>13</v>
      </c>
      <c r="C66" s="3" t="s">
        <v>10</v>
      </c>
      <c r="D66" s="3" t="s">
        <v>18</v>
      </c>
      <c r="E66" s="3" t="s">
        <v>39</v>
      </c>
      <c r="F66" s="3">
        <v>6</v>
      </c>
      <c r="G66" s="4">
        <v>1985100</v>
      </c>
      <c r="H66" s="4">
        <v>908700</v>
      </c>
      <c r="I66" s="4">
        <f>tPenjualan[[#This Row],[Penjualan]]-tPenjualan[[#This Row],[COGS]]</f>
        <v>1076400</v>
      </c>
      <c r="J66" s="12"/>
    </row>
    <row r="67" spans="1:10" x14ac:dyDescent="0.25">
      <c r="A67" s="2">
        <v>44411</v>
      </c>
      <c r="B67" s="3" t="s">
        <v>13</v>
      </c>
      <c r="C67" s="3" t="s">
        <v>10</v>
      </c>
      <c r="D67" s="3" t="s">
        <v>11</v>
      </c>
      <c r="E67" s="3" t="s">
        <v>41</v>
      </c>
      <c r="F67" s="3">
        <v>35</v>
      </c>
      <c r="G67" s="4">
        <v>11552700</v>
      </c>
      <c r="H67" s="4">
        <v>5259900</v>
      </c>
      <c r="I67" s="4">
        <f>tPenjualan[[#This Row],[Penjualan]]-tPenjualan[[#This Row],[COGS]]</f>
        <v>6292800</v>
      </c>
      <c r="J67" s="12"/>
    </row>
    <row r="68" spans="1:10" x14ac:dyDescent="0.25">
      <c r="A68" s="2">
        <v>44419</v>
      </c>
      <c r="B68" s="3" t="s">
        <v>23</v>
      </c>
      <c r="C68" s="3" t="s">
        <v>28</v>
      </c>
      <c r="D68" s="3" t="s">
        <v>25</v>
      </c>
      <c r="E68" s="3" t="s">
        <v>22</v>
      </c>
      <c r="F68" s="3">
        <v>59</v>
      </c>
      <c r="G68" s="4">
        <v>16829400</v>
      </c>
      <c r="H68" s="4">
        <v>7085700</v>
      </c>
      <c r="I68" s="4">
        <f>tPenjualan[[#This Row],[Penjualan]]-tPenjualan[[#This Row],[COGS]]</f>
        <v>9743700</v>
      </c>
      <c r="J68" s="12"/>
    </row>
    <row r="69" spans="1:10" x14ac:dyDescent="0.25">
      <c r="A69" s="2">
        <v>44419</v>
      </c>
      <c r="B69" s="3" t="s">
        <v>9</v>
      </c>
      <c r="C69" s="3" t="s">
        <v>24</v>
      </c>
      <c r="D69" s="3" t="s">
        <v>21</v>
      </c>
      <c r="E69" s="3" t="s">
        <v>39</v>
      </c>
      <c r="F69" s="3">
        <v>22</v>
      </c>
      <c r="G69" s="4">
        <v>8912550</v>
      </c>
      <c r="H69" s="4">
        <v>4791150</v>
      </c>
      <c r="I69" s="4">
        <f>tPenjualan[[#This Row],[Penjualan]]-tPenjualan[[#This Row],[COGS]]</f>
        <v>4121400</v>
      </c>
      <c r="J69" s="12"/>
    </row>
    <row r="70" spans="1:10" x14ac:dyDescent="0.25">
      <c r="A70" s="2">
        <v>44423</v>
      </c>
      <c r="B70" s="3" t="s">
        <v>13</v>
      </c>
      <c r="C70" s="3" t="s">
        <v>10</v>
      </c>
      <c r="D70" s="3" t="s">
        <v>21</v>
      </c>
      <c r="E70" s="3" t="s">
        <v>52</v>
      </c>
      <c r="F70" s="3">
        <v>61</v>
      </c>
      <c r="G70" s="4">
        <v>75009000</v>
      </c>
      <c r="H70" s="4">
        <v>9152400</v>
      </c>
      <c r="I70" s="4">
        <f>tPenjualan[[#This Row],[Penjualan]]-tPenjualan[[#This Row],[COGS]]</f>
        <v>65856600</v>
      </c>
      <c r="J70" s="12"/>
    </row>
    <row r="71" spans="1:10" x14ac:dyDescent="0.25">
      <c r="A71" s="2">
        <v>44424</v>
      </c>
      <c r="B71" s="3" t="s">
        <v>23</v>
      </c>
      <c r="C71" s="3" t="s">
        <v>24</v>
      </c>
      <c r="D71" s="3" t="s">
        <v>18</v>
      </c>
      <c r="E71" s="3" t="s">
        <v>12</v>
      </c>
      <c r="F71" s="3">
        <v>42</v>
      </c>
      <c r="G71" s="4">
        <v>11977950</v>
      </c>
      <c r="H71" s="4">
        <v>5042400</v>
      </c>
      <c r="I71" s="4">
        <f>tPenjualan[[#This Row],[Penjualan]]-tPenjualan[[#This Row],[COGS]]</f>
        <v>6935550</v>
      </c>
      <c r="J71" s="12"/>
    </row>
    <row r="72" spans="1:10" x14ac:dyDescent="0.25">
      <c r="A72" s="2">
        <v>44429</v>
      </c>
      <c r="B72" s="3" t="s">
        <v>9</v>
      </c>
      <c r="C72" s="3" t="s">
        <v>10</v>
      </c>
      <c r="D72" s="3" t="s">
        <v>21</v>
      </c>
      <c r="E72" s="3" t="s">
        <v>32</v>
      </c>
      <c r="F72" s="3">
        <v>30</v>
      </c>
      <c r="G72" s="4">
        <v>12160650</v>
      </c>
      <c r="H72" s="4">
        <v>6534600</v>
      </c>
      <c r="I72" s="4">
        <f>tPenjualan[[#This Row],[Penjualan]]-tPenjualan[[#This Row],[COGS]]</f>
        <v>5626050</v>
      </c>
      <c r="J72" s="12"/>
    </row>
    <row r="73" spans="1:10" x14ac:dyDescent="0.25">
      <c r="A73" s="2">
        <v>44433</v>
      </c>
      <c r="B73" s="3" t="s">
        <v>17</v>
      </c>
      <c r="C73" s="3" t="s">
        <v>10</v>
      </c>
      <c r="D73" s="3" t="s">
        <v>25</v>
      </c>
      <c r="E73" s="3" t="s">
        <v>53</v>
      </c>
      <c r="F73" s="3">
        <v>60</v>
      </c>
      <c r="G73" s="4">
        <v>20701050</v>
      </c>
      <c r="H73" s="4">
        <v>9906000</v>
      </c>
      <c r="I73" s="4">
        <f>tPenjualan[[#This Row],[Penjualan]]-tPenjualan[[#This Row],[COGS]]</f>
        <v>10795050</v>
      </c>
      <c r="J73" s="12"/>
    </row>
    <row r="74" spans="1:10" x14ac:dyDescent="0.25">
      <c r="A74" s="2">
        <v>44434</v>
      </c>
      <c r="B74" s="3" t="s">
        <v>9</v>
      </c>
      <c r="C74" s="3" t="s">
        <v>24</v>
      </c>
      <c r="D74" s="3" t="s">
        <v>25</v>
      </c>
      <c r="E74" s="3" t="s">
        <v>47</v>
      </c>
      <c r="F74" s="3">
        <v>62</v>
      </c>
      <c r="G74" s="4">
        <v>25122300</v>
      </c>
      <c r="H74" s="4">
        <v>13493400</v>
      </c>
      <c r="I74" s="4">
        <f>tPenjualan[[#This Row],[Penjualan]]-tPenjualan[[#This Row],[COGS]]</f>
        <v>11628900</v>
      </c>
      <c r="J74" s="12"/>
    </row>
    <row r="75" spans="1:10" x14ac:dyDescent="0.25">
      <c r="A75" s="2">
        <v>44438</v>
      </c>
      <c r="B75" s="3" t="s">
        <v>13</v>
      </c>
      <c r="C75" s="3" t="s">
        <v>24</v>
      </c>
      <c r="D75" s="3" t="s">
        <v>15</v>
      </c>
      <c r="E75" s="3" t="s">
        <v>49</v>
      </c>
      <c r="F75" s="3">
        <v>17</v>
      </c>
      <c r="G75" s="4">
        <v>5622150</v>
      </c>
      <c r="H75" s="4">
        <v>2555550</v>
      </c>
      <c r="I75" s="4">
        <f>tPenjualan[[#This Row],[Penjualan]]-tPenjualan[[#This Row],[COGS]]</f>
        <v>3066600</v>
      </c>
      <c r="J75" s="12"/>
    </row>
    <row r="76" spans="1:10" x14ac:dyDescent="0.25">
      <c r="A76" s="2">
        <v>44440</v>
      </c>
      <c r="B76" s="3" t="s">
        <v>23</v>
      </c>
      <c r="C76" s="3" t="s">
        <v>28</v>
      </c>
      <c r="D76" s="3" t="s">
        <v>15</v>
      </c>
      <c r="E76" s="3" t="s">
        <v>41</v>
      </c>
      <c r="F76" s="3">
        <v>11</v>
      </c>
      <c r="G76" s="4">
        <v>3148800</v>
      </c>
      <c r="H76" s="4">
        <v>1330950</v>
      </c>
      <c r="I76" s="4">
        <f>tPenjualan[[#This Row],[Penjualan]]-tPenjualan[[#This Row],[COGS]]</f>
        <v>1817850</v>
      </c>
      <c r="J76" s="12"/>
    </row>
    <row r="77" spans="1:10" x14ac:dyDescent="0.25">
      <c r="A77" s="2">
        <v>44446</v>
      </c>
      <c r="B77" s="3" t="s">
        <v>13</v>
      </c>
      <c r="C77" s="3" t="s">
        <v>14</v>
      </c>
      <c r="D77" s="3" t="s">
        <v>18</v>
      </c>
      <c r="E77" s="3" t="s">
        <v>27</v>
      </c>
      <c r="F77" s="3">
        <v>11</v>
      </c>
      <c r="G77" s="4">
        <v>3633900</v>
      </c>
      <c r="H77" s="4">
        <v>1663650</v>
      </c>
      <c r="I77" s="4">
        <f>tPenjualan[[#This Row],[Penjualan]]-tPenjualan[[#This Row],[COGS]]</f>
        <v>1970250</v>
      </c>
      <c r="J77" s="12"/>
    </row>
    <row r="78" spans="1:10" x14ac:dyDescent="0.25">
      <c r="A78" s="2">
        <v>44451</v>
      </c>
      <c r="B78" s="3" t="s">
        <v>13</v>
      </c>
      <c r="C78" s="3" t="s">
        <v>14</v>
      </c>
      <c r="D78" s="3" t="s">
        <v>11</v>
      </c>
      <c r="E78" s="3" t="s">
        <v>35</v>
      </c>
      <c r="F78" s="3">
        <v>15</v>
      </c>
      <c r="G78" s="4">
        <v>4959150</v>
      </c>
      <c r="H78" s="4">
        <v>2256450</v>
      </c>
      <c r="I78" s="4">
        <f>tPenjualan[[#This Row],[Penjualan]]-tPenjualan[[#This Row],[COGS]]</f>
        <v>2702700</v>
      </c>
      <c r="J78" s="12"/>
    </row>
    <row r="79" spans="1:10" x14ac:dyDescent="0.25">
      <c r="A79" s="2">
        <v>44455</v>
      </c>
      <c r="B79" s="3" t="s">
        <v>9</v>
      </c>
      <c r="C79" s="3" t="s">
        <v>24</v>
      </c>
      <c r="D79" s="3" t="s">
        <v>18</v>
      </c>
      <c r="E79" s="3" t="s">
        <v>42</v>
      </c>
      <c r="F79" s="3">
        <v>49</v>
      </c>
      <c r="G79" s="4">
        <v>19857150</v>
      </c>
      <c r="H79" s="4">
        <v>10672350</v>
      </c>
      <c r="I79" s="4">
        <f>tPenjualan[[#This Row],[Penjualan]]-tPenjualan[[#This Row],[COGS]]</f>
        <v>9184800</v>
      </c>
      <c r="J79" s="12"/>
    </row>
    <row r="80" spans="1:10" x14ac:dyDescent="0.25">
      <c r="A80" s="2">
        <v>44455</v>
      </c>
      <c r="B80" s="3" t="s">
        <v>23</v>
      </c>
      <c r="C80" s="3" t="s">
        <v>28</v>
      </c>
      <c r="D80" s="3" t="s">
        <v>21</v>
      </c>
      <c r="E80" s="3" t="s">
        <v>50</v>
      </c>
      <c r="F80" s="3">
        <v>23</v>
      </c>
      <c r="G80" s="4">
        <v>6568800</v>
      </c>
      <c r="H80" s="4">
        <v>2764950</v>
      </c>
      <c r="I80" s="4">
        <f>tPenjualan[[#This Row],[Penjualan]]-tPenjualan[[#This Row],[COGS]]</f>
        <v>3803850</v>
      </c>
      <c r="J80" s="12"/>
    </row>
    <row r="81" spans="1:10" x14ac:dyDescent="0.25">
      <c r="A81" s="2">
        <v>44463</v>
      </c>
      <c r="B81" s="3" t="s">
        <v>9</v>
      </c>
      <c r="C81" s="3" t="s">
        <v>24</v>
      </c>
      <c r="D81" s="3" t="s">
        <v>18</v>
      </c>
      <c r="E81" s="3" t="s">
        <v>50</v>
      </c>
      <c r="F81" s="3">
        <v>17</v>
      </c>
      <c r="G81" s="4">
        <v>6889350</v>
      </c>
      <c r="H81" s="4">
        <v>3701250</v>
      </c>
      <c r="I81" s="4">
        <f>tPenjualan[[#This Row],[Penjualan]]-tPenjualan[[#This Row],[COGS]]</f>
        <v>3188100</v>
      </c>
      <c r="J81" s="12"/>
    </row>
    <row r="82" spans="1:10" x14ac:dyDescent="0.25">
      <c r="A82" s="2">
        <v>44466</v>
      </c>
      <c r="B82" s="3" t="s">
        <v>13</v>
      </c>
      <c r="C82" s="3" t="s">
        <v>24</v>
      </c>
      <c r="D82" s="3" t="s">
        <v>25</v>
      </c>
      <c r="E82" s="3" t="s">
        <v>51</v>
      </c>
      <c r="F82" s="3">
        <v>20</v>
      </c>
      <c r="G82" s="4">
        <v>6615000</v>
      </c>
      <c r="H82" s="4">
        <v>3008100</v>
      </c>
      <c r="I82" s="4">
        <f>tPenjualan[[#This Row],[Penjualan]]-tPenjualan[[#This Row],[COGS]]</f>
        <v>3606900</v>
      </c>
      <c r="J82" s="12"/>
    </row>
    <row r="83" spans="1:10" x14ac:dyDescent="0.25">
      <c r="A83" s="2">
        <v>44469</v>
      </c>
      <c r="B83" s="3" t="s">
        <v>20</v>
      </c>
      <c r="C83" s="3" t="s">
        <v>14</v>
      </c>
      <c r="D83" s="3" t="s">
        <v>11</v>
      </c>
      <c r="E83" s="3" t="s">
        <v>51</v>
      </c>
      <c r="F83" s="3">
        <v>44</v>
      </c>
      <c r="G83" s="4">
        <v>13864350</v>
      </c>
      <c r="H83" s="4">
        <v>6109650</v>
      </c>
      <c r="I83" s="4">
        <f>tPenjualan[[#This Row],[Penjualan]]-tPenjualan[[#This Row],[COGS]]</f>
        <v>7754700</v>
      </c>
      <c r="J83" s="12"/>
    </row>
    <row r="84" spans="1:10" x14ac:dyDescent="0.25">
      <c r="A84" s="2">
        <v>44470</v>
      </c>
      <c r="B84" s="3" t="s">
        <v>9</v>
      </c>
      <c r="C84" s="3" t="s">
        <v>10</v>
      </c>
      <c r="D84" s="3" t="s">
        <v>29</v>
      </c>
      <c r="E84" s="3" t="s">
        <v>47</v>
      </c>
      <c r="F84" s="3">
        <v>63</v>
      </c>
      <c r="G84" s="4">
        <v>25525200</v>
      </c>
      <c r="H84" s="4">
        <v>13706100</v>
      </c>
      <c r="I84" s="4">
        <f>tPenjualan[[#This Row],[Penjualan]]-tPenjualan[[#This Row],[COGS]]</f>
        <v>11819100</v>
      </c>
      <c r="J84" s="12"/>
    </row>
    <row r="85" spans="1:10" x14ac:dyDescent="0.25">
      <c r="A85" s="2">
        <v>44472</v>
      </c>
      <c r="B85" s="3" t="s">
        <v>20</v>
      </c>
      <c r="C85" s="3" t="s">
        <v>24</v>
      </c>
      <c r="D85" s="3" t="s">
        <v>29</v>
      </c>
      <c r="E85" s="3" t="s">
        <v>32</v>
      </c>
      <c r="F85" s="3">
        <v>63</v>
      </c>
      <c r="G85" s="4">
        <v>19850250</v>
      </c>
      <c r="H85" s="4">
        <v>8750400</v>
      </c>
      <c r="I85" s="4">
        <f>tPenjualan[[#This Row],[Penjualan]]-tPenjualan[[#This Row],[COGS]]</f>
        <v>11099850</v>
      </c>
      <c r="J85" s="12"/>
    </row>
    <row r="86" spans="1:10" x14ac:dyDescent="0.25">
      <c r="A86" s="2">
        <v>44472</v>
      </c>
      <c r="B86" s="3" t="s">
        <v>17</v>
      </c>
      <c r="C86" s="3" t="s">
        <v>10</v>
      </c>
      <c r="D86" s="3" t="s">
        <v>18</v>
      </c>
      <c r="E86" s="3" t="s">
        <v>54</v>
      </c>
      <c r="F86" s="3">
        <v>15</v>
      </c>
      <c r="G86" s="4">
        <v>5188200</v>
      </c>
      <c r="H86" s="4">
        <v>2486100</v>
      </c>
      <c r="I86" s="4">
        <f>tPenjualan[[#This Row],[Penjualan]]-tPenjualan[[#This Row],[COGS]]</f>
        <v>2702100</v>
      </c>
      <c r="J86" s="12"/>
    </row>
    <row r="87" spans="1:10" x14ac:dyDescent="0.25">
      <c r="A87" s="2">
        <v>44473</v>
      </c>
      <c r="B87" s="3" t="s">
        <v>23</v>
      </c>
      <c r="C87" s="3" t="s">
        <v>14</v>
      </c>
      <c r="D87" s="3" t="s">
        <v>18</v>
      </c>
      <c r="E87" s="3" t="s">
        <v>35</v>
      </c>
      <c r="F87" s="3">
        <v>40</v>
      </c>
      <c r="G87" s="4">
        <v>11403600</v>
      </c>
      <c r="H87" s="4">
        <v>4803000</v>
      </c>
      <c r="I87" s="4">
        <f>tPenjualan[[#This Row],[Penjualan]]-tPenjualan[[#This Row],[COGS]]</f>
        <v>6600600</v>
      </c>
      <c r="J87" s="12"/>
    </row>
    <row r="88" spans="1:10" x14ac:dyDescent="0.25">
      <c r="A88" s="2">
        <v>44475</v>
      </c>
      <c r="B88" s="3" t="s">
        <v>20</v>
      </c>
      <c r="C88" s="3" t="s">
        <v>14</v>
      </c>
      <c r="D88" s="3" t="s">
        <v>11</v>
      </c>
      <c r="E88" s="3" t="s">
        <v>48</v>
      </c>
      <c r="F88" s="3">
        <v>47</v>
      </c>
      <c r="G88" s="4">
        <v>14814300</v>
      </c>
      <c r="H88" s="4">
        <v>6527250</v>
      </c>
      <c r="I88" s="4">
        <f>tPenjualan[[#This Row],[Penjualan]]-tPenjualan[[#This Row],[COGS]]</f>
        <v>8287050</v>
      </c>
      <c r="J88" s="12"/>
    </row>
    <row r="89" spans="1:10" x14ac:dyDescent="0.25">
      <c r="A89" s="2">
        <v>44476</v>
      </c>
      <c r="B89" s="3" t="s">
        <v>23</v>
      </c>
      <c r="C89" s="3" t="s">
        <v>28</v>
      </c>
      <c r="D89" s="3" t="s">
        <v>18</v>
      </c>
      <c r="E89" s="3" t="s">
        <v>35</v>
      </c>
      <c r="F89" s="3">
        <v>64</v>
      </c>
      <c r="G89" s="4">
        <v>18241800</v>
      </c>
      <c r="H89" s="4">
        <v>7692900</v>
      </c>
      <c r="I89" s="4">
        <f>tPenjualan[[#This Row],[Penjualan]]-tPenjualan[[#This Row],[COGS]]</f>
        <v>10548900</v>
      </c>
      <c r="J89" s="12"/>
    </row>
    <row r="90" spans="1:10" x14ac:dyDescent="0.25">
      <c r="A90" s="2">
        <v>44478</v>
      </c>
      <c r="B90" s="3" t="s">
        <v>23</v>
      </c>
      <c r="C90" s="3" t="s">
        <v>14</v>
      </c>
      <c r="D90" s="3" t="s">
        <v>15</v>
      </c>
      <c r="E90" s="3" t="s">
        <v>45</v>
      </c>
      <c r="F90" s="3">
        <v>49</v>
      </c>
      <c r="G90" s="4">
        <v>13966350</v>
      </c>
      <c r="H90" s="4">
        <v>5893650</v>
      </c>
      <c r="I90" s="4">
        <f>tPenjualan[[#This Row],[Penjualan]]-tPenjualan[[#This Row],[COGS]]</f>
        <v>8072700</v>
      </c>
      <c r="J90" s="12"/>
    </row>
    <row r="91" spans="1:10" x14ac:dyDescent="0.25">
      <c r="A91" s="2">
        <v>44485</v>
      </c>
      <c r="B91" s="3" t="s">
        <v>13</v>
      </c>
      <c r="C91" s="3" t="s">
        <v>28</v>
      </c>
      <c r="D91" s="3" t="s">
        <v>11</v>
      </c>
      <c r="E91" s="3" t="s">
        <v>41</v>
      </c>
      <c r="F91" s="3">
        <v>56</v>
      </c>
      <c r="G91" s="4">
        <v>18480750</v>
      </c>
      <c r="H91" s="4">
        <v>8404350</v>
      </c>
      <c r="I91" s="4">
        <f>tPenjualan[[#This Row],[Penjualan]]-tPenjualan[[#This Row],[COGS]]</f>
        <v>10076400</v>
      </c>
      <c r="J91" s="12"/>
    </row>
    <row r="92" spans="1:10" x14ac:dyDescent="0.25">
      <c r="A92" s="2">
        <v>44486</v>
      </c>
      <c r="B92" s="3" t="s">
        <v>13</v>
      </c>
      <c r="C92" s="3" t="s">
        <v>28</v>
      </c>
      <c r="D92" s="3" t="s">
        <v>29</v>
      </c>
      <c r="E92" s="3" t="s">
        <v>26</v>
      </c>
      <c r="F92" s="3">
        <v>21</v>
      </c>
      <c r="G92" s="4">
        <v>6932550</v>
      </c>
      <c r="H92" s="4">
        <v>3162150</v>
      </c>
      <c r="I92" s="4">
        <f>tPenjualan[[#This Row],[Penjualan]]-tPenjualan[[#This Row],[COGS]]</f>
        <v>3770400</v>
      </c>
      <c r="J92" s="12"/>
    </row>
    <row r="93" spans="1:10" x14ac:dyDescent="0.25">
      <c r="A93" s="2">
        <v>44490</v>
      </c>
      <c r="B93" s="3" t="s">
        <v>9</v>
      </c>
      <c r="C93" s="3" t="s">
        <v>14</v>
      </c>
      <c r="D93" s="3" t="s">
        <v>11</v>
      </c>
      <c r="E93" s="3" t="s">
        <v>46</v>
      </c>
      <c r="F93" s="3">
        <v>25</v>
      </c>
      <c r="G93" s="4">
        <v>10136250</v>
      </c>
      <c r="H93" s="4">
        <v>5443350</v>
      </c>
      <c r="I93" s="4">
        <f>tPenjualan[[#This Row],[Penjualan]]-tPenjualan[[#This Row],[COGS]]</f>
        <v>4692900</v>
      </c>
      <c r="J93" s="12"/>
    </row>
    <row r="94" spans="1:10" x14ac:dyDescent="0.25">
      <c r="A94" s="2">
        <v>44498</v>
      </c>
      <c r="B94" s="3" t="s">
        <v>9</v>
      </c>
      <c r="C94" s="3" t="s">
        <v>28</v>
      </c>
      <c r="D94" s="3" t="s">
        <v>29</v>
      </c>
      <c r="E94" s="3" t="s">
        <v>43</v>
      </c>
      <c r="F94" s="3">
        <v>10</v>
      </c>
      <c r="G94" s="4">
        <v>4057500</v>
      </c>
      <c r="H94" s="4">
        <v>2183550</v>
      </c>
      <c r="I94" s="4">
        <f>tPenjualan[[#This Row],[Penjualan]]-tPenjualan[[#This Row],[COGS]]</f>
        <v>1873950</v>
      </c>
      <c r="J94" s="12"/>
    </row>
    <row r="95" spans="1:10" x14ac:dyDescent="0.25">
      <c r="A95" s="2">
        <v>44499</v>
      </c>
      <c r="B95" s="3" t="s">
        <v>9</v>
      </c>
      <c r="C95" s="3" t="s">
        <v>14</v>
      </c>
      <c r="D95" s="3" t="s">
        <v>25</v>
      </c>
      <c r="E95" s="3" t="s">
        <v>19</v>
      </c>
      <c r="F95" s="3">
        <v>29</v>
      </c>
      <c r="G95" s="4">
        <v>11756250</v>
      </c>
      <c r="H95" s="4">
        <v>6318000</v>
      </c>
      <c r="I95" s="4">
        <f>tPenjualan[[#This Row],[Penjualan]]-tPenjualan[[#This Row],[COGS]]</f>
        <v>5438250</v>
      </c>
      <c r="J95" s="12"/>
    </row>
    <row r="96" spans="1:10" x14ac:dyDescent="0.25">
      <c r="A96" s="2">
        <v>44503</v>
      </c>
      <c r="B96" s="3" t="s">
        <v>17</v>
      </c>
      <c r="C96" s="3" t="s">
        <v>14</v>
      </c>
      <c r="D96" s="3" t="s">
        <v>18</v>
      </c>
      <c r="E96" s="3" t="s">
        <v>41</v>
      </c>
      <c r="F96" s="3">
        <v>53</v>
      </c>
      <c r="G96" s="4">
        <v>18295500</v>
      </c>
      <c r="H96" s="4">
        <v>8755200</v>
      </c>
      <c r="I96" s="4">
        <f>tPenjualan[[#This Row],[Penjualan]]-tPenjualan[[#This Row],[COGS]]</f>
        <v>9540300</v>
      </c>
      <c r="J96" s="12"/>
    </row>
    <row r="97" spans="1:10" x14ac:dyDescent="0.25">
      <c r="A97" s="2">
        <v>44507</v>
      </c>
      <c r="B97" s="3" t="s">
        <v>23</v>
      </c>
      <c r="C97" s="3" t="s">
        <v>10</v>
      </c>
      <c r="D97" s="3" t="s">
        <v>29</v>
      </c>
      <c r="E97" s="3" t="s">
        <v>50</v>
      </c>
      <c r="F97" s="3">
        <v>49</v>
      </c>
      <c r="G97" s="4">
        <v>13972350</v>
      </c>
      <c r="H97" s="4">
        <v>5892600</v>
      </c>
      <c r="I97" s="4">
        <f>tPenjualan[[#This Row],[Penjualan]]-tPenjualan[[#This Row],[COGS]]</f>
        <v>8079750</v>
      </c>
      <c r="J97" s="12"/>
    </row>
    <row r="98" spans="1:10" x14ac:dyDescent="0.25">
      <c r="A98" s="2">
        <v>44515</v>
      </c>
      <c r="B98" s="3" t="s">
        <v>20</v>
      </c>
      <c r="C98" s="3" t="s">
        <v>28</v>
      </c>
      <c r="D98" s="3" t="s">
        <v>11</v>
      </c>
      <c r="E98" s="3" t="s">
        <v>42</v>
      </c>
      <c r="F98" s="3">
        <v>29</v>
      </c>
      <c r="G98" s="4">
        <v>9136800</v>
      </c>
      <c r="H98" s="4">
        <v>4037400.0000000005</v>
      </c>
      <c r="I98" s="4">
        <f>tPenjualan[[#This Row],[Penjualan]]-tPenjualan[[#This Row],[COGS]]</f>
        <v>5099400</v>
      </c>
      <c r="J98" s="12"/>
    </row>
    <row r="99" spans="1:10" x14ac:dyDescent="0.25">
      <c r="A99" s="2">
        <v>44519</v>
      </c>
      <c r="B99" s="3" t="s">
        <v>20</v>
      </c>
      <c r="C99" s="3" t="s">
        <v>28</v>
      </c>
      <c r="D99" s="3" t="s">
        <v>29</v>
      </c>
      <c r="E99" s="3" t="s">
        <v>30</v>
      </c>
      <c r="F99" s="3">
        <v>19</v>
      </c>
      <c r="G99" s="4">
        <v>5985300</v>
      </c>
      <c r="H99" s="4">
        <v>2648250</v>
      </c>
      <c r="I99" s="4">
        <f>tPenjualan[[#This Row],[Penjualan]]-tPenjualan[[#This Row],[COGS]]</f>
        <v>3337050</v>
      </c>
      <c r="J99" s="12"/>
    </row>
    <row r="100" spans="1:10" x14ac:dyDescent="0.25">
      <c r="A100" s="2">
        <v>44522</v>
      </c>
      <c r="B100" s="3" t="s">
        <v>9</v>
      </c>
      <c r="C100" s="3" t="s">
        <v>28</v>
      </c>
      <c r="D100" s="3" t="s">
        <v>18</v>
      </c>
      <c r="E100" s="3" t="s">
        <v>43</v>
      </c>
      <c r="F100" s="3">
        <v>17</v>
      </c>
      <c r="G100" s="4">
        <v>6899250</v>
      </c>
      <c r="H100" s="4">
        <v>3708450</v>
      </c>
      <c r="I100" s="4">
        <f>tPenjualan[[#This Row],[Penjualan]]-tPenjualan[[#This Row],[COGS]]</f>
        <v>3190800</v>
      </c>
      <c r="J100" s="12"/>
    </row>
    <row r="101" spans="1:10" x14ac:dyDescent="0.25">
      <c r="A101" s="2">
        <v>44525</v>
      </c>
      <c r="B101" s="3" t="s">
        <v>13</v>
      </c>
      <c r="C101" s="3" t="s">
        <v>10</v>
      </c>
      <c r="D101" s="3" t="s">
        <v>21</v>
      </c>
      <c r="E101" s="3" t="s">
        <v>32</v>
      </c>
      <c r="F101" s="3">
        <v>53</v>
      </c>
      <c r="G101" s="4">
        <v>17494650</v>
      </c>
      <c r="H101" s="4">
        <v>7953600</v>
      </c>
      <c r="I101" s="4">
        <f>tPenjualan[[#This Row],[Penjualan]]-tPenjualan[[#This Row],[COGS]]</f>
        <v>9541050</v>
      </c>
      <c r="J101" s="12"/>
    </row>
    <row r="102" spans="1:10" x14ac:dyDescent="0.25">
      <c r="A102" s="2">
        <v>44526</v>
      </c>
      <c r="B102" s="3" t="s">
        <v>17</v>
      </c>
      <c r="C102" s="3" t="s">
        <v>14</v>
      </c>
      <c r="D102" s="3" t="s">
        <v>18</v>
      </c>
      <c r="E102" s="3" t="s">
        <v>31</v>
      </c>
      <c r="F102" s="3">
        <v>29</v>
      </c>
      <c r="G102" s="4">
        <v>10019850</v>
      </c>
      <c r="H102" s="4">
        <v>4791750</v>
      </c>
      <c r="I102" s="4">
        <f>tPenjualan[[#This Row],[Penjualan]]-tPenjualan[[#This Row],[COGS]]</f>
        <v>5228100</v>
      </c>
      <c r="J102" s="12"/>
    </row>
    <row r="103" spans="1:10" x14ac:dyDescent="0.25">
      <c r="A103" s="2">
        <v>44529</v>
      </c>
      <c r="B103" s="3" t="s">
        <v>13</v>
      </c>
      <c r="C103" s="3" t="s">
        <v>28</v>
      </c>
      <c r="D103" s="3" t="s">
        <v>18</v>
      </c>
      <c r="E103" s="3" t="s">
        <v>12</v>
      </c>
      <c r="F103" s="3">
        <v>16</v>
      </c>
      <c r="G103" s="4">
        <v>5283000</v>
      </c>
      <c r="H103" s="4">
        <v>2409900</v>
      </c>
      <c r="I103" s="4">
        <f>tPenjualan[[#This Row],[Penjualan]]-tPenjualan[[#This Row],[COGS]]</f>
        <v>2873100</v>
      </c>
      <c r="J103" s="12"/>
    </row>
    <row r="104" spans="1:10" x14ac:dyDescent="0.25">
      <c r="A104" s="2">
        <v>44533</v>
      </c>
      <c r="B104" s="3" t="s">
        <v>13</v>
      </c>
      <c r="C104" s="3" t="s">
        <v>10</v>
      </c>
      <c r="D104" s="3" t="s">
        <v>18</v>
      </c>
      <c r="E104" s="3" t="s">
        <v>45</v>
      </c>
      <c r="F104" s="3">
        <v>27</v>
      </c>
      <c r="G104" s="4">
        <v>8911350</v>
      </c>
      <c r="H104" s="4">
        <v>4056300.0000000005</v>
      </c>
      <c r="I104" s="4">
        <f>tPenjualan[[#This Row],[Penjualan]]-tPenjualan[[#This Row],[COGS]]</f>
        <v>4855050</v>
      </c>
      <c r="J104" s="12"/>
    </row>
    <row r="105" spans="1:10" x14ac:dyDescent="0.25">
      <c r="A105" s="2">
        <v>44538</v>
      </c>
      <c r="B105" s="3" t="s">
        <v>13</v>
      </c>
      <c r="C105" s="3" t="s">
        <v>24</v>
      </c>
      <c r="D105" s="3" t="s">
        <v>29</v>
      </c>
      <c r="E105" s="3" t="s">
        <v>26</v>
      </c>
      <c r="F105" s="3">
        <v>10</v>
      </c>
      <c r="G105" s="4">
        <v>3302700</v>
      </c>
      <c r="H105" s="4">
        <v>1512600</v>
      </c>
      <c r="I105" s="4">
        <f>tPenjualan[[#This Row],[Penjualan]]-tPenjualan[[#This Row],[COGS]]</f>
        <v>1790100</v>
      </c>
      <c r="J105" s="12"/>
    </row>
    <row r="106" spans="1:10" x14ac:dyDescent="0.25">
      <c r="A106" s="2">
        <v>44551</v>
      </c>
      <c r="B106" s="3" t="s">
        <v>13</v>
      </c>
      <c r="C106" s="3" t="s">
        <v>24</v>
      </c>
      <c r="D106" s="3" t="s">
        <v>15</v>
      </c>
      <c r="E106" s="3" t="s">
        <v>32</v>
      </c>
      <c r="F106" s="3">
        <v>50</v>
      </c>
      <c r="G106" s="4">
        <v>16502100.000000002</v>
      </c>
      <c r="H106" s="4">
        <v>7502400</v>
      </c>
      <c r="I106" s="4">
        <f>tPenjualan[[#This Row],[Penjualan]]-tPenjualan[[#This Row],[COGS]]</f>
        <v>8999700.0000000019</v>
      </c>
      <c r="J106" s="12"/>
    </row>
    <row r="107" spans="1:10" x14ac:dyDescent="0.25">
      <c r="A107" s="6">
        <v>44553</v>
      </c>
      <c r="B107" s="7" t="s">
        <v>23</v>
      </c>
      <c r="C107" s="7" t="s">
        <v>14</v>
      </c>
      <c r="D107" s="7" t="s">
        <v>18</v>
      </c>
      <c r="E107" s="7" t="s">
        <v>52</v>
      </c>
      <c r="F107" s="7">
        <v>51</v>
      </c>
      <c r="G107" s="8">
        <v>14545800</v>
      </c>
      <c r="H107" s="8">
        <v>6121200</v>
      </c>
      <c r="I107" s="4">
        <f>tPenjualan[[#This Row],[Penjualan]]-tPenjualan[[#This Row],[COGS]]</f>
        <v>8424600</v>
      </c>
      <c r="J107" s="12"/>
    </row>
    <row r="108" spans="1:10" x14ac:dyDescent="0.25">
      <c r="A108" s="2">
        <v>44580</v>
      </c>
      <c r="B108" s="3" t="s">
        <v>13</v>
      </c>
      <c r="C108" s="3" t="s">
        <v>10</v>
      </c>
      <c r="D108" s="3" t="s">
        <v>21</v>
      </c>
      <c r="E108" s="3" t="s">
        <v>52</v>
      </c>
      <c r="F108" s="3">
        <v>61</v>
      </c>
      <c r="G108" s="4">
        <v>75009000</v>
      </c>
      <c r="H108" s="4">
        <v>9152400</v>
      </c>
      <c r="I108" s="4">
        <f>tPenjualan[[#This Row],[Penjualan]]-tPenjualan[[#This Row],[COGS]]</f>
        <v>65856600</v>
      </c>
      <c r="J108" s="12"/>
    </row>
    <row r="109" spans="1:10" x14ac:dyDescent="0.25">
      <c r="A109" s="2">
        <v>44629</v>
      </c>
      <c r="B109" s="3" t="s">
        <v>23</v>
      </c>
      <c r="C109" s="3" t="s">
        <v>24</v>
      </c>
      <c r="D109" s="3" t="s">
        <v>18</v>
      </c>
      <c r="E109" s="3" t="s">
        <v>12</v>
      </c>
      <c r="F109" s="3">
        <v>42</v>
      </c>
      <c r="G109" s="4">
        <v>11977950</v>
      </c>
      <c r="H109" s="4">
        <v>5042400</v>
      </c>
      <c r="I109" s="4">
        <f>tPenjualan[[#This Row],[Penjualan]]-tPenjualan[[#This Row],[COGS]]</f>
        <v>6935550</v>
      </c>
      <c r="J109" s="12"/>
    </row>
    <row r="110" spans="1:10" x14ac:dyDescent="0.25">
      <c r="A110" s="2">
        <v>44596</v>
      </c>
      <c r="B110" s="3" t="s">
        <v>9</v>
      </c>
      <c r="C110" s="3" t="s">
        <v>10</v>
      </c>
      <c r="D110" s="3" t="s">
        <v>21</v>
      </c>
      <c r="E110" s="3" t="s">
        <v>32</v>
      </c>
      <c r="F110" s="3">
        <v>30</v>
      </c>
      <c r="G110" s="4">
        <v>12160650</v>
      </c>
      <c r="H110" s="4">
        <v>6534600</v>
      </c>
      <c r="I110" s="4">
        <f>tPenjualan[[#This Row],[Penjualan]]-tPenjualan[[#This Row],[COGS]]</f>
        <v>5626050</v>
      </c>
      <c r="J110" s="12"/>
    </row>
    <row r="111" spans="1:10" x14ac:dyDescent="0.25">
      <c r="A111" s="2">
        <v>44612</v>
      </c>
      <c r="B111" s="3" t="s">
        <v>17</v>
      </c>
      <c r="C111" s="3" t="s">
        <v>10</v>
      </c>
      <c r="D111" s="3" t="s">
        <v>25</v>
      </c>
      <c r="E111" s="3" t="s">
        <v>53</v>
      </c>
      <c r="F111" s="3">
        <v>60</v>
      </c>
      <c r="G111" s="4">
        <v>20701050</v>
      </c>
      <c r="H111" s="4">
        <v>9906000</v>
      </c>
      <c r="I111" s="4">
        <f>tPenjualan[[#This Row],[Penjualan]]-tPenjualan[[#This Row],[COGS]]</f>
        <v>10795050</v>
      </c>
      <c r="J111" s="12"/>
    </row>
    <row r="112" spans="1:10" x14ac:dyDescent="0.25">
      <c r="A112" s="2">
        <v>44639</v>
      </c>
      <c r="B112" s="3" t="s">
        <v>9</v>
      </c>
      <c r="C112" s="3" t="s">
        <v>24</v>
      </c>
      <c r="D112" s="3" t="s">
        <v>25</v>
      </c>
      <c r="E112" s="3" t="s">
        <v>47</v>
      </c>
      <c r="F112" s="3">
        <v>62</v>
      </c>
      <c r="G112" s="4">
        <v>25122300</v>
      </c>
      <c r="H112" s="4">
        <v>13493400</v>
      </c>
      <c r="I112" s="4">
        <f>tPenjualan[[#This Row],[Penjualan]]-tPenjualan[[#This Row],[COGS]]</f>
        <v>11628900</v>
      </c>
      <c r="J112" s="12"/>
    </row>
    <row r="113" spans="1:10" x14ac:dyDescent="0.25">
      <c r="A113" s="2">
        <v>44632</v>
      </c>
      <c r="B113" s="3" t="s">
        <v>13</v>
      </c>
      <c r="C113" s="3" t="s">
        <v>24</v>
      </c>
      <c r="D113" s="3" t="s">
        <v>15</v>
      </c>
      <c r="E113" s="3" t="s">
        <v>49</v>
      </c>
      <c r="F113" s="3">
        <v>17</v>
      </c>
      <c r="G113" s="4">
        <v>5622150</v>
      </c>
      <c r="H113" s="4">
        <v>2555550</v>
      </c>
      <c r="I113" s="4">
        <f>tPenjualan[[#This Row],[Penjualan]]-tPenjualan[[#This Row],[COGS]]</f>
        <v>3066600</v>
      </c>
      <c r="J113" s="12"/>
    </row>
    <row r="114" spans="1:10" x14ac:dyDescent="0.25">
      <c r="A114" s="2">
        <v>44600</v>
      </c>
      <c r="B114" s="3" t="s">
        <v>23</v>
      </c>
      <c r="C114" s="3" t="s">
        <v>28</v>
      </c>
      <c r="D114" s="3" t="s">
        <v>15</v>
      </c>
      <c r="E114" s="3" t="s">
        <v>41</v>
      </c>
      <c r="F114" s="3">
        <v>11</v>
      </c>
      <c r="G114" s="4">
        <v>3148800</v>
      </c>
      <c r="H114" s="4">
        <v>1330950</v>
      </c>
      <c r="I114" s="4">
        <f>tPenjualan[[#This Row],[Penjualan]]-tPenjualan[[#This Row],[COGS]]</f>
        <v>1817850</v>
      </c>
      <c r="J114" s="12"/>
    </row>
    <row r="115" spans="1:10" x14ac:dyDescent="0.25">
      <c r="A115" s="2">
        <v>44619</v>
      </c>
      <c r="B115" s="3" t="s">
        <v>13</v>
      </c>
      <c r="C115" s="3" t="s">
        <v>14</v>
      </c>
      <c r="D115" s="3" t="s">
        <v>18</v>
      </c>
      <c r="E115" s="3" t="s">
        <v>27</v>
      </c>
      <c r="F115" s="3">
        <v>11</v>
      </c>
      <c r="G115" s="4">
        <v>3633900</v>
      </c>
      <c r="H115" s="4">
        <v>1663650</v>
      </c>
      <c r="I115" s="4">
        <f>tPenjualan[[#This Row],[Penjualan]]-tPenjualan[[#This Row],[COGS]]</f>
        <v>1970250</v>
      </c>
      <c r="J115" s="12"/>
    </row>
    <row r="116" spans="1:10" x14ac:dyDescent="0.25">
      <c r="A116" s="2">
        <v>44643</v>
      </c>
      <c r="B116" s="3" t="s">
        <v>13</v>
      </c>
      <c r="C116" s="3" t="s">
        <v>14</v>
      </c>
      <c r="D116" s="3" t="s">
        <v>11</v>
      </c>
      <c r="E116" s="3" t="s">
        <v>35</v>
      </c>
      <c r="F116" s="3">
        <v>15</v>
      </c>
      <c r="G116" s="4">
        <v>4959150</v>
      </c>
      <c r="H116" s="4">
        <v>2256450</v>
      </c>
      <c r="I116" s="4">
        <f>tPenjualan[[#This Row],[Penjualan]]-tPenjualan[[#This Row],[COGS]]</f>
        <v>2702700</v>
      </c>
      <c r="J116" s="12"/>
    </row>
    <row r="117" spans="1:10" x14ac:dyDescent="0.25">
      <c r="A117" s="2">
        <v>44612</v>
      </c>
      <c r="B117" s="3" t="s">
        <v>9</v>
      </c>
      <c r="C117" s="3" t="s">
        <v>24</v>
      </c>
      <c r="D117" s="3" t="s">
        <v>18</v>
      </c>
      <c r="E117" s="3" t="s">
        <v>42</v>
      </c>
      <c r="F117" s="3">
        <v>49</v>
      </c>
      <c r="G117" s="4">
        <v>19857150</v>
      </c>
      <c r="H117" s="4">
        <v>10672350</v>
      </c>
      <c r="I117" s="4">
        <f>tPenjualan[[#This Row],[Penjualan]]-tPenjualan[[#This Row],[COGS]]</f>
        <v>9184800</v>
      </c>
      <c r="J117" s="12"/>
    </row>
    <row r="118" spans="1:10" x14ac:dyDescent="0.25">
      <c r="A118" s="2">
        <v>44608</v>
      </c>
      <c r="B118" s="3" t="s">
        <v>23</v>
      </c>
      <c r="C118" s="3" t="s">
        <v>28</v>
      </c>
      <c r="D118" s="3" t="s">
        <v>21</v>
      </c>
      <c r="E118" s="3" t="s">
        <v>50</v>
      </c>
      <c r="F118" s="3">
        <v>23</v>
      </c>
      <c r="G118" s="4">
        <v>6568800</v>
      </c>
      <c r="H118" s="4">
        <v>2764950</v>
      </c>
      <c r="I118" s="4">
        <f>tPenjualan[[#This Row],[Penjualan]]-tPenjualan[[#This Row],[COGS]]</f>
        <v>3803850</v>
      </c>
      <c r="J118" s="12"/>
    </row>
    <row r="119" spans="1:10" x14ac:dyDescent="0.25">
      <c r="A119" s="2">
        <v>44645</v>
      </c>
      <c r="B119" s="3" t="s">
        <v>9</v>
      </c>
      <c r="C119" s="3" t="s">
        <v>24</v>
      </c>
      <c r="D119" s="3" t="s">
        <v>18</v>
      </c>
      <c r="E119" s="3" t="s">
        <v>50</v>
      </c>
      <c r="F119" s="3">
        <v>17</v>
      </c>
      <c r="G119" s="4">
        <v>6889350</v>
      </c>
      <c r="H119" s="4">
        <v>3701250</v>
      </c>
      <c r="I119" s="4">
        <f>tPenjualan[[#This Row],[Penjualan]]-tPenjualan[[#This Row],[COGS]]</f>
        <v>3188100</v>
      </c>
      <c r="J119" s="12"/>
    </row>
    <row r="120" spans="1:10" x14ac:dyDescent="0.25">
      <c r="A120" s="2">
        <v>44577</v>
      </c>
      <c r="B120" s="3" t="s">
        <v>13</v>
      </c>
      <c r="C120" s="3" t="s">
        <v>24</v>
      </c>
      <c r="D120" s="3" t="s">
        <v>25</v>
      </c>
      <c r="E120" s="3" t="s">
        <v>51</v>
      </c>
      <c r="F120" s="3">
        <v>20</v>
      </c>
      <c r="G120" s="4">
        <v>6615000</v>
      </c>
      <c r="H120" s="4">
        <v>3008100</v>
      </c>
      <c r="I120" s="4">
        <f>tPenjualan[[#This Row],[Penjualan]]-tPenjualan[[#This Row],[COGS]]</f>
        <v>3606900</v>
      </c>
      <c r="J120" s="12"/>
    </row>
    <row r="121" spans="1:10" x14ac:dyDescent="0.25">
      <c r="A121" s="2">
        <v>44592</v>
      </c>
      <c r="B121" s="3" t="s">
        <v>20</v>
      </c>
      <c r="C121" s="3" t="s">
        <v>14</v>
      </c>
      <c r="D121" s="3" t="s">
        <v>11</v>
      </c>
      <c r="E121" s="3" t="s">
        <v>51</v>
      </c>
      <c r="F121" s="3">
        <v>44</v>
      </c>
      <c r="G121" s="4">
        <v>13864350</v>
      </c>
      <c r="H121" s="4">
        <v>6109650</v>
      </c>
      <c r="I121" s="4">
        <f>tPenjualan[[#This Row],[Penjualan]]-tPenjualan[[#This Row],[COGS]]</f>
        <v>7754700</v>
      </c>
      <c r="J121" s="12"/>
    </row>
    <row r="122" spans="1:10" x14ac:dyDescent="0.25">
      <c r="A122" s="2">
        <v>44646</v>
      </c>
      <c r="B122" s="3" t="s">
        <v>9</v>
      </c>
      <c r="C122" s="3" t="s">
        <v>10</v>
      </c>
      <c r="D122" s="3" t="s">
        <v>29</v>
      </c>
      <c r="E122" s="3" t="s">
        <v>47</v>
      </c>
      <c r="F122" s="3">
        <v>63</v>
      </c>
      <c r="G122" s="4">
        <v>25525200</v>
      </c>
      <c r="H122" s="4">
        <v>13706100</v>
      </c>
      <c r="I122" s="4">
        <f>tPenjualan[[#This Row],[Penjualan]]-tPenjualan[[#This Row],[COGS]]</f>
        <v>11819100</v>
      </c>
      <c r="J122" s="12"/>
    </row>
    <row r="123" spans="1:10" x14ac:dyDescent="0.25">
      <c r="A123" s="2">
        <v>44586</v>
      </c>
      <c r="B123" s="3" t="s">
        <v>20</v>
      </c>
      <c r="C123" s="3" t="s">
        <v>24</v>
      </c>
      <c r="D123" s="3" t="s">
        <v>29</v>
      </c>
      <c r="E123" s="3" t="s">
        <v>32</v>
      </c>
      <c r="F123" s="3">
        <v>63</v>
      </c>
      <c r="G123" s="4">
        <v>19850250</v>
      </c>
      <c r="H123" s="4">
        <v>8750400</v>
      </c>
      <c r="I123" s="4">
        <f>tPenjualan[[#This Row],[Penjualan]]-tPenjualan[[#This Row],[COGS]]</f>
        <v>11099850</v>
      </c>
      <c r="J123" s="12"/>
    </row>
    <row r="124" spans="1:10" x14ac:dyDescent="0.25">
      <c r="A124" s="2">
        <v>44631</v>
      </c>
      <c r="B124" s="3" t="s">
        <v>17</v>
      </c>
      <c r="C124" s="3" t="s">
        <v>10</v>
      </c>
      <c r="D124" s="3" t="s">
        <v>18</v>
      </c>
      <c r="E124" s="3" t="s">
        <v>54</v>
      </c>
      <c r="F124" s="3">
        <v>15</v>
      </c>
      <c r="G124" s="4">
        <v>5188200</v>
      </c>
      <c r="H124" s="4">
        <v>2486100</v>
      </c>
      <c r="I124" s="4">
        <f>tPenjualan[[#This Row],[Penjualan]]-tPenjualan[[#This Row],[COGS]]</f>
        <v>2702100</v>
      </c>
      <c r="J124" s="12"/>
    </row>
    <row r="125" spans="1:10" x14ac:dyDescent="0.25">
      <c r="A125" s="2">
        <v>44615</v>
      </c>
      <c r="B125" s="3" t="s">
        <v>23</v>
      </c>
      <c r="C125" s="3" t="s">
        <v>14</v>
      </c>
      <c r="D125" s="3" t="s">
        <v>18</v>
      </c>
      <c r="E125" s="3" t="s">
        <v>35</v>
      </c>
      <c r="F125" s="3">
        <v>40</v>
      </c>
      <c r="G125" s="4">
        <v>11403600</v>
      </c>
      <c r="H125" s="4">
        <v>4803000</v>
      </c>
      <c r="I125" s="4">
        <f>tPenjualan[[#This Row],[Penjualan]]-tPenjualan[[#This Row],[COGS]]</f>
        <v>6600600</v>
      </c>
      <c r="J125" s="12"/>
    </row>
    <row r="126" spans="1:10" x14ac:dyDescent="0.25">
      <c r="A126" s="2">
        <v>44564</v>
      </c>
      <c r="B126" s="3" t="s">
        <v>20</v>
      </c>
      <c r="C126" s="3" t="s">
        <v>14</v>
      </c>
      <c r="D126" s="3" t="s">
        <v>11</v>
      </c>
      <c r="E126" s="3" t="s">
        <v>48</v>
      </c>
      <c r="F126" s="3">
        <v>47</v>
      </c>
      <c r="G126" s="4">
        <v>14814300</v>
      </c>
      <c r="H126" s="4">
        <v>6527250</v>
      </c>
      <c r="I126" s="4">
        <f>tPenjualan[[#This Row],[Penjualan]]-tPenjualan[[#This Row],[COGS]]</f>
        <v>8287050</v>
      </c>
      <c r="J126" s="12"/>
    </row>
    <row r="127" spans="1:10" x14ac:dyDescent="0.25">
      <c r="A127" s="2">
        <v>44578</v>
      </c>
      <c r="B127" s="3" t="s">
        <v>23</v>
      </c>
      <c r="C127" s="3" t="s">
        <v>28</v>
      </c>
      <c r="D127" s="3" t="s">
        <v>18</v>
      </c>
      <c r="E127" s="3" t="s">
        <v>35</v>
      </c>
      <c r="F127" s="3">
        <v>64</v>
      </c>
      <c r="G127" s="4">
        <v>18241800</v>
      </c>
      <c r="H127" s="4">
        <v>7692900</v>
      </c>
      <c r="I127" s="4">
        <f>tPenjualan[[#This Row],[Penjualan]]-tPenjualan[[#This Row],[COGS]]</f>
        <v>10548900</v>
      </c>
      <c r="J127" s="12"/>
    </row>
    <row r="128" spans="1:10" x14ac:dyDescent="0.25">
      <c r="A128" s="2">
        <v>44575</v>
      </c>
      <c r="B128" s="3" t="s">
        <v>23</v>
      </c>
      <c r="C128" s="3" t="s">
        <v>14</v>
      </c>
      <c r="D128" s="3" t="s">
        <v>15</v>
      </c>
      <c r="E128" s="3" t="s">
        <v>45</v>
      </c>
      <c r="F128" s="3">
        <v>49</v>
      </c>
      <c r="G128" s="4">
        <v>13966350</v>
      </c>
      <c r="H128" s="4">
        <v>5893650</v>
      </c>
      <c r="I128" s="4">
        <f>tPenjualan[[#This Row],[Penjualan]]-tPenjualan[[#This Row],[COGS]]</f>
        <v>8072700</v>
      </c>
      <c r="J128" s="12"/>
    </row>
    <row r="129" spans="1:10" x14ac:dyDescent="0.25">
      <c r="A129" s="2">
        <v>44569</v>
      </c>
      <c r="B129" s="3" t="s">
        <v>13</v>
      </c>
      <c r="C129" s="3" t="s">
        <v>28</v>
      </c>
      <c r="D129" s="3" t="s">
        <v>11</v>
      </c>
      <c r="E129" s="3" t="s">
        <v>41</v>
      </c>
      <c r="F129" s="3">
        <v>56</v>
      </c>
      <c r="G129" s="4">
        <v>18480750</v>
      </c>
      <c r="H129" s="4">
        <v>8404350</v>
      </c>
      <c r="I129" s="4">
        <f>tPenjualan[[#This Row],[Penjualan]]-tPenjualan[[#This Row],[COGS]]</f>
        <v>10076400</v>
      </c>
      <c r="J129" s="12"/>
    </row>
    <row r="130" spans="1:10" x14ac:dyDescent="0.25">
      <c r="A130" s="2">
        <v>44626</v>
      </c>
      <c r="B130" s="3" t="s">
        <v>13</v>
      </c>
      <c r="C130" s="3" t="s">
        <v>28</v>
      </c>
      <c r="D130" s="3" t="s">
        <v>29</v>
      </c>
      <c r="E130" s="3" t="s">
        <v>26</v>
      </c>
      <c r="F130" s="3">
        <v>21</v>
      </c>
      <c r="G130" s="4">
        <v>6932550</v>
      </c>
      <c r="H130" s="4">
        <v>3162150</v>
      </c>
      <c r="I130" s="4">
        <f>tPenjualan[[#This Row],[Penjualan]]-tPenjualan[[#This Row],[COGS]]</f>
        <v>3770400</v>
      </c>
      <c r="J130" s="12"/>
    </row>
    <row r="131" spans="1:10" x14ac:dyDescent="0.25">
      <c r="A131" s="2">
        <v>44636</v>
      </c>
      <c r="B131" s="3" t="s">
        <v>9</v>
      </c>
      <c r="C131" s="3" t="s">
        <v>14</v>
      </c>
      <c r="D131" s="3" t="s">
        <v>11</v>
      </c>
      <c r="E131" s="3" t="s">
        <v>46</v>
      </c>
      <c r="F131" s="3">
        <v>25</v>
      </c>
      <c r="G131" s="4">
        <v>10136250</v>
      </c>
      <c r="H131" s="4">
        <v>5443350</v>
      </c>
      <c r="I131" s="4">
        <f>tPenjualan[[#This Row],[Penjualan]]-tPenjualan[[#This Row],[COGS]]</f>
        <v>4692900</v>
      </c>
      <c r="J131" s="12"/>
    </row>
    <row r="132" spans="1:10" x14ac:dyDescent="0.25">
      <c r="A132" s="2">
        <v>44612</v>
      </c>
      <c r="B132" s="3" t="s">
        <v>9</v>
      </c>
      <c r="C132" s="3" t="s">
        <v>28</v>
      </c>
      <c r="D132" s="3" t="s">
        <v>29</v>
      </c>
      <c r="E132" s="3" t="s">
        <v>43</v>
      </c>
      <c r="F132" s="3">
        <v>10</v>
      </c>
      <c r="G132" s="4">
        <v>4057500</v>
      </c>
      <c r="H132" s="4">
        <v>2183550</v>
      </c>
      <c r="I132" s="4">
        <f>tPenjualan[[#This Row],[Penjualan]]-tPenjualan[[#This Row],[COGS]]</f>
        <v>1873950</v>
      </c>
      <c r="J132" s="12"/>
    </row>
    <row r="133" spans="1:10" x14ac:dyDescent="0.25">
      <c r="A133" s="2">
        <v>44647</v>
      </c>
      <c r="B133" s="3" t="s">
        <v>9</v>
      </c>
      <c r="C133" s="3" t="s">
        <v>14</v>
      </c>
      <c r="D133" s="3" t="s">
        <v>25</v>
      </c>
      <c r="E133" s="3" t="s">
        <v>19</v>
      </c>
      <c r="F133" s="3">
        <v>29</v>
      </c>
      <c r="G133" s="4">
        <v>11756250</v>
      </c>
      <c r="H133" s="4">
        <v>6318000</v>
      </c>
      <c r="I133" s="4">
        <f>tPenjualan[[#This Row],[Penjualan]]-tPenjualan[[#This Row],[COGS]]</f>
        <v>5438250</v>
      </c>
      <c r="J133" s="12"/>
    </row>
    <row r="134" spans="1:10" x14ac:dyDescent="0.25">
      <c r="A134" s="2">
        <v>44592</v>
      </c>
      <c r="B134" s="3" t="s">
        <v>17</v>
      </c>
      <c r="C134" s="3" t="s">
        <v>14</v>
      </c>
      <c r="D134" s="3" t="s">
        <v>18</v>
      </c>
      <c r="E134" s="3" t="s">
        <v>41</v>
      </c>
      <c r="F134" s="3">
        <v>53</v>
      </c>
      <c r="G134" s="4">
        <v>18295500</v>
      </c>
      <c r="H134" s="4">
        <v>8755200</v>
      </c>
      <c r="I134" s="4">
        <f>tPenjualan[[#This Row],[Penjualan]]-tPenjualan[[#This Row],[COGS]]</f>
        <v>9540300</v>
      </c>
      <c r="J134" s="12"/>
    </row>
    <row r="135" spans="1:10" x14ac:dyDescent="0.25">
      <c r="A135" s="2">
        <v>44587</v>
      </c>
      <c r="B135" s="3" t="s">
        <v>23</v>
      </c>
      <c r="C135" s="3" t="s">
        <v>10</v>
      </c>
      <c r="D135" s="3" t="s">
        <v>29</v>
      </c>
      <c r="E135" s="3" t="s">
        <v>50</v>
      </c>
      <c r="F135" s="3">
        <v>49</v>
      </c>
      <c r="G135" s="4">
        <v>13972350</v>
      </c>
      <c r="H135" s="4">
        <v>5892600</v>
      </c>
      <c r="I135" s="4">
        <f>tPenjualan[[#This Row],[Penjualan]]-tPenjualan[[#This Row],[COGS]]</f>
        <v>8079750</v>
      </c>
      <c r="J135" s="12"/>
    </row>
    <row r="136" spans="1:10" x14ac:dyDescent="0.25">
      <c r="A136" s="2">
        <v>44597</v>
      </c>
      <c r="B136" s="3" t="s">
        <v>20</v>
      </c>
      <c r="C136" s="3" t="s">
        <v>28</v>
      </c>
      <c r="D136" s="3" t="s">
        <v>11</v>
      </c>
      <c r="E136" s="3" t="s">
        <v>42</v>
      </c>
      <c r="F136" s="3">
        <v>29</v>
      </c>
      <c r="G136" s="4">
        <v>9136800</v>
      </c>
      <c r="H136" s="4">
        <v>4037400.0000000005</v>
      </c>
      <c r="I136" s="4">
        <f>tPenjualan[[#This Row],[Penjualan]]-tPenjualan[[#This Row],[COGS]]</f>
        <v>5099400</v>
      </c>
      <c r="J136" s="12"/>
    </row>
    <row r="137" spans="1:10" x14ac:dyDescent="0.25">
      <c r="A137" s="2">
        <v>44563</v>
      </c>
      <c r="B137" s="3" t="s">
        <v>20</v>
      </c>
      <c r="C137" s="3" t="s">
        <v>28</v>
      </c>
      <c r="D137" s="3" t="s">
        <v>29</v>
      </c>
      <c r="E137" s="3" t="s">
        <v>30</v>
      </c>
      <c r="F137" s="3">
        <v>19</v>
      </c>
      <c r="G137" s="4">
        <v>5985300</v>
      </c>
      <c r="H137" s="4">
        <v>2648250</v>
      </c>
      <c r="I137" s="4">
        <f>tPenjualan[[#This Row],[Penjualan]]-tPenjualan[[#This Row],[COGS]]</f>
        <v>3337050</v>
      </c>
      <c r="J137" s="12"/>
    </row>
    <row r="138" spans="1:10" x14ac:dyDescent="0.25">
      <c r="A138" s="2">
        <v>44603</v>
      </c>
      <c r="B138" s="3" t="s">
        <v>9</v>
      </c>
      <c r="C138" s="3" t="s">
        <v>28</v>
      </c>
      <c r="D138" s="3" t="s">
        <v>18</v>
      </c>
      <c r="E138" s="3" t="s">
        <v>43</v>
      </c>
      <c r="F138" s="3">
        <v>17</v>
      </c>
      <c r="G138" s="4">
        <v>6899250</v>
      </c>
      <c r="H138" s="4">
        <v>3708450</v>
      </c>
      <c r="I138" s="4">
        <f>tPenjualan[[#This Row],[Penjualan]]-tPenjualan[[#This Row],[COGS]]</f>
        <v>3190800</v>
      </c>
      <c r="J138" s="12"/>
    </row>
    <row r="139" spans="1:10" x14ac:dyDescent="0.25">
      <c r="A139" s="2">
        <v>44630</v>
      </c>
      <c r="B139" s="3" t="s">
        <v>13</v>
      </c>
      <c r="C139" s="3" t="s">
        <v>10</v>
      </c>
      <c r="D139" s="3" t="s">
        <v>21</v>
      </c>
      <c r="E139" s="3" t="s">
        <v>32</v>
      </c>
      <c r="F139" s="3">
        <v>53</v>
      </c>
      <c r="G139" s="4">
        <v>17494650</v>
      </c>
      <c r="H139" s="4">
        <v>7953600</v>
      </c>
      <c r="I139" s="4">
        <f>tPenjualan[[#This Row],[Penjualan]]-tPenjualan[[#This Row],[COGS]]</f>
        <v>9541050</v>
      </c>
      <c r="J139" s="12"/>
    </row>
    <row r="140" spans="1:10" x14ac:dyDescent="0.25">
      <c r="A140" s="2">
        <v>44638</v>
      </c>
      <c r="B140" s="3" t="s">
        <v>17</v>
      </c>
      <c r="C140" s="3" t="s">
        <v>14</v>
      </c>
      <c r="D140" s="3" t="s">
        <v>18</v>
      </c>
      <c r="E140" s="3" t="s">
        <v>31</v>
      </c>
      <c r="F140" s="3">
        <v>29</v>
      </c>
      <c r="G140" s="4">
        <v>10019850</v>
      </c>
      <c r="H140" s="4">
        <v>4791750</v>
      </c>
      <c r="I140" s="4">
        <f>tPenjualan[[#This Row],[Penjualan]]-tPenjualan[[#This Row],[COGS]]</f>
        <v>5228100</v>
      </c>
      <c r="J140" s="12"/>
    </row>
    <row r="141" spans="1:10" x14ac:dyDescent="0.25">
      <c r="A141" s="2">
        <v>44568</v>
      </c>
      <c r="B141" s="3" t="s">
        <v>13</v>
      </c>
      <c r="C141" s="3" t="s">
        <v>28</v>
      </c>
      <c r="D141" s="3" t="s">
        <v>18</v>
      </c>
      <c r="E141" s="3" t="s">
        <v>12</v>
      </c>
      <c r="F141" s="3">
        <v>16</v>
      </c>
      <c r="G141" s="4">
        <v>5283000</v>
      </c>
      <c r="H141" s="4">
        <v>2409900</v>
      </c>
      <c r="I141" s="4">
        <f>tPenjualan[[#This Row],[Penjualan]]-tPenjualan[[#This Row],[COGS]]</f>
        <v>2873100</v>
      </c>
      <c r="J141" s="12"/>
    </row>
    <row r="142" spans="1:10" x14ac:dyDescent="0.25">
      <c r="A142" s="2">
        <v>44582</v>
      </c>
      <c r="B142" s="3" t="s">
        <v>13</v>
      </c>
      <c r="C142" s="3" t="s">
        <v>10</v>
      </c>
      <c r="D142" s="3" t="s">
        <v>18</v>
      </c>
      <c r="E142" s="3" t="s">
        <v>45</v>
      </c>
      <c r="F142" s="3">
        <v>27</v>
      </c>
      <c r="G142" s="4">
        <v>8911350</v>
      </c>
      <c r="H142" s="4">
        <v>4056300.0000000005</v>
      </c>
      <c r="I142" s="4">
        <f>tPenjualan[[#This Row],[Penjualan]]-tPenjualan[[#This Row],[COGS]]</f>
        <v>4855050</v>
      </c>
      <c r="J142" s="12"/>
    </row>
    <row r="143" spans="1:10" x14ac:dyDescent="0.25">
      <c r="A143" s="2">
        <v>44639</v>
      </c>
      <c r="B143" s="3" t="s">
        <v>13</v>
      </c>
      <c r="C143" s="3" t="s">
        <v>24</v>
      </c>
      <c r="D143" s="3" t="s">
        <v>29</v>
      </c>
      <c r="E143" s="3" t="s">
        <v>26</v>
      </c>
      <c r="F143" s="3">
        <v>10</v>
      </c>
      <c r="G143" s="4">
        <v>3302700</v>
      </c>
      <c r="H143" s="4">
        <v>1512600</v>
      </c>
      <c r="I143" s="4">
        <f>tPenjualan[[#This Row],[Penjualan]]-tPenjualan[[#This Row],[COGS]]</f>
        <v>1790100</v>
      </c>
      <c r="J143" s="12"/>
    </row>
    <row r="144" spans="1:10" x14ac:dyDescent="0.25">
      <c r="A144" s="2">
        <v>44587</v>
      </c>
      <c r="B144" s="3" t="s">
        <v>13</v>
      </c>
      <c r="C144" s="3" t="s">
        <v>24</v>
      </c>
      <c r="D144" s="3" t="s">
        <v>15</v>
      </c>
      <c r="E144" s="3" t="s">
        <v>32</v>
      </c>
      <c r="F144" s="3">
        <v>50</v>
      </c>
      <c r="G144" s="4">
        <v>16502100.000000002</v>
      </c>
      <c r="H144" s="4">
        <v>7502400</v>
      </c>
      <c r="I144" s="4">
        <f>tPenjualan[[#This Row],[Penjualan]]-tPenjualan[[#This Row],[COGS]]</f>
        <v>8999700.0000000019</v>
      </c>
      <c r="J144" s="12"/>
    </row>
    <row r="145" spans="1:10" x14ac:dyDescent="0.25">
      <c r="A145" s="6">
        <v>44619</v>
      </c>
      <c r="B145" s="7" t="s">
        <v>23</v>
      </c>
      <c r="C145" s="7" t="s">
        <v>14</v>
      </c>
      <c r="D145" s="7" t="s">
        <v>18</v>
      </c>
      <c r="E145" s="7" t="s">
        <v>52</v>
      </c>
      <c r="F145" s="7">
        <v>51</v>
      </c>
      <c r="G145" s="8">
        <v>14545800</v>
      </c>
      <c r="H145" s="8">
        <v>6121200</v>
      </c>
      <c r="I145" s="8">
        <f>tPenjualan[[#This Row],[Penjualan]]-tPenjualan[[#This Row],[COGS]]</f>
        <v>8424600</v>
      </c>
      <c r="J145" s="12"/>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2:U21"/>
  <sheetViews>
    <sheetView showGridLines="0" topLeftCell="Q1" zoomScaleNormal="100" workbookViewId="0">
      <selection activeCell="R16" sqref="R16"/>
    </sheetView>
  </sheetViews>
  <sheetFormatPr defaultRowHeight="15" x14ac:dyDescent="0.25"/>
  <cols>
    <col min="2" max="2" width="14.7109375" bestFit="1" customWidth="1"/>
    <col min="3" max="3" width="13.5703125" bestFit="1" customWidth="1"/>
    <col min="4" max="5" width="11.42578125" bestFit="1" customWidth="1"/>
    <col min="6" max="6" width="12.42578125" bestFit="1" customWidth="1"/>
    <col min="7" max="7" width="11.42578125" bestFit="1" customWidth="1"/>
    <col min="8" max="8" width="12.42578125" bestFit="1" customWidth="1"/>
    <col min="9" max="9" width="14.7109375" bestFit="1" customWidth="1"/>
    <col min="10" max="10" width="13.5703125" bestFit="1" customWidth="1"/>
    <col min="17" max="17" width="13.85546875" bestFit="1" customWidth="1"/>
    <col min="18" max="18" width="13.5703125" bestFit="1" customWidth="1"/>
    <col min="19" max="19" width="11.42578125" bestFit="1" customWidth="1"/>
    <col min="20" max="20" width="13.140625" bestFit="1" customWidth="1"/>
    <col min="21" max="21" width="13.5703125" bestFit="1" customWidth="1"/>
    <col min="22" max="22" width="12.5703125" bestFit="1" customWidth="1"/>
    <col min="23" max="23" width="11.42578125" bestFit="1" customWidth="1"/>
  </cols>
  <sheetData>
    <row r="2" spans="2:21" ht="28.5" x14ac:dyDescent="0.45">
      <c r="B2" s="10" t="s">
        <v>55</v>
      </c>
      <c r="I2" s="10" t="s">
        <v>56</v>
      </c>
      <c r="Q2" s="10" t="s">
        <v>57</v>
      </c>
    </row>
    <row r="4" spans="2:21" x14ac:dyDescent="0.25">
      <c r="Q4" s="15" t="s">
        <v>58</v>
      </c>
      <c r="T4" s="15" t="s">
        <v>59</v>
      </c>
    </row>
    <row r="5" spans="2:21" x14ac:dyDescent="0.25">
      <c r="B5" s="13" t="s">
        <v>60</v>
      </c>
      <c r="C5" t="s">
        <v>61</v>
      </c>
      <c r="I5" s="13" t="s">
        <v>60</v>
      </c>
      <c r="J5" t="s">
        <v>61</v>
      </c>
      <c r="Q5" s="13" t="s">
        <v>60</v>
      </c>
      <c r="R5" t="s">
        <v>61</v>
      </c>
      <c r="T5" s="13" t="s">
        <v>60</v>
      </c>
      <c r="U5" t="s">
        <v>61</v>
      </c>
    </row>
    <row r="6" spans="2:21" x14ac:dyDescent="0.25">
      <c r="B6" s="14" t="s">
        <v>69</v>
      </c>
      <c r="C6" s="12">
        <v>423627450</v>
      </c>
      <c r="I6" s="14" t="s">
        <v>69</v>
      </c>
      <c r="J6" s="12">
        <v>423627450</v>
      </c>
      <c r="Q6" s="14" t="s">
        <v>29</v>
      </c>
      <c r="R6" s="12">
        <v>128456700</v>
      </c>
      <c r="T6" s="14" t="s">
        <v>41</v>
      </c>
      <c r="U6" s="12">
        <v>74865600</v>
      </c>
    </row>
    <row r="7" spans="2:21" x14ac:dyDescent="0.25">
      <c r="B7" s="17" t="s">
        <v>24</v>
      </c>
      <c r="C7" s="12">
        <v>250657500</v>
      </c>
      <c r="I7" s="17" t="s">
        <v>24</v>
      </c>
      <c r="J7" s="12">
        <v>250657500</v>
      </c>
      <c r="Q7" s="14" t="s">
        <v>18</v>
      </c>
      <c r="R7" s="12">
        <v>197233400</v>
      </c>
      <c r="T7" s="14" t="s">
        <v>12</v>
      </c>
      <c r="U7" s="12">
        <v>63871350</v>
      </c>
    </row>
    <row r="8" spans="2:21" x14ac:dyDescent="0.25">
      <c r="B8" s="17" t="s">
        <v>28</v>
      </c>
      <c r="C8" s="12">
        <v>172969950</v>
      </c>
      <c r="I8" s="17" t="s">
        <v>28</v>
      </c>
      <c r="J8" s="12">
        <v>172969950</v>
      </c>
      <c r="Q8" s="14" t="s">
        <v>21</v>
      </c>
      <c r="R8" s="12">
        <v>272001300</v>
      </c>
      <c r="T8" s="14" t="s">
        <v>52</v>
      </c>
      <c r="U8" s="12">
        <v>148562400</v>
      </c>
    </row>
    <row r="9" spans="2:21" x14ac:dyDescent="0.25">
      <c r="B9" s="14" t="s">
        <v>71</v>
      </c>
      <c r="C9" s="12">
        <v>564417050</v>
      </c>
      <c r="I9" s="14" t="s">
        <v>71</v>
      </c>
      <c r="J9" s="12">
        <v>564417050</v>
      </c>
      <c r="Q9" s="14" t="s">
        <v>11</v>
      </c>
      <c r="R9" s="12">
        <v>137152500</v>
      </c>
      <c r="T9" s="14" t="s">
        <v>19</v>
      </c>
      <c r="U9" s="12">
        <v>53167200</v>
      </c>
    </row>
    <row r="10" spans="2:21" x14ac:dyDescent="0.25">
      <c r="B10" s="17" t="s">
        <v>10</v>
      </c>
      <c r="C10" s="12">
        <v>337854150</v>
      </c>
      <c r="I10" s="17" t="s">
        <v>14</v>
      </c>
      <c r="J10" s="12">
        <v>226562900</v>
      </c>
      <c r="Q10" s="14" t="s">
        <v>15</v>
      </c>
      <c r="R10" s="12">
        <v>117361950</v>
      </c>
      <c r="T10" s="14" t="s">
        <v>32</v>
      </c>
      <c r="U10" s="12">
        <v>71842050</v>
      </c>
    </row>
    <row r="11" spans="2:21" x14ac:dyDescent="0.25">
      <c r="B11" s="17" t="s">
        <v>14</v>
      </c>
      <c r="C11" s="12">
        <v>226562900</v>
      </c>
      <c r="I11" s="17" t="s">
        <v>10</v>
      </c>
      <c r="J11" s="12">
        <v>337854150</v>
      </c>
      <c r="Q11" s="14" t="s">
        <v>25</v>
      </c>
      <c r="R11" s="12">
        <v>135838650</v>
      </c>
      <c r="T11" s="14" t="s">
        <v>62</v>
      </c>
      <c r="U11" s="12">
        <v>412308600</v>
      </c>
    </row>
    <row r="12" spans="2:21" x14ac:dyDescent="0.25">
      <c r="B12" s="14" t="s">
        <v>62</v>
      </c>
      <c r="C12" s="12">
        <v>988044500</v>
      </c>
      <c r="I12" s="14" t="s">
        <v>62</v>
      </c>
      <c r="J12" s="12">
        <v>988044500</v>
      </c>
      <c r="Q12" s="14" t="s">
        <v>62</v>
      </c>
      <c r="R12" s="12">
        <v>988044500</v>
      </c>
    </row>
    <row r="17" spans="17:18" x14ac:dyDescent="0.25">
      <c r="Q17" s="15" t="s">
        <v>63</v>
      </c>
    </row>
    <row r="18" spans="17:18" x14ac:dyDescent="0.25">
      <c r="Q18" s="13" t="s">
        <v>60</v>
      </c>
      <c r="R18" t="s">
        <v>61</v>
      </c>
    </row>
    <row r="19" spans="17:18" x14ac:dyDescent="0.25">
      <c r="Q19" s="14" t="s">
        <v>29</v>
      </c>
      <c r="R19" s="12">
        <v>128456700</v>
      </c>
    </row>
    <row r="20" spans="17:18" x14ac:dyDescent="0.25">
      <c r="Q20" s="14" t="s">
        <v>15</v>
      </c>
      <c r="R20" s="12">
        <v>117361950</v>
      </c>
    </row>
    <row r="21" spans="17:18" x14ac:dyDescent="0.25">
      <c r="Q21" s="14" t="s">
        <v>62</v>
      </c>
      <c r="R21" s="12">
        <v>245818650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B2:N14"/>
  <sheetViews>
    <sheetView showGridLines="0" topLeftCell="P1" zoomScale="85" zoomScaleNormal="85" workbookViewId="0">
      <selection activeCell="J12" sqref="J12"/>
    </sheetView>
  </sheetViews>
  <sheetFormatPr defaultRowHeight="15" x14ac:dyDescent="0.25"/>
  <cols>
    <col min="2" max="2" width="14.85546875" bestFit="1" customWidth="1"/>
    <col min="3" max="5" width="15" bestFit="1" customWidth="1"/>
    <col min="6" max="7" width="15.140625" bestFit="1" customWidth="1"/>
    <col min="8" max="8" width="15" bestFit="1" customWidth="1"/>
    <col min="9" max="9" width="14.85546875" bestFit="1" customWidth="1"/>
    <col min="10" max="12" width="14.140625" bestFit="1" customWidth="1"/>
    <col min="13" max="14" width="15.140625" bestFit="1" customWidth="1"/>
    <col min="21" max="21" width="14.28515625" bestFit="1" customWidth="1"/>
    <col min="22" max="22" width="12.28515625" bestFit="1" customWidth="1"/>
    <col min="23" max="23" width="13.5703125" bestFit="1" customWidth="1"/>
  </cols>
  <sheetData>
    <row r="2" spans="2:14" ht="28.5" x14ac:dyDescent="0.45">
      <c r="B2" s="10" t="s">
        <v>64</v>
      </c>
      <c r="K2" s="10" t="s">
        <v>65</v>
      </c>
    </row>
    <row r="5" spans="2:14" x14ac:dyDescent="0.25">
      <c r="B5" s="13" t="s">
        <v>76</v>
      </c>
      <c r="C5" s="13" t="s">
        <v>2</v>
      </c>
      <c r="I5" s="13" t="s">
        <v>76</v>
      </c>
      <c r="J5" s="13" t="s">
        <v>2</v>
      </c>
    </row>
    <row r="6" spans="2:14" x14ac:dyDescent="0.25">
      <c r="C6" t="s">
        <v>69</v>
      </c>
      <c r="E6" t="s">
        <v>71</v>
      </c>
      <c r="G6" t="s">
        <v>62</v>
      </c>
      <c r="J6" t="s">
        <v>73</v>
      </c>
      <c r="L6" t="s">
        <v>74</v>
      </c>
      <c r="N6" t="s">
        <v>62</v>
      </c>
    </row>
    <row r="7" spans="2:14" x14ac:dyDescent="0.25">
      <c r="B7" s="13" t="s">
        <v>75</v>
      </c>
      <c r="C7" t="s">
        <v>24</v>
      </c>
      <c r="D7" t="s">
        <v>28</v>
      </c>
      <c r="E7" t="s">
        <v>14</v>
      </c>
      <c r="F7" t="s">
        <v>10</v>
      </c>
      <c r="I7" s="13" t="s">
        <v>75</v>
      </c>
      <c r="J7" t="s">
        <v>24</v>
      </c>
      <c r="K7" t="s">
        <v>28</v>
      </c>
      <c r="L7" t="s">
        <v>14</v>
      </c>
      <c r="M7" t="s">
        <v>10</v>
      </c>
    </row>
    <row r="8" spans="2:14" x14ac:dyDescent="0.25">
      <c r="B8" s="14" t="s">
        <v>29</v>
      </c>
      <c r="C8" s="18">
        <v>42316050</v>
      </c>
      <c r="D8" s="18">
        <v>19227900</v>
      </c>
      <c r="E8" s="18">
        <v>14821200</v>
      </c>
      <c r="F8" s="18">
        <v>52091550</v>
      </c>
      <c r="G8" s="18">
        <v>128456700</v>
      </c>
      <c r="I8" s="14" t="s">
        <v>21</v>
      </c>
      <c r="J8" s="18">
        <v>39542250</v>
      </c>
      <c r="K8" s="18">
        <v>30508350</v>
      </c>
      <c r="L8" s="18">
        <v>16385850</v>
      </c>
      <c r="M8" s="18">
        <v>185564850</v>
      </c>
      <c r="N8" s="18">
        <v>272001300</v>
      </c>
    </row>
    <row r="9" spans="2:14" x14ac:dyDescent="0.25">
      <c r="B9" s="14" t="s">
        <v>18</v>
      </c>
      <c r="C9" s="18">
        <v>47959800</v>
      </c>
      <c r="D9" s="18">
        <v>42436200</v>
      </c>
      <c r="E9" s="18">
        <v>78455000</v>
      </c>
      <c r="F9" s="18">
        <v>28382400</v>
      </c>
      <c r="G9" s="18">
        <v>197233400</v>
      </c>
      <c r="I9" s="14" t="s">
        <v>62</v>
      </c>
      <c r="J9" s="18">
        <v>39542250</v>
      </c>
      <c r="K9" s="18">
        <v>30508350</v>
      </c>
      <c r="L9" s="18">
        <v>16385850</v>
      </c>
      <c r="M9" s="18">
        <v>185564850</v>
      </c>
      <c r="N9" s="18">
        <v>272001300</v>
      </c>
    </row>
    <row r="10" spans="2:14" x14ac:dyDescent="0.25">
      <c r="B10" s="14" t="s">
        <v>21</v>
      </c>
      <c r="C10" s="18">
        <v>39542250</v>
      </c>
      <c r="D10" s="18">
        <v>30508350</v>
      </c>
      <c r="E10" s="18">
        <v>16385850</v>
      </c>
      <c r="F10" s="18">
        <v>185564850</v>
      </c>
      <c r="G10" s="18">
        <v>272001300</v>
      </c>
    </row>
    <row r="11" spans="2:14" x14ac:dyDescent="0.25">
      <c r="B11" s="14" t="s">
        <v>11</v>
      </c>
      <c r="C11" s="18">
        <v>8024400</v>
      </c>
      <c r="D11" s="18">
        <v>34231350</v>
      </c>
      <c r="E11" s="18">
        <v>62476500</v>
      </c>
      <c r="F11" s="18">
        <v>32420250</v>
      </c>
      <c r="G11" s="18">
        <v>137152500</v>
      </c>
    </row>
    <row r="12" spans="2:14" x14ac:dyDescent="0.25">
      <c r="B12" s="14" t="s">
        <v>15</v>
      </c>
      <c r="C12" s="18">
        <v>45635100</v>
      </c>
      <c r="D12" s="18">
        <v>28879050</v>
      </c>
      <c r="E12" s="18">
        <v>27035850</v>
      </c>
      <c r="F12" s="18">
        <v>15811950</v>
      </c>
      <c r="G12" s="18">
        <v>117361950</v>
      </c>
    </row>
    <row r="13" spans="2:14" x14ac:dyDescent="0.25">
      <c r="B13" s="14" t="s">
        <v>25</v>
      </c>
      <c r="C13" s="18">
        <v>67179900</v>
      </c>
      <c r="D13" s="18">
        <v>17687100</v>
      </c>
      <c r="E13" s="18">
        <v>27388500</v>
      </c>
      <c r="F13" s="18">
        <v>23583150</v>
      </c>
      <c r="G13" s="18">
        <v>135838650</v>
      </c>
    </row>
    <row r="14" spans="2:14" x14ac:dyDescent="0.25">
      <c r="B14" s="14" t="s">
        <v>62</v>
      </c>
      <c r="C14" s="18">
        <v>250657500</v>
      </c>
      <c r="D14" s="18">
        <v>172969950</v>
      </c>
      <c r="E14" s="18">
        <v>226562900</v>
      </c>
      <c r="F14" s="18">
        <v>337854150</v>
      </c>
      <c r="G14" s="18">
        <v>988044500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499984740745262"/>
  </sheetPr>
  <dimension ref="B2:K26"/>
  <sheetViews>
    <sheetView showGridLines="0" topLeftCell="C14" zoomScale="85" zoomScaleNormal="85" workbookViewId="0">
      <selection activeCell="C30" sqref="C30"/>
    </sheetView>
  </sheetViews>
  <sheetFormatPr defaultRowHeight="15" x14ac:dyDescent="0.25"/>
  <cols>
    <col min="2" max="2" width="13.7109375" bestFit="1" customWidth="1"/>
    <col min="3" max="3" width="15" bestFit="1" customWidth="1"/>
    <col min="4" max="4" width="12.85546875" bestFit="1" customWidth="1"/>
    <col min="5" max="5" width="14.140625" bestFit="1" customWidth="1"/>
    <col min="6" max="6" width="12.85546875" bestFit="1" customWidth="1"/>
    <col min="7" max="7" width="14.140625" bestFit="1" customWidth="1"/>
    <col min="8" max="8" width="12.5703125" bestFit="1" customWidth="1"/>
    <col min="9" max="9" width="14.7109375" bestFit="1" customWidth="1"/>
    <col min="10" max="10" width="12.5703125" customWidth="1"/>
    <col min="11" max="11" width="13.140625" bestFit="1" customWidth="1"/>
    <col min="12" max="12" width="14.7109375" bestFit="1" customWidth="1"/>
    <col min="13" max="13" width="20.42578125" bestFit="1" customWidth="1"/>
  </cols>
  <sheetData>
    <row r="2" spans="2:11" ht="28.5" x14ac:dyDescent="0.45">
      <c r="B2" s="10" t="s">
        <v>66</v>
      </c>
      <c r="K2" s="10" t="s">
        <v>67</v>
      </c>
    </row>
    <row r="4" spans="2:11" x14ac:dyDescent="0.25">
      <c r="B4" s="13" t="s">
        <v>78</v>
      </c>
      <c r="C4" s="13" t="s">
        <v>2</v>
      </c>
    </row>
    <row r="5" spans="2:11" x14ac:dyDescent="0.25">
      <c r="B5" s="13" t="s">
        <v>77</v>
      </c>
      <c r="C5" t="s">
        <v>24</v>
      </c>
      <c r="D5" t="s">
        <v>14</v>
      </c>
      <c r="E5" t="s">
        <v>10</v>
      </c>
      <c r="F5" t="s">
        <v>28</v>
      </c>
      <c r="G5" t="s">
        <v>62</v>
      </c>
    </row>
    <row r="6" spans="2:11" x14ac:dyDescent="0.25">
      <c r="B6" s="14" t="s">
        <v>29</v>
      </c>
      <c r="C6" s="18">
        <v>5289506.25</v>
      </c>
      <c r="D6" s="18">
        <v>7410600</v>
      </c>
      <c r="E6" s="18">
        <v>8681925</v>
      </c>
      <c r="F6" s="18">
        <v>2746842.8571428573</v>
      </c>
      <c r="G6" s="18">
        <v>5585073.9130434785</v>
      </c>
    </row>
    <row r="7" spans="2:11" x14ac:dyDescent="0.25">
      <c r="B7" s="14" t="s">
        <v>18</v>
      </c>
      <c r="C7" s="18">
        <v>5994975</v>
      </c>
      <c r="D7" s="18">
        <v>6537916.666666667</v>
      </c>
      <c r="E7" s="18">
        <v>4730400</v>
      </c>
      <c r="F7" s="18">
        <v>5304525</v>
      </c>
      <c r="G7" s="18">
        <v>5800982.3529411769</v>
      </c>
    </row>
    <row r="8" spans="2:11" x14ac:dyDescent="0.25">
      <c r="B8" s="14" t="s">
        <v>21</v>
      </c>
      <c r="C8" s="18">
        <v>7908450</v>
      </c>
      <c r="D8" s="18">
        <v>5461950</v>
      </c>
      <c r="E8" s="18">
        <v>20618316.666666668</v>
      </c>
      <c r="F8" s="18">
        <v>6101670</v>
      </c>
      <c r="G8" s="18">
        <v>12363695.454545455</v>
      </c>
    </row>
    <row r="9" spans="2:11" x14ac:dyDescent="0.25">
      <c r="B9" s="14" t="s">
        <v>11</v>
      </c>
      <c r="C9" s="18">
        <v>4012200</v>
      </c>
      <c r="D9" s="18">
        <v>5206375</v>
      </c>
      <c r="E9" s="18">
        <v>6484050</v>
      </c>
      <c r="F9" s="18">
        <v>6846270</v>
      </c>
      <c r="G9" s="18">
        <v>5714687.5</v>
      </c>
    </row>
    <row r="10" spans="2:11" x14ac:dyDescent="0.25">
      <c r="B10" s="14" t="s">
        <v>15</v>
      </c>
      <c r="C10" s="18">
        <v>7605850</v>
      </c>
      <c r="D10" s="18">
        <v>5407170</v>
      </c>
      <c r="E10" s="18">
        <v>5270650</v>
      </c>
      <c r="F10" s="18">
        <v>5775810</v>
      </c>
      <c r="G10" s="18">
        <v>6176944.7368421052</v>
      </c>
    </row>
    <row r="11" spans="2:11" x14ac:dyDescent="0.25">
      <c r="B11" s="14" t="s">
        <v>25</v>
      </c>
      <c r="C11" s="18">
        <v>6717990</v>
      </c>
      <c r="D11" s="18">
        <v>6847125</v>
      </c>
      <c r="E11" s="18">
        <v>7861050</v>
      </c>
      <c r="F11" s="18">
        <v>4421775</v>
      </c>
      <c r="G11" s="18">
        <v>6468507.1428571427</v>
      </c>
    </row>
    <row r="12" spans="2:11" x14ac:dyDescent="0.25">
      <c r="B12" s="14" t="s">
        <v>62</v>
      </c>
      <c r="C12" s="18">
        <v>6427115.384615385</v>
      </c>
      <c r="D12" s="18">
        <v>5962181.5789473681</v>
      </c>
      <c r="E12" s="18">
        <v>10557942.1875</v>
      </c>
      <c r="F12" s="18">
        <v>5087351.4705882352</v>
      </c>
      <c r="G12" s="18">
        <v>6909402.0979020977</v>
      </c>
    </row>
    <row r="21" spans="2:3" x14ac:dyDescent="0.25">
      <c r="B21" s="13" t="s">
        <v>77</v>
      </c>
      <c r="C21" t="s">
        <v>61</v>
      </c>
    </row>
    <row r="22" spans="2:3" x14ac:dyDescent="0.25">
      <c r="B22" s="14" t="s">
        <v>28</v>
      </c>
      <c r="C22" s="18">
        <v>26835450</v>
      </c>
    </row>
    <row r="23" spans="2:3" x14ac:dyDescent="0.25">
      <c r="B23" s="14" t="s">
        <v>24</v>
      </c>
      <c r="C23" s="18">
        <v>23706450</v>
      </c>
    </row>
    <row r="24" spans="2:3" x14ac:dyDescent="0.25">
      <c r="B24" s="14" t="s">
        <v>14</v>
      </c>
      <c r="C24" s="18">
        <v>33654750</v>
      </c>
    </row>
    <row r="25" spans="2:3" x14ac:dyDescent="0.25">
      <c r="B25" s="14" t="s">
        <v>10</v>
      </c>
      <c r="C25" s="18">
        <v>78791400</v>
      </c>
    </row>
    <row r="26" spans="2:3" x14ac:dyDescent="0.25">
      <c r="B26" s="14" t="s">
        <v>62</v>
      </c>
      <c r="C26" s="18">
        <v>162988050</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7F684-726A-4826-BC99-C5329F7C9F73}">
  <dimension ref="A3:B154"/>
  <sheetViews>
    <sheetView zoomScale="70" zoomScaleNormal="70" workbookViewId="0">
      <selection activeCell="A3" sqref="A3"/>
    </sheetView>
  </sheetViews>
  <sheetFormatPr defaultRowHeight="15" x14ac:dyDescent="0.25"/>
  <cols>
    <col min="1" max="1" width="17.85546875" bestFit="1" customWidth="1"/>
    <col min="2" max="2" width="15.85546875" bestFit="1" customWidth="1"/>
  </cols>
  <sheetData>
    <row r="3" spans="1:2" x14ac:dyDescent="0.25">
      <c r="A3" s="13" t="s">
        <v>60</v>
      </c>
      <c r="B3" t="s">
        <v>61</v>
      </c>
    </row>
    <row r="4" spans="1:2" x14ac:dyDescent="0.25">
      <c r="A4" s="14" t="s">
        <v>13</v>
      </c>
      <c r="B4" s="20">
        <v>189130950</v>
      </c>
    </row>
    <row r="5" spans="1:2" x14ac:dyDescent="0.25">
      <c r="A5" s="14" t="s">
        <v>9</v>
      </c>
      <c r="B5" s="20">
        <v>169224450</v>
      </c>
    </row>
    <row r="6" spans="1:2" x14ac:dyDescent="0.25">
      <c r="A6" s="14" t="s">
        <v>17</v>
      </c>
      <c r="B6" s="20">
        <v>106500950</v>
      </c>
    </row>
    <row r="7" spans="1:2" x14ac:dyDescent="0.25">
      <c r="A7" s="14" t="s">
        <v>20</v>
      </c>
      <c r="B7" s="20">
        <v>103065300</v>
      </c>
    </row>
    <row r="8" spans="1:2" x14ac:dyDescent="0.25">
      <c r="A8" s="14" t="s">
        <v>23</v>
      </c>
      <c r="B8" s="20">
        <v>126243750</v>
      </c>
    </row>
    <row r="9" spans="1:2" x14ac:dyDescent="0.25">
      <c r="A9" s="14" t="s">
        <v>62</v>
      </c>
      <c r="B9" s="20">
        <v>694165400</v>
      </c>
    </row>
    <row r="22" spans="1:2" x14ac:dyDescent="0.25">
      <c r="A22" s="13" t="s">
        <v>60</v>
      </c>
      <c r="B22" t="s">
        <v>61</v>
      </c>
    </row>
    <row r="23" spans="1:2" x14ac:dyDescent="0.25">
      <c r="A23" s="14" t="s">
        <v>24</v>
      </c>
      <c r="B23" s="18">
        <v>191157000</v>
      </c>
    </row>
    <row r="24" spans="1:2" x14ac:dyDescent="0.25">
      <c r="A24" s="14" t="s">
        <v>14</v>
      </c>
      <c r="B24" s="18">
        <v>157850750</v>
      </c>
    </row>
    <row r="25" spans="1:2" x14ac:dyDescent="0.25">
      <c r="A25" s="14" t="s">
        <v>10</v>
      </c>
      <c r="B25" s="18">
        <v>218579400</v>
      </c>
    </row>
    <row r="26" spans="1:2" x14ac:dyDescent="0.25">
      <c r="A26" s="14" t="s">
        <v>28</v>
      </c>
      <c r="B26" s="18">
        <v>126578250</v>
      </c>
    </row>
    <row r="27" spans="1:2" x14ac:dyDescent="0.25">
      <c r="A27" s="14" t="s">
        <v>62</v>
      </c>
      <c r="B27" s="18">
        <v>694165400</v>
      </c>
    </row>
    <row r="35" spans="1:2" x14ac:dyDescent="0.25">
      <c r="A35" s="13" t="s">
        <v>60</v>
      </c>
      <c r="B35" t="s">
        <v>61</v>
      </c>
    </row>
    <row r="36" spans="1:2" x14ac:dyDescent="0.25">
      <c r="A36" s="14" t="s">
        <v>29</v>
      </c>
      <c r="B36" s="18">
        <v>86686500</v>
      </c>
    </row>
    <row r="37" spans="1:2" x14ac:dyDescent="0.25">
      <c r="A37" s="14" t="s">
        <v>18</v>
      </c>
      <c r="B37" s="18">
        <v>121991150</v>
      </c>
    </row>
    <row r="38" spans="1:2" x14ac:dyDescent="0.25">
      <c r="A38" s="14" t="s">
        <v>21</v>
      </c>
      <c r="B38" s="18">
        <v>187173750</v>
      </c>
    </row>
    <row r="39" spans="1:2" x14ac:dyDescent="0.25">
      <c r="A39" s="14" t="s">
        <v>11</v>
      </c>
      <c r="B39" s="18">
        <v>98539350</v>
      </c>
    </row>
    <row r="40" spans="1:2" x14ac:dyDescent="0.25">
      <c r="A40" s="14" t="s">
        <v>15</v>
      </c>
      <c r="B40" s="18">
        <v>95405100</v>
      </c>
    </row>
    <row r="41" spans="1:2" x14ac:dyDescent="0.25">
      <c r="A41" s="14" t="s">
        <v>25</v>
      </c>
      <c r="B41" s="18">
        <v>104369550</v>
      </c>
    </row>
    <row r="42" spans="1:2" x14ac:dyDescent="0.25">
      <c r="A42" s="14" t="s">
        <v>62</v>
      </c>
      <c r="B42" s="18">
        <v>694165400</v>
      </c>
    </row>
    <row r="56" spans="1:2" x14ac:dyDescent="0.25">
      <c r="A56" s="13" t="s">
        <v>60</v>
      </c>
      <c r="B56" t="s">
        <v>79</v>
      </c>
    </row>
    <row r="57" spans="1:2" x14ac:dyDescent="0.25">
      <c r="A57" s="21">
        <v>44197</v>
      </c>
      <c r="B57" s="18">
        <v>64</v>
      </c>
    </row>
    <row r="58" spans="1:2" x14ac:dyDescent="0.25">
      <c r="A58" s="21">
        <v>44198</v>
      </c>
      <c r="B58" s="18">
        <v>26</v>
      </c>
    </row>
    <row r="59" spans="1:2" x14ac:dyDescent="0.25">
      <c r="A59" s="21">
        <v>44201</v>
      </c>
      <c r="B59" s="18">
        <v>65</v>
      </c>
    </row>
    <row r="60" spans="1:2" x14ac:dyDescent="0.25">
      <c r="A60" s="21">
        <v>44202</v>
      </c>
      <c r="B60" s="18">
        <v>54</v>
      </c>
    </row>
    <row r="61" spans="1:2" x14ac:dyDescent="0.25">
      <c r="A61" s="21">
        <v>44203</v>
      </c>
      <c r="B61" s="18">
        <v>63</v>
      </c>
    </row>
    <row r="62" spans="1:2" x14ac:dyDescent="0.25">
      <c r="A62" s="21">
        <v>44204</v>
      </c>
      <c r="B62" s="18">
        <v>56</v>
      </c>
    </row>
    <row r="63" spans="1:2" x14ac:dyDescent="0.25">
      <c r="A63" s="21">
        <v>44208</v>
      </c>
      <c r="B63" s="18">
        <v>39</v>
      </c>
    </row>
    <row r="64" spans="1:2" x14ac:dyDescent="0.25">
      <c r="A64" s="21">
        <v>44214</v>
      </c>
      <c r="B64" s="18">
        <v>56</v>
      </c>
    </row>
    <row r="65" spans="1:2" x14ac:dyDescent="0.25">
      <c r="A65" s="21">
        <v>44218</v>
      </c>
      <c r="B65" s="18">
        <v>8</v>
      </c>
    </row>
    <row r="66" spans="1:2" x14ac:dyDescent="0.25">
      <c r="A66" s="21">
        <v>44219</v>
      </c>
      <c r="B66" s="18">
        <v>24</v>
      </c>
    </row>
    <row r="67" spans="1:2" x14ac:dyDescent="0.25">
      <c r="A67" s="21">
        <v>44222</v>
      </c>
      <c r="B67" s="18">
        <v>43</v>
      </c>
    </row>
    <row r="68" spans="1:2" x14ac:dyDescent="0.25">
      <c r="A68" s="21">
        <v>44223</v>
      </c>
      <c r="B68" s="18">
        <v>25</v>
      </c>
    </row>
    <row r="69" spans="1:2" x14ac:dyDescent="0.25">
      <c r="A69" s="21">
        <v>44233</v>
      </c>
      <c r="B69" s="18">
        <v>63</v>
      </c>
    </row>
    <row r="70" spans="1:2" x14ac:dyDescent="0.25">
      <c r="A70" s="21">
        <v>44238</v>
      </c>
      <c r="B70" s="18">
        <v>46</v>
      </c>
    </row>
    <row r="71" spans="1:2" x14ac:dyDescent="0.25">
      <c r="A71" s="21">
        <v>44239</v>
      </c>
      <c r="B71" s="18">
        <v>21</v>
      </c>
    </row>
    <row r="72" spans="1:2" x14ac:dyDescent="0.25">
      <c r="A72" s="21">
        <v>44243</v>
      </c>
      <c r="B72" s="18">
        <v>36</v>
      </c>
    </row>
    <row r="73" spans="1:2" x14ac:dyDescent="0.25">
      <c r="A73" s="21">
        <v>44252</v>
      </c>
      <c r="B73" s="18">
        <v>31</v>
      </c>
    </row>
    <row r="74" spans="1:2" x14ac:dyDescent="0.25">
      <c r="A74" s="21">
        <v>44253</v>
      </c>
      <c r="B74" s="18">
        <v>7</v>
      </c>
    </row>
    <row r="75" spans="1:2" x14ac:dyDescent="0.25">
      <c r="A75" s="21">
        <v>44261</v>
      </c>
      <c r="B75" s="18">
        <v>56</v>
      </c>
    </row>
    <row r="76" spans="1:2" x14ac:dyDescent="0.25">
      <c r="A76" s="21">
        <v>44262</v>
      </c>
      <c r="B76" s="18">
        <v>34</v>
      </c>
    </row>
    <row r="77" spans="1:2" x14ac:dyDescent="0.25">
      <c r="A77" s="21">
        <v>44269</v>
      </c>
      <c r="B77" s="18">
        <v>6</v>
      </c>
    </row>
    <row r="78" spans="1:2" x14ac:dyDescent="0.25">
      <c r="A78" s="21">
        <v>44281</v>
      </c>
      <c r="B78" s="18">
        <v>58</v>
      </c>
    </row>
    <row r="79" spans="1:2" x14ac:dyDescent="0.25">
      <c r="A79" s="21">
        <v>44289</v>
      </c>
      <c r="B79" s="18">
        <v>10</v>
      </c>
    </row>
    <row r="80" spans="1:2" x14ac:dyDescent="0.25">
      <c r="A80" s="21">
        <v>44292</v>
      </c>
      <c r="B80" s="18">
        <v>38</v>
      </c>
    </row>
    <row r="81" spans="1:2" x14ac:dyDescent="0.25">
      <c r="A81" s="21">
        <v>44296</v>
      </c>
      <c r="B81" s="18">
        <v>12</v>
      </c>
    </row>
    <row r="82" spans="1:2" x14ac:dyDescent="0.25">
      <c r="A82" s="21">
        <v>44297</v>
      </c>
      <c r="B82" s="18">
        <v>13</v>
      </c>
    </row>
    <row r="83" spans="1:2" x14ac:dyDescent="0.25">
      <c r="A83" s="21">
        <v>44299</v>
      </c>
      <c r="B83" s="18">
        <v>44</v>
      </c>
    </row>
    <row r="84" spans="1:2" x14ac:dyDescent="0.25">
      <c r="A84" s="21">
        <v>44309</v>
      </c>
      <c r="B84" s="18">
        <v>57</v>
      </c>
    </row>
    <row r="85" spans="1:2" x14ac:dyDescent="0.25">
      <c r="A85" s="21">
        <v>44311</v>
      </c>
      <c r="B85" s="18">
        <v>53</v>
      </c>
    </row>
    <row r="86" spans="1:2" x14ac:dyDescent="0.25">
      <c r="A86" s="21">
        <v>44318</v>
      </c>
      <c r="B86" s="18">
        <v>40</v>
      </c>
    </row>
    <row r="87" spans="1:2" x14ac:dyDescent="0.25">
      <c r="A87" s="21">
        <v>44320</v>
      </c>
      <c r="B87" s="18">
        <v>61</v>
      </c>
    </row>
    <row r="88" spans="1:2" x14ac:dyDescent="0.25">
      <c r="A88" s="21">
        <v>44321</v>
      </c>
      <c r="B88" s="18">
        <v>61</v>
      </c>
    </row>
    <row r="89" spans="1:2" x14ac:dyDescent="0.25">
      <c r="A89" s="21">
        <v>44322</v>
      </c>
      <c r="B89" s="18">
        <v>59</v>
      </c>
    </row>
    <row r="90" spans="1:2" x14ac:dyDescent="0.25">
      <c r="A90" s="21">
        <v>44328</v>
      </c>
      <c r="B90" s="18">
        <v>14</v>
      </c>
    </row>
    <row r="91" spans="1:2" x14ac:dyDescent="0.25">
      <c r="A91" s="21">
        <v>44332</v>
      </c>
      <c r="B91" s="18">
        <v>23</v>
      </c>
    </row>
    <row r="92" spans="1:2" x14ac:dyDescent="0.25">
      <c r="A92" s="21">
        <v>44334</v>
      </c>
      <c r="B92" s="18">
        <v>16</v>
      </c>
    </row>
    <row r="93" spans="1:2" x14ac:dyDescent="0.25">
      <c r="A93" s="21">
        <v>44335</v>
      </c>
      <c r="B93" s="18">
        <v>24</v>
      </c>
    </row>
    <row r="94" spans="1:2" x14ac:dyDescent="0.25">
      <c r="A94" s="21">
        <v>44339</v>
      </c>
      <c r="B94" s="18">
        <v>65</v>
      </c>
    </row>
    <row r="95" spans="1:2" x14ac:dyDescent="0.25">
      <c r="A95" s="21">
        <v>44341</v>
      </c>
      <c r="B95" s="18">
        <v>38</v>
      </c>
    </row>
    <row r="96" spans="1:2" x14ac:dyDescent="0.25">
      <c r="A96" s="21">
        <v>44343</v>
      </c>
      <c r="B96" s="18">
        <v>7</v>
      </c>
    </row>
    <row r="97" spans="1:2" x14ac:dyDescent="0.25">
      <c r="A97" s="21">
        <v>44344</v>
      </c>
      <c r="B97" s="18">
        <v>16</v>
      </c>
    </row>
    <row r="98" spans="1:2" x14ac:dyDescent="0.25">
      <c r="A98" s="21">
        <v>44349</v>
      </c>
      <c r="B98" s="18">
        <v>23</v>
      </c>
    </row>
    <row r="99" spans="1:2" x14ac:dyDescent="0.25">
      <c r="A99" s="21">
        <v>44352</v>
      </c>
      <c r="B99" s="18">
        <v>18</v>
      </c>
    </row>
    <row r="100" spans="1:2" x14ac:dyDescent="0.25">
      <c r="A100" s="21">
        <v>44356</v>
      </c>
      <c r="B100" s="18">
        <v>27</v>
      </c>
    </row>
    <row r="101" spans="1:2" x14ac:dyDescent="0.25">
      <c r="A101" s="21">
        <v>44357</v>
      </c>
      <c r="B101" s="18">
        <v>17</v>
      </c>
    </row>
    <row r="102" spans="1:2" x14ac:dyDescent="0.25">
      <c r="A102" s="21">
        <v>44359</v>
      </c>
      <c r="B102" s="18">
        <v>18</v>
      </c>
    </row>
    <row r="103" spans="1:2" x14ac:dyDescent="0.25">
      <c r="A103" s="21">
        <v>44362</v>
      </c>
      <c r="B103" s="18">
        <v>58</v>
      </c>
    </row>
    <row r="104" spans="1:2" x14ac:dyDescent="0.25">
      <c r="A104" s="21">
        <v>44368</v>
      </c>
      <c r="B104" s="18">
        <v>59</v>
      </c>
    </row>
    <row r="105" spans="1:2" x14ac:dyDescent="0.25">
      <c r="A105" s="21">
        <v>44369</v>
      </c>
      <c r="B105" s="18">
        <v>62</v>
      </c>
    </row>
    <row r="106" spans="1:2" x14ac:dyDescent="0.25">
      <c r="A106" s="21">
        <v>44372</v>
      </c>
      <c r="B106" s="18">
        <v>35</v>
      </c>
    </row>
    <row r="107" spans="1:2" x14ac:dyDescent="0.25">
      <c r="A107" s="21">
        <v>44376</v>
      </c>
      <c r="B107" s="18">
        <v>22</v>
      </c>
    </row>
    <row r="108" spans="1:2" x14ac:dyDescent="0.25">
      <c r="A108" s="21">
        <v>44377</v>
      </c>
      <c r="B108" s="18">
        <v>42</v>
      </c>
    </row>
    <row r="109" spans="1:2" x14ac:dyDescent="0.25">
      <c r="A109" s="21">
        <v>44378</v>
      </c>
      <c r="B109" s="18">
        <v>59</v>
      </c>
    </row>
    <row r="110" spans="1:2" x14ac:dyDescent="0.25">
      <c r="A110" s="21">
        <v>44380</v>
      </c>
      <c r="B110" s="18">
        <v>62</v>
      </c>
    </row>
    <row r="111" spans="1:2" x14ac:dyDescent="0.25">
      <c r="A111" s="21">
        <v>44383</v>
      </c>
      <c r="B111" s="18">
        <v>9</v>
      </c>
    </row>
    <row r="112" spans="1:2" x14ac:dyDescent="0.25">
      <c r="A112" s="21">
        <v>44386</v>
      </c>
      <c r="B112" s="18">
        <v>12</v>
      </c>
    </row>
    <row r="113" spans="1:2" x14ac:dyDescent="0.25">
      <c r="A113" s="21">
        <v>44391</v>
      </c>
      <c r="B113" s="18">
        <v>20</v>
      </c>
    </row>
    <row r="114" spans="1:2" x14ac:dyDescent="0.25">
      <c r="A114" s="21">
        <v>44395</v>
      </c>
      <c r="B114" s="18">
        <v>57</v>
      </c>
    </row>
    <row r="115" spans="1:2" x14ac:dyDescent="0.25">
      <c r="A115" s="21">
        <v>44397</v>
      </c>
      <c r="B115" s="18">
        <v>6</v>
      </c>
    </row>
    <row r="116" spans="1:2" x14ac:dyDescent="0.25">
      <c r="A116" s="21">
        <v>44411</v>
      </c>
      <c r="B116" s="18">
        <v>35</v>
      </c>
    </row>
    <row r="117" spans="1:2" x14ac:dyDescent="0.25">
      <c r="A117" s="21">
        <v>44419</v>
      </c>
      <c r="B117" s="18">
        <v>81</v>
      </c>
    </row>
    <row r="118" spans="1:2" x14ac:dyDescent="0.25">
      <c r="A118" s="21">
        <v>44423</v>
      </c>
      <c r="B118" s="18">
        <v>61</v>
      </c>
    </row>
    <row r="119" spans="1:2" x14ac:dyDescent="0.25">
      <c r="A119" s="21">
        <v>44424</v>
      </c>
      <c r="B119" s="18">
        <v>42</v>
      </c>
    </row>
    <row r="120" spans="1:2" x14ac:dyDescent="0.25">
      <c r="A120" s="21">
        <v>44429</v>
      </c>
      <c r="B120" s="18">
        <v>30</v>
      </c>
    </row>
    <row r="121" spans="1:2" x14ac:dyDescent="0.25">
      <c r="A121" s="21">
        <v>44433</v>
      </c>
      <c r="B121" s="18">
        <v>60</v>
      </c>
    </row>
    <row r="122" spans="1:2" x14ac:dyDescent="0.25">
      <c r="A122" s="21">
        <v>44434</v>
      </c>
      <c r="B122" s="18">
        <v>62</v>
      </c>
    </row>
    <row r="123" spans="1:2" x14ac:dyDescent="0.25">
      <c r="A123" s="21">
        <v>44438</v>
      </c>
      <c r="B123" s="18">
        <v>17</v>
      </c>
    </row>
    <row r="124" spans="1:2" x14ac:dyDescent="0.25">
      <c r="A124" s="21">
        <v>44440</v>
      </c>
      <c r="B124" s="18">
        <v>11</v>
      </c>
    </row>
    <row r="125" spans="1:2" x14ac:dyDescent="0.25">
      <c r="A125" s="21">
        <v>44446</v>
      </c>
      <c r="B125" s="18">
        <v>11</v>
      </c>
    </row>
    <row r="126" spans="1:2" x14ac:dyDescent="0.25">
      <c r="A126" s="21">
        <v>44451</v>
      </c>
      <c r="B126" s="18">
        <v>15</v>
      </c>
    </row>
    <row r="127" spans="1:2" x14ac:dyDescent="0.25">
      <c r="A127" s="21">
        <v>44455</v>
      </c>
      <c r="B127" s="18">
        <v>72</v>
      </c>
    </row>
    <row r="128" spans="1:2" x14ac:dyDescent="0.25">
      <c r="A128" s="21">
        <v>44463</v>
      </c>
      <c r="B128" s="18">
        <v>17</v>
      </c>
    </row>
    <row r="129" spans="1:2" x14ac:dyDescent="0.25">
      <c r="A129" s="21">
        <v>44466</v>
      </c>
      <c r="B129" s="18">
        <v>20</v>
      </c>
    </row>
    <row r="130" spans="1:2" x14ac:dyDescent="0.25">
      <c r="A130" s="21">
        <v>44469</v>
      </c>
      <c r="B130" s="18">
        <v>44</v>
      </c>
    </row>
    <row r="131" spans="1:2" x14ac:dyDescent="0.25">
      <c r="A131" s="21">
        <v>44470</v>
      </c>
      <c r="B131" s="18">
        <v>63</v>
      </c>
    </row>
    <row r="132" spans="1:2" x14ac:dyDescent="0.25">
      <c r="A132" s="21">
        <v>44472</v>
      </c>
      <c r="B132" s="18">
        <v>78</v>
      </c>
    </row>
    <row r="133" spans="1:2" x14ac:dyDescent="0.25">
      <c r="A133" s="21">
        <v>44473</v>
      </c>
      <c r="B133" s="18">
        <v>40</v>
      </c>
    </row>
    <row r="134" spans="1:2" x14ac:dyDescent="0.25">
      <c r="A134" s="21">
        <v>44475</v>
      </c>
      <c r="B134" s="18">
        <v>47</v>
      </c>
    </row>
    <row r="135" spans="1:2" x14ac:dyDescent="0.25">
      <c r="A135" s="21">
        <v>44476</v>
      </c>
      <c r="B135" s="18">
        <v>64</v>
      </c>
    </row>
    <row r="136" spans="1:2" x14ac:dyDescent="0.25">
      <c r="A136" s="21">
        <v>44478</v>
      </c>
      <c r="B136" s="18">
        <v>49</v>
      </c>
    </row>
    <row r="137" spans="1:2" x14ac:dyDescent="0.25">
      <c r="A137" s="21">
        <v>44485</v>
      </c>
      <c r="B137" s="18">
        <v>56</v>
      </c>
    </row>
    <row r="138" spans="1:2" x14ac:dyDescent="0.25">
      <c r="A138" s="21">
        <v>44486</v>
      </c>
      <c r="B138" s="18">
        <v>21</v>
      </c>
    </row>
    <row r="139" spans="1:2" x14ac:dyDescent="0.25">
      <c r="A139" s="21">
        <v>44490</v>
      </c>
      <c r="B139" s="18">
        <v>25</v>
      </c>
    </row>
    <row r="140" spans="1:2" x14ac:dyDescent="0.25">
      <c r="A140" s="21">
        <v>44498</v>
      </c>
      <c r="B140" s="18">
        <v>10</v>
      </c>
    </row>
    <row r="141" spans="1:2" x14ac:dyDescent="0.25">
      <c r="A141" s="21">
        <v>44499</v>
      </c>
      <c r="B141" s="18">
        <v>29</v>
      </c>
    </row>
    <row r="142" spans="1:2" x14ac:dyDescent="0.25">
      <c r="A142" s="21">
        <v>44503</v>
      </c>
      <c r="B142" s="18">
        <v>53</v>
      </c>
    </row>
    <row r="143" spans="1:2" x14ac:dyDescent="0.25">
      <c r="A143" s="21">
        <v>44507</v>
      </c>
      <c r="B143" s="18">
        <v>49</v>
      </c>
    </row>
    <row r="144" spans="1:2" x14ac:dyDescent="0.25">
      <c r="A144" s="21">
        <v>44515</v>
      </c>
      <c r="B144" s="18">
        <v>29</v>
      </c>
    </row>
    <row r="145" spans="1:2" x14ac:dyDescent="0.25">
      <c r="A145" s="21">
        <v>44519</v>
      </c>
      <c r="B145" s="18">
        <v>19</v>
      </c>
    </row>
    <row r="146" spans="1:2" x14ac:dyDescent="0.25">
      <c r="A146" s="21">
        <v>44522</v>
      </c>
      <c r="B146" s="18">
        <v>17</v>
      </c>
    </row>
    <row r="147" spans="1:2" x14ac:dyDescent="0.25">
      <c r="A147" s="21">
        <v>44525</v>
      </c>
      <c r="B147" s="18">
        <v>53</v>
      </c>
    </row>
    <row r="148" spans="1:2" x14ac:dyDescent="0.25">
      <c r="A148" s="21">
        <v>44526</v>
      </c>
      <c r="B148" s="18">
        <v>29</v>
      </c>
    </row>
    <row r="149" spans="1:2" x14ac:dyDescent="0.25">
      <c r="A149" s="21">
        <v>44529</v>
      </c>
      <c r="B149" s="18">
        <v>16</v>
      </c>
    </row>
    <row r="150" spans="1:2" x14ac:dyDescent="0.25">
      <c r="A150" s="21">
        <v>44533</v>
      </c>
      <c r="B150" s="18">
        <v>27</v>
      </c>
    </row>
    <row r="151" spans="1:2" x14ac:dyDescent="0.25">
      <c r="A151" s="21">
        <v>44538</v>
      </c>
      <c r="B151" s="18">
        <v>10</v>
      </c>
    </row>
    <row r="152" spans="1:2" x14ac:dyDescent="0.25">
      <c r="A152" s="21">
        <v>44551</v>
      </c>
      <c r="B152" s="18">
        <v>50</v>
      </c>
    </row>
    <row r="153" spans="1:2" x14ac:dyDescent="0.25">
      <c r="A153" s="21">
        <v>44553</v>
      </c>
      <c r="B153" s="18">
        <v>51</v>
      </c>
    </row>
    <row r="154" spans="1:2" x14ac:dyDescent="0.25">
      <c r="A154" s="21" t="s">
        <v>62</v>
      </c>
      <c r="B154" s="18">
        <v>3601</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959FF-1B5E-4899-BE17-F5B360F0BE57}">
  <dimension ref="A3:D43"/>
  <sheetViews>
    <sheetView showGridLines="0" tabSelected="1" topLeftCell="A7" zoomScale="70" zoomScaleNormal="70" workbookViewId="0">
      <selection activeCell="G43" sqref="G43"/>
    </sheetView>
  </sheetViews>
  <sheetFormatPr defaultRowHeight="15" x14ac:dyDescent="0.25"/>
  <sheetData>
    <row r="3" spans="1:4" ht="46.5" x14ac:dyDescent="0.7">
      <c r="A3" s="22" t="s">
        <v>80</v>
      </c>
    </row>
    <row r="6" spans="1:4" x14ac:dyDescent="0.25">
      <c r="A6" s="23"/>
      <c r="B6" s="23"/>
      <c r="C6" s="23"/>
      <c r="D6" s="23"/>
    </row>
    <row r="7" spans="1:4" x14ac:dyDescent="0.25">
      <c r="A7" s="23"/>
      <c r="B7" s="23"/>
      <c r="C7" s="23"/>
      <c r="D7" s="23"/>
    </row>
    <row r="8" spans="1:4" x14ac:dyDescent="0.25">
      <c r="A8" s="23"/>
      <c r="B8" s="23"/>
      <c r="C8" s="23"/>
      <c r="D8" s="23"/>
    </row>
    <row r="9" spans="1:4" x14ac:dyDescent="0.25">
      <c r="A9" s="23"/>
      <c r="B9" s="23"/>
      <c r="C9" s="23"/>
      <c r="D9" s="23"/>
    </row>
    <row r="10" spans="1:4" x14ac:dyDescent="0.25">
      <c r="A10" s="23"/>
      <c r="B10" s="23"/>
      <c r="C10" s="23"/>
      <c r="D10" s="23"/>
    </row>
    <row r="11" spans="1:4" x14ac:dyDescent="0.25">
      <c r="A11" s="23"/>
      <c r="B11" s="23"/>
      <c r="C11" s="23"/>
      <c r="D11" s="23"/>
    </row>
    <row r="12" spans="1:4" x14ac:dyDescent="0.25">
      <c r="A12" s="23"/>
      <c r="B12" s="23"/>
      <c r="C12" s="23"/>
      <c r="D12" s="23"/>
    </row>
    <row r="13" spans="1:4" x14ac:dyDescent="0.25">
      <c r="A13" s="23"/>
      <c r="B13" s="23"/>
      <c r="C13" s="23"/>
      <c r="D13" s="23"/>
    </row>
    <row r="14" spans="1:4" x14ac:dyDescent="0.25">
      <c r="A14" s="23"/>
      <c r="B14" s="23"/>
      <c r="C14" s="23"/>
      <c r="D14" s="23"/>
    </row>
    <row r="15" spans="1:4" x14ac:dyDescent="0.25">
      <c r="A15" s="23"/>
      <c r="B15" s="23"/>
      <c r="C15" s="23"/>
      <c r="D15" s="23"/>
    </row>
    <row r="16" spans="1:4" x14ac:dyDescent="0.25">
      <c r="A16" s="23"/>
      <c r="B16" s="23"/>
      <c r="C16" s="23"/>
      <c r="D16" s="23"/>
    </row>
    <row r="17" spans="1:4" x14ac:dyDescent="0.25">
      <c r="A17" s="23"/>
      <c r="B17" s="23"/>
      <c r="C17" s="23"/>
      <c r="D17" s="23"/>
    </row>
    <row r="18" spans="1:4" x14ac:dyDescent="0.25">
      <c r="A18" s="23"/>
      <c r="B18" s="23"/>
      <c r="C18" s="23"/>
      <c r="D18" s="23"/>
    </row>
    <row r="19" spans="1:4" x14ac:dyDescent="0.25">
      <c r="A19" s="23"/>
      <c r="B19" s="23"/>
      <c r="C19" s="23"/>
      <c r="D19" s="23"/>
    </row>
    <row r="20" spans="1:4" x14ac:dyDescent="0.25">
      <c r="A20" s="23"/>
      <c r="B20" s="23"/>
      <c r="C20" s="23"/>
      <c r="D20" s="23"/>
    </row>
    <row r="21" spans="1:4" x14ac:dyDescent="0.25">
      <c r="A21" s="23"/>
      <c r="B21" s="23"/>
      <c r="C21" s="23"/>
      <c r="D21" s="23"/>
    </row>
    <row r="22" spans="1:4" x14ac:dyDescent="0.25">
      <c r="A22" s="23"/>
      <c r="B22" s="23"/>
      <c r="C22" s="23"/>
      <c r="D22" s="23"/>
    </row>
    <row r="23" spans="1:4" x14ac:dyDescent="0.25">
      <c r="A23" s="23"/>
      <c r="B23" s="23"/>
      <c r="C23" s="23"/>
      <c r="D23" s="23"/>
    </row>
    <row r="24" spans="1:4" x14ac:dyDescent="0.25">
      <c r="A24" s="23"/>
      <c r="B24" s="23"/>
      <c r="C24" s="23"/>
      <c r="D24" s="23"/>
    </row>
    <row r="25" spans="1:4" x14ac:dyDescent="0.25">
      <c r="A25" s="23"/>
      <c r="B25" s="23"/>
      <c r="C25" s="23"/>
      <c r="D25" s="23"/>
    </row>
    <row r="26" spans="1:4" x14ac:dyDescent="0.25">
      <c r="A26" s="23"/>
      <c r="B26" s="23"/>
      <c r="C26" s="23"/>
      <c r="D26" s="23"/>
    </row>
    <row r="27" spans="1:4" x14ac:dyDescent="0.25">
      <c r="A27" s="23"/>
      <c r="B27" s="23"/>
      <c r="C27" s="23"/>
      <c r="D27" s="23"/>
    </row>
    <row r="28" spans="1:4" x14ac:dyDescent="0.25">
      <c r="A28" s="23"/>
      <c r="B28" s="23"/>
      <c r="C28" s="23"/>
      <c r="D28" s="23"/>
    </row>
    <row r="29" spans="1:4" x14ac:dyDescent="0.25">
      <c r="A29" s="23"/>
      <c r="B29" s="23"/>
      <c r="C29" s="23"/>
      <c r="D29" s="23"/>
    </row>
    <row r="30" spans="1:4" x14ac:dyDescent="0.25">
      <c r="A30" s="23"/>
      <c r="B30" s="23"/>
      <c r="C30" s="23"/>
      <c r="D30" s="23"/>
    </row>
    <row r="31" spans="1:4" x14ac:dyDescent="0.25">
      <c r="A31" s="23"/>
      <c r="B31" s="23"/>
      <c r="C31" s="23"/>
      <c r="D31" s="23"/>
    </row>
    <row r="32" spans="1:4" x14ac:dyDescent="0.25">
      <c r="A32" s="23"/>
      <c r="B32" s="23"/>
      <c r="C32" s="23"/>
      <c r="D32" s="23"/>
    </row>
    <row r="33" spans="1:4" x14ac:dyDescent="0.25">
      <c r="A33" s="23"/>
      <c r="B33" s="23"/>
      <c r="C33" s="23"/>
      <c r="D33" s="23"/>
    </row>
    <row r="34" spans="1:4" x14ac:dyDescent="0.25">
      <c r="A34" s="23"/>
      <c r="B34" s="23"/>
      <c r="C34" s="23"/>
      <c r="D34" s="23"/>
    </row>
    <row r="35" spans="1:4" x14ac:dyDescent="0.25">
      <c r="A35" s="23"/>
      <c r="B35" s="23"/>
      <c r="C35" s="23"/>
      <c r="D35" s="23"/>
    </row>
    <row r="36" spans="1:4" x14ac:dyDescent="0.25">
      <c r="A36" s="23"/>
      <c r="B36" s="23"/>
      <c r="C36" s="23"/>
      <c r="D36" s="23"/>
    </row>
    <row r="37" spans="1:4" x14ac:dyDescent="0.25">
      <c r="A37" s="23"/>
      <c r="B37" s="23"/>
      <c r="C37" s="23"/>
      <c r="D37" s="23"/>
    </row>
    <row r="38" spans="1:4" x14ac:dyDescent="0.25">
      <c r="A38" s="23"/>
      <c r="B38" s="23"/>
      <c r="C38" s="23"/>
      <c r="D38" s="23"/>
    </row>
    <row r="39" spans="1:4" x14ac:dyDescent="0.25">
      <c r="A39" s="23"/>
      <c r="B39" s="23"/>
      <c r="C39" s="23"/>
      <c r="D39" s="23"/>
    </row>
    <row r="40" spans="1:4" x14ac:dyDescent="0.25">
      <c r="A40" s="23"/>
      <c r="B40" s="23"/>
      <c r="C40" s="23"/>
      <c r="D40" s="23"/>
    </row>
    <row r="41" spans="1:4" x14ac:dyDescent="0.25">
      <c r="A41" s="23"/>
      <c r="B41" s="23"/>
      <c r="C41" s="23"/>
      <c r="D41" s="23"/>
    </row>
    <row r="42" spans="1:4" x14ac:dyDescent="0.25">
      <c r="A42" s="24"/>
      <c r="B42" s="24"/>
      <c r="C42" s="24"/>
      <c r="D42" s="24"/>
    </row>
    <row r="43" spans="1:4" x14ac:dyDescent="0.25">
      <c r="A43" s="24"/>
      <c r="B43" s="24"/>
      <c r="C43" s="24"/>
      <c r="D43"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vt:lpstr>
      <vt:lpstr>Sorting dan Filter</vt:lpstr>
      <vt:lpstr>GroupUngroup</vt:lpstr>
      <vt:lpstr>ShowValueAs</vt:lpstr>
      <vt:lpstr>PivotTable</vt:lpstr>
      <vt:lpstr>Latihan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Muhamad R Taufik</dc:creator>
  <cp:keywords/>
  <dc:description/>
  <cp:lastModifiedBy>Fathurrahman</cp:lastModifiedBy>
  <cp:revision/>
  <dcterms:created xsi:type="dcterms:W3CDTF">2024-01-31T08:33:43Z</dcterms:created>
  <dcterms:modified xsi:type="dcterms:W3CDTF">2026-01-14T17:34:21Z</dcterms:modified>
  <cp:category/>
  <cp:contentStatus/>
</cp:coreProperties>
</file>