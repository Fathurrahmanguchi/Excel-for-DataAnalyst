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D:\fathur punya\Sesi 14 - Data Storytelling (Part 2)\"/>
    </mc:Choice>
  </mc:AlternateContent>
  <xr:revisionPtr revIDLastSave="0" documentId="13_ncr:1_{0485E7BA-F6D1-4167-A9F0-7A3FBC855547}" xr6:coauthVersionLast="47" xr6:coauthVersionMax="47" xr10:uidLastSave="{00000000-0000-0000-0000-000000000000}"/>
  <bookViews>
    <workbookView xWindow="-120" yWindow="-120" windowWidth="20730" windowHeight="11760" tabRatio="917" firstSheet="5" activeTab="5" xr2:uid="{9FDCABC1-371F-431B-9ADE-12799A3764A4}"/>
  </bookViews>
  <sheets>
    <sheet name="Master Cabang" sheetId="1" r:id="rId1"/>
    <sheet name="Master Produk" sheetId="3" r:id="rId2"/>
    <sheet name="Liburan" sheetId="32" r:id="rId3"/>
    <sheet name="Katagori Produk" sheetId="4" r:id="rId4"/>
    <sheet name="Transaksi" sheetId="21" r:id="rId5"/>
    <sheet name="Dapur1" sheetId="33" r:id="rId6"/>
    <sheet name="Dapur2" sheetId="34" r:id="rId7"/>
    <sheet name="Quartile" sheetId="35" r:id="rId8"/>
    <sheet name="Case1" sheetId="36" r:id="rId9"/>
    <sheet name="Case2" sheetId="37" r:id="rId10"/>
  </sheets>
  <definedNames>
    <definedName name="_xlcn.WorksheetConnection_Sesi13DataStorytelling.xlsxltKatagori1" hidden="1">ltKatagori[]</definedName>
    <definedName name="_xlcn.WorksheetConnection_Sesi13DataStorytelling.xlsxltLiburan1" hidden="1">ltLiburan[]</definedName>
    <definedName name="_xlcn.WorksheetConnection_Sesi13DataStorytelling.xlsxltMasterCabang1" hidden="1">ltMasterCabang[]</definedName>
    <definedName name="_xlcn.WorksheetConnection_Sesi13DataStorytelling.xlsxltMasterProduk1" hidden="1">ltMasterProduk[]</definedName>
    <definedName name="Slicer_Nama_Kategori">#N/A</definedName>
  </definedNames>
  <calcPr calcId="191028"/>
  <pivotCaches>
    <pivotCache cacheId="648" r:id="rId11"/>
    <pivotCache cacheId="651" r:id="rId12"/>
    <pivotCache cacheId="654" r:id="rId13"/>
    <pivotCache cacheId="657" r:id="rId14"/>
    <pivotCache cacheId="660" r:id="rId15"/>
    <pivotCache cacheId="663" r:id="rId16"/>
  </pivotCaches>
  <extLst>
    <ext xmlns:x14="http://schemas.microsoft.com/office/spreadsheetml/2009/9/main" uri="{876F7934-8845-4945-9796-88D515C7AA90}">
      <x14:pivotCaches>
        <pivotCache cacheId="6"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tTransaksi_9155819e-cc07-450c-b58a-8bfa4bca3c7c" name="dtTransaksi" connection="Query - dtTransaksi"/>
          <x15:modelTable id="ltMasterProduk" name="MasterProduk" connection="WorksheetConnection_Sesi 13 - Data Storytelling.xlsx!ltMasterProduk"/>
          <x15:modelTable id="ltMasterCabang" name="MasterCabang" connection="WorksheetConnection_Sesi 13 - Data Storytelling.xlsx!ltMasterCabang"/>
          <x15:modelTable id="ltLiburan" name="Liburan" connection="WorksheetConnection_Sesi 13 - Data Storytelling.xlsx!ltLiburan"/>
          <x15:modelTable id="ltKatagori" name="Katagori" connection="WorksheetConnection_Sesi 13 - Data Storytelling.xlsx!ltKatagori"/>
        </x15:modelTables>
        <x15:modelRelationships>
          <x15:modelRelationship fromTable="dtTransaksi" fromColumn="Kode Cabang" toTable="MasterCabang" toColumn="Kode Cabang"/>
          <x15:modelRelationship fromTable="dtTransaksi" fromColumn="Kode Produk" toTable="MasterProduk" toColumn="Kode Produk Final"/>
          <x15:modelRelationship fromTable="dtTransaksi" fromColumn="Tanggal Transaksi" toTable="Liburan" toColumn="Tanggal"/>
          <x15:modelRelationship fromTable="dtTransaksi" fromColumn="Kode Kategori" toTable="Katagori" toColumn="Kode Kategori"/>
        </x15:modelRelationships>
      </x15:dataModel>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26" i="33" l="1"/>
  <c r="D25" i="33"/>
  <c r="E25" i="33"/>
  <c r="E26" i="33"/>
  <c r="D27" i="33"/>
  <c r="E27" i="33"/>
  <c r="D28" i="33"/>
  <c r="E28" i="33"/>
  <c r="D29" i="33"/>
  <c r="E29"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C08376-B98B-4CBE-958A-C131D3D287AF}" name="Query - dtTransaksi" description="Connection to the 'dtTransaksi' query in the workbook." type="100" refreshedVersion="7" minRefreshableVersion="5">
    <extLst>
      <ext xmlns:x15="http://schemas.microsoft.com/office/spreadsheetml/2010/11/main" uri="{DE250136-89BD-433C-8126-D09CA5730AF9}">
        <x15:connection id="6cc14dea-4161-4e51-a553-d559b4f3976b"/>
      </ext>
    </extLst>
  </connection>
  <connection id="2" xr16:uid="{DEAA3A52-A0F5-4BB1-99A8-AAC505F84C31}"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F1F24360-FC40-416B-A282-A8548AC5E69E}" name="WorksheetConnection_Sesi 13 - Data Storytelling.xlsx!ltKatagori" type="102" refreshedVersion="8" minRefreshableVersion="5" saveData="1">
    <extLst>
      <ext xmlns:x15="http://schemas.microsoft.com/office/spreadsheetml/2010/11/main" uri="{DE250136-89BD-433C-8126-D09CA5730AF9}">
        <x15:connection id="ltKatagori">
          <x15:rangePr sourceName="_xlcn.WorksheetConnection_Sesi13DataStorytelling.xlsxltKatagori1"/>
        </x15:connection>
      </ext>
    </extLst>
  </connection>
  <connection id="4" xr16:uid="{BAEAFEC7-EFA6-41A9-B4CF-FE74D1740825}" name="WorksheetConnection_Sesi 13 - Data Storytelling.xlsx!ltLiburan" type="102" refreshedVersion="8" minRefreshableVersion="5">
    <extLst>
      <ext xmlns:x15="http://schemas.microsoft.com/office/spreadsheetml/2010/11/main" uri="{DE250136-89BD-433C-8126-D09CA5730AF9}">
        <x15:connection id="ltLiburan">
          <x15:rangePr sourceName="_xlcn.WorksheetConnection_Sesi13DataStorytelling.xlsxltLiburan1"/>
        </x15:connection>
      </ext>
    </extLst>
  </connection>
  <connection id="5" xr16:uid="{C00A536C-28C7-4684-87F8-CF36C9F9A17B}" name="WorksheetConnection_Sesi 13 - Data Storytelling.xlsx!ltMasterCabang" type="102" refreshedVersion="8" minRefreshableVersion="5">
    <extLst>
      <ext xmlns:x15="http://schemas.microsoft.com/office/spreadsheetml/2010/11/main" uri="{DE250136-89BD-433C-8126-D09CA5730AF9}">
        <x15:connection id="ltMasterCabang">
          <x15:rangePr sourceName="_xlcn.WorksheetConnection_Sesi13DataStorytelling.xlsxltMasterCabang1"/>
        </x15:connection>
      </ext>
    </extLst>
  </connection>
  <connection id="6" xr16:uid="{8ACE3F65-3B0A-408F-A264-A50E025B4CBD}" name="WorksheetConnection_Sesi 13 - Data Storytelling.xlsx!ltMasterProduk" type="102" refreshedVersion="8" minRefreshableVersion="5">
    <extLst>
      <ext xmlns:x15="http://schemas.microsoft.com/office/spreadsheetml/2010/11/main" uri="{DE250136-89BD-433C-8126-D09CA5730AF9}">
        <x15:connection id="ltMasterProduk">
          <x15:rangePr sourceName="_xlcn.WorksheetConnection_Sesi13DataStorytelling.xlsxltMasterProduk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MasterCabang].[Nama Cabang].&amp;[Cabang Medan]}"/>
    <s v="{[Katagori].[Nama Kategori].&amp;[Bawahan]}"/>
    <s v="{[Liburan].[Nama Liburan].&amp;[Hari Raya Idul Fitri 1438 Hijriah]}"/>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<sst xmlns="http://schemas.openxmlformats.org/spreadsheetml/2006/main" count="224" uniqueCount="122">
  <si>
    <t>Kode Cabang</t>
  </si>
  <si>
    <t>Nama Cabang</t>
  </si>
  <si>
    <t>Lokasi</t>
  </si>
  <si>
    <t>Provinsi</t>
  </si>
  <si>
    <t>CAB001</t>
  </si>
  <si>
    <t>Cabang Medan</t>
  </si>
  <si>
    <t>Medan</t>
  </si>
  <si>
    <t>Sumatera Utara</t>
  </si>
  <si>
    <t>CAB002</t>
  </si>
  <si>
    <t>Cabang Surabaya</t>
  </si>
  <si>
    <t>Surabaya</t>
  </si>
  <si>
    <t>Jawa Timur</t>
  </si>
  <si>
    <t>CAB003</t>
  </si>
  <si>
    <t>Cabang Makasar</t>
  </si>
  <si>
    <t>Makassar</t>
  </si>
  <si>
    <t>Sulawesi Selatan</t>
  </si>
  <si>
    <t>CAB004</t>
  </si>
  <si>
    <t>Cabang Jakarta</t>
  </si>
  <si>
    <t>Jakarta</t>
  </si>
  <si>
    <t>DKI Jakarta</t>
  </si>
  <si>
    <t>No.</t>
  </si>
  <si>
    <t>Kode Produk Final</t>
  </si>
  <si>
    <t>Kategori</t>
  </si>
  <si>
    <t>Nama Produk</t>
  </si>
  <si>
    <t>Harga</t>
  </si>
  <si>
    <t>ATS-0001</t>
  </si>
  <si>
    <t>Atasan</t>
  </si>
  <si>
    <t>T-shirt</t>
  </si>
  <si>
    <t>ATS-0002</t>
  </si>
  <si>
    <t>Blus</t>
  </si>
  <si>
    <t>ATS-0003</t>
  </si>
  <si>
    <t>Kemeja</t>
  </si>
  <si>
    <t>ATS-0004</t>
  </si>
  <si>
    <t>Sweater</t>
  </si>
  <si>
    <t>ATS-0005</t>
  </si>
  <si>
    <t>Jaket</t>
  </si>
  <si>
    <t>BWH-0006</t>
  </si>
  <si>
    <t>Bawahan</t>
  </si>
  <si>
    <t>Celana Jeans</t>
  </si>
  <si>
    <t>BWH-0007</t>
  </si>
  <si>
    <t>Rok</t>
  </si>
  <si>
    <t>BWH-0008</t>
  </si>
  <si>
    <t>Legging</t>
  </si>
  <si>
    <t>BWH-0009</t>
  </si>
  <si>
    <t>Celana Panjang</t>
  </si>
  <si>
    <t>BWH-0010</t>
  </si>
  <si>
    <t>Hot Pants</t>
  </si>
  <si>
    <t>GUN-0011</t>
  </si>
  <si>
    <t>Gaun</t>
  </si>
  <si>
    <t>Dress</t>
  </si>
  <si>
    <t>GUN-0012</t>
  </si>
  <si>
    <t>Jumpsuit</t>
  </si>
  <si>
    <t>GUN-0013</t>
  </si>
  <si>
    <t>Maxi Dress</t>
  </si>
  <si>
    <t>GUN-0014</t>
  </si>
  <si>
    <t>Kaftan</t>
  </si>
  <si>
    <t>GUN-0015</t>
  </si>
  <si>
    <t>Overall</t>
  </si>
  <si>
    <t>AKS-0016</t>
  </si>
  <si>
    <t>Aksesoris</t>
  </si>
  <si>
    <t>Kaus Kaki</t>
  </si>
  <si>
    <t>AKS-0017</t>
  </si>
  <si>
    <t>Syal</t>
  </si>
  <si>
    <t>AKS-0018</t>
  </si>
  <si>
    <t>Topi</t>
  </si>
  <si>
    <t>AKS-0019</t>
  </si>
  <si>
    <t>Ikat Pinggang</t>
  </si>
  <si>
    <t>AKS-0020</t>
  </si>
  <si>
    <t>Kacamata</t>
  </si>
  <si>
    <t>OLR-0021</t>
  </si>
  <si>
    <t>Pakaian Olahraga</t>
  </si>
  <si>
    <t>Legging Olahraga</t>
  </si>
  <si>
    <t>OLR-0022</t>
  </si>
  <si>
    <t>Jersey</t>
  </si>
  <si>
    <t>OLR-0023</t>
  </si>
  <si>
    <t>Celana Pendek</t>
  </si>
  <si>
    <t>OLR-0024</t>
  </si>
  <si>
    <t>Kaos Olahraga</t>
  </si>
  <si>
    <t>OLR-0025</t>
  </si>
  <si>
    <t>Celana Training</t>
  </si>
  <si>
    <t>Tanggal</t>
  </si>
  <si>
    <t>Nama Liburan</t>
  </si>
  <si>
    <t xml:space="preserve">Tipe </t>
  </si>
  <si>
    <t>Tahun Baru 2017 Masehi</t>
  </si>
  <si>
    <t>Liburan Nasional</t>
  </si>
  <si>
    <t>Cuti bersama Tahun Baru 2017 Masehi</t>
  </si>
  <si>
    <t>Cuti Bersama</t>
  </si>
  <si>
    <t>Tahun Baru Imlek 2568 Kongzili</t>
  </si>
  <si>
    <t>Hari Raya Nyepi Tahun Baru Saka 1939</t>
  </si>
  <si>
    <t>May Day / Hari Buruh Internasional</t>
  </si>
  <si>
    <t>Hari Raya Waisak 2561</t>
  </si>
  <si>
    <t>Kenaikan Yesus Kristus</t>
  </si>
  <si>
    <t>Hari Lahir Pancasila</t>
  </si>
  <si>
    <t>Hari Raya Idul Fitri 1438 Hijriah</t>
  </si>
  <si>
    <t>Cuti bersama Idul Fitri 1438 Hijriyah</t>
  </si>
  <si>
    <t>Hari Kemerdekaan RI</t>
  </si>
  <si>
    <t>Hari Raya Idul Adha 1438 Hijriah</t>
  </si>
  <si>
    <t>Tahun Baru Islam 1439 Hijriah</t>
  </si>
  <si>
    <t>Maulid Nabi Muhammad SAW</t>
  </si>
  <si>
    <t>Hari Raya Natal</t>
  </si>
  <si>
    <t>Cuti bersama Natal</t>
  </si>
  <si>
    <t>Wafat Yesus Kristus</t>
  </si>
  <si>
    <t>Isra Mi’raj Nabi Muhammad SAW</t>
  </si>
  <si>
    <t>Kode Kategori</t>
  </si>
  <si>
    <t>Nama Kategori</t>
  </si>
  <si>
    <t>ATS</t>
  </si>
  <si>
    <t>BWH</t>
  </si>
  <si>
    <t>GUN</t>
  </si>
  <si>
    <t>AKS</t>
  </si>
  <si>
    <t>OLR</t>
  </si>
  <si>
    <t>JumlahUnits</t>
  </si>
  <si>
    <t>Pendapatan</t>
  </si>
  <si>
    <t>Grand Total</t>
  </si>
  <si>
    <t>(blank)</t>
  </si>
  <si>
    <t>Rank</t>
  </si>
  <si>
    <t>Scores</t>
  </si>
  <si>
    <t>Analisa Top Produk per Provinsi</t>
  </si>
  <si>
    <t>Analisa Top Produk (segmentasi)</t>
  </si>
  <si>
    <t>A: RPU Tinggi, Jumlah Terjual Tinggi</t>
  </si>
  <si>
    <t>B: RPU Tinggi, Jumlah Terjual Rendah</t>
  </si>
  <si>
    <t>C: RPU Rendah, Jumlah Terjual Rendah</t>
  </si>
  <si>
    <t>D: RPU Rendah, Jumlah Terjual Tinggi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</si>
</sst>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5" formatCode="_(* #,##0_);_(* \(#,##0\);_(* &quot;-&quot;??_);_(@_)"/>
    <numFmt numFmtId="166" formatCode="[$-13809]dddd\,\ dd\ mmmm\ yyyy;@"/>
    <numFmt numFmtId="167" formatCode="[&gt;=1000000000]#,##0.0,,,&quot; M&quot;;[&lt;1000000000]#,##0,,&quot; jt&quot;"/>
  </numFmts>
  <fonts count="5" x14ac:knownFonts="1">
    <font>
      <sz val="11"/>
      <color theme="1"/>
      <name val="Trebuchet MS"/>
      <family val="2"/>
      <scheme val="minor"/>
    </font>
    <font>
      <sz val="11"/>
      <color theme="1"/>
      <name val="Trebuchet MS"/>
      <family val="2"/>
      <scheme val="minor"/>
    </font>
    <font>
      <b/>
      <sz val="11"/>
      <color theme="1"/>
      <name val="Trebuchet MS"/>
      <family val="2"/>
      <scheme val="minor"/>
    </font>
    <font>
      <sz val="10"/>
      <name val="Arial"/>
      <family val="2"/>
    </font>
    <font>
      <b/>
      <sz val="14"/>
      <color theme="1"/>
      <name val="Trebuchet MS"/>
      <family val="2"/>
      <scheme val="minor"/>
    </font>
  </fonts>
  <fills count="2">
    <fill>
      <patternFill patternType="none"/>
    </fill>
    <fill>
      <patternFill patternType="gray125"/>
    </fill>
  </fills>
  <borders count="2">
    <border>
      <left/>
      <right/>
      <top/>
      <bottom/>
      <diagonal/>
    </border>
    <border>
      <left/>
      <right/>
      <top/>
      <bottom style="thick">
        <color auto="1"/>
      </bottom>
      <diagonal/>
    </border>
  </borders>
  <cellStyleXfs count="3">
    <xf numFmtId="0" fontId="0" fillId="0" borderId="0"/>
    <xf numFmtId="0" fontId="3" fillId="0" borderId="0"/>
    <xf numFmtId="164" fontId="1" fillId="0" borderId="0" applyFont="0" applyFill="0" applyBorder="0" applyAlignment="0" applyProtection="0"/>
  </cellStyleXfs>
  <cellXfs count="10">
    <xf numFmtId="0" fontId="0" fillId="0" borderId="0" xfId="0"/>
    <xf numFmtId="0" fontId="2" fillId="0" borderId="1" xfId="0" applyFont="1" applyBorder="1"/>
    <xf numFmtId="0" fontId="0" fillId="0" borderId="0" xfId="0" quotePrefix="1"/>
    <xf numFmtId="165" fontId="0" fillId="0" borderId="0" xfId="0" applyNumberFormat="1"/>
    <xf numFmtId="166" fontId="0" fillId="0" borderId="0" xfId="0" applyNumberFormat="1"/>
    <xf numFmtId="0" fontId="0" fillId="0" borderId="0" xfId="0" pivotButton="1"/>
    <xf numFmtId="3" fontId="0" fillId="0" borderId="0" xfId="0" applyNumberFormat="1"/>
    <xf numFmtId="167" fontId="0" fillId="0" borderId="0" xfId="0" applyNumberFormat="1"/>
    <xf numFmtId="0" fontId="2" fillId="0" borderId="0" xfId="0" applyFont="1"/>
    <xf numFmtId="0" fontId="4" fillId="0" borderId="0" xfId="0" applyFont="1"/>
  </cellXfs>
  <cellStyles count="3">
    <cellStyle name="Currency 2" xfId="2" xr:uid="{B17163B8-7901-48C5-A223-02E4B710C78F}"/>
    <cellStyle name="Normal" xfId="0" builtinId="0"/>
    <cellStyle name="Normal 2 2" xfId="1" xr:uid="{9881230B-7A96-4BE0-A39C-9CC0B83EF88B}"/>
  </cellStyles>
  <dxfs count="12">
    <dxf>
      <border outline="0">
        <bottom style="thick">
          <color auto="1"/>
        </bottom>
      </border>
    </dxf>
    <dxf>
      <font>
        <b/>
        <i val="0"/>
        <strike val="0"/>
        <condense val="0"/>
        <extend val="0"/>
        <outline val="0"/>
        <shadow val="0"/>
        <u val="none"/>
        <vertAlign val="baseline"/>
        <sz val="11"/>
        <color theme="1"/>
        <name val="Trebuchet MS"/>
        <family val="2"/>
        <scheme val="minor"/>
      </font>
    </dxf>
    <dxf>
      <numFmt numFmtId="166" formatCode="[$-13809]dddd\,\ dd\ mmmm\ yyyy;@"/>
    </dxf>
    <dxf>
      <border outline="0">
        <bottom style="thick">
          <color auto="1"/>
        </bottom>
      </border>
    </dxf>
    <dxf>
      <font>
        <b/>
        <i val="0"/>
        <strike val="0"/>
        <condense val="0"/>
        <extend val="0"/>
        <outline val="0"/>
        <shadow val="0"/>
        <u val="none"/>
        <vertAlign val="baseline"/>
        <sz val="11"/>
        <color theme="1"/>
        <name val="Trebuchet MS"/>
        <family val="2"/>
        <scheme val="minor"/>
      </font>
    </dxf>
    <dxf>
      <numFmt numFmtId="165" formatCode="_(* #,##0_);_(* \(#,##0\);_(* &quot;-&quot;??_);_(@_)"/>
    </dxf>
    <dxf>
      <border outline="0">
        <bottom style="thick">
          <color auto="1"/>
        </bottom>
      </border>
    </dxf>
    <dxf>
      <font>
        <b/>
        <i val="0"/>
        <strike val="0"/>
        <condense val="0"/>
        <extend val="0"/>
        <outline val="0"/>
        <shadow val="0"/>
        <u val="none"/>
        <vertAlign val="baseline"/>
        <sz val="11"/>
        <color theme="1"/>
        <name val="Trebuchet MS"/>
        <family val="2"/>
        <scheme val="minor"/>
      </font>
    </dxf>
    <dxf>
      <border outline="0">
        <bottom style="thick">
          <color auto="1"/>
        </bottom>
      </border>
    </dxf>
    <dxf>
      <font>
        <b/>
        <i val="0"/>
        <strike val="0"/>
        <condense val="0"/>
        <extend val="0"/>
        <outline val="0"/>
        <shadow val="0"/>
        <u val="none"/>
        <vertAlign val="baseline"/>
        <sz val="11"/>
        <color theme="1"/>
        <name val="Trebuchet MS"/>
        <family val="2"/>
        <scheme val="minor"/>
      </font>
    </dxf>
    <dxf>
      <font>
        <b/>
        <color theme="1"/>
      </font>
      <border>
        <bottom style="thin">
          <color theme="4"/>
        </bottom>
        <vertical/>
        <horizontal/>
      </border>
    </dxf>
    <dxf>
      <font>
        <b val="0"/>
        <i val="0"/>
        <color theme="1"/>
      </font>
      <border diagonalUp="0" diagonalDown="0">
        <left/>
        <right/>
        <top/>
        <bottom/>
        <vertical/>
        <horizontal/>
      </border>
    </dxf>
  </dxfs>
  <tableStyles count="1" defaultTableStyle="TableStyleMedium2" defaultPivotStyle="PivotStyleLight16">
    <tableStyle name="DQFashion" pivot="0" table="0" count="10" xr9:uid="{278A40FF-606A-4AB7-A6F4-6443A1DD226F}">
      <tableStyleElement type="wholeTable" dxfId="11"/>
      <tableStyleElement type="headerRow" dxfId="10"/>
    </tableStyle>
  </tableStyles>
  <colors>
    <mruColors>
      <color rgb="FF657D9D"/>
      <color rgb="FF1D6F4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3"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3" tint="0.8999603259376811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QFashi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schemas.openxmlformats.org/officeDocument/2006/relationships/styles" Target="styles.xml"/><Relationship Id="rId42" Type="http://schemas.openxmlformats.org/officeDocument/2006/relationships/customXml" Target="../customXml/item17.xml"/><Relationship Id="rId47" Type="http://schemas.openxmlformats.org/officeDocument/2006/relationships/customXml" Target="../customXml/item22.xml"/><Relationship Id="rId63" Type="http://schemas.openxmlformats.org/officeDocument/2006/relationships/customXml" Target="../customXml/item38.xml"/><Relationship Id="rId68"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46.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4.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66"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36.xml"/><Relationship Id="rId19" Type="http://schemas.openxmlformats.org/officeDocument/2006/relationships/theme" Target="theme/theme1.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69" Type="http://schemas.openxmlformats.org/officeDocument/2006/relationships/customXml" Target="../customXml/item44.xml"/><Relationship Id="rId8" Type="http://schemas.openxmlformats.org/officeDocument/2006/relationships/worksheet" Target="worksheets/sheet8.xml"/><Relationship Id="rId51" Type="http://schemas.openxmlformats.org/officeDocument/2006/relationships/customXml" Target="../customXml/item26.xml"/><Relationship Id="rId72"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67" Type="http://schemas.openxmlformats.org/officeDocument/2006/relationships/customXml" Target="../customXml/item42.xml"/><Relationship Id="rId20" Type="http://schemas.openxmlformats.org/officeDocument/2006/relationships/connections" Target="connections.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70"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worksheet" Target="worksheets/sheet10.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65"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9" Type="http://schemas.openxmlformats.org/officeDocument/2006/relationships/customXml" Target="../customXml/item14.xml"/><Relationship Id="rId34" Type="http://schemas.openxmlformats.org/officeDocument/2006/relationships/customXml" Target="../customXml/item9.xml"/><Relationship Id="rId50" Type="http://schemas.openxmlformats.org/officeDocument/2006/relationships/customXml" Target="../customXml/item25.xml"/><Relationship Id="rId55"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[Sesi 14 - Data Storytelling.xlsx]Dapur1!Provinsi</c:name>
    <c:fmtId val="6"/>
  </c:pivotSource>
  <c:chart>
    <c:autoTitleDeleted val="1"/>
    <c:pivotFmts>
      <c:pivotFmt>
        <c:idx val="0"/>
        <c:spPr>
          <a:solidFill>
            <a:schemeClr val="accent1"/>
          </a:solidFill>
          <a:ln w="38100" cap="rnd">
            <a:solidFill>
              <a:schemeClr val="tx1">
                <a:lumMod val="75000"/>
                <a:lumOff val="25000"/>
              </a:schemeClr>
            </a:solidFill>
            <a:round/>
          </a:ln>
          <a:effectLst/>
        </c:spPr>
        <c:marker>
          <c:symbol val="circle"/>
          <c:size val="8"/>
          <c:spPr>
            <a:solidFill>
              <a:schemeClr val="bg1"/>
            </a:solidFill>
            <a:ln w="25400">
              <a:solidFill>
                <a:schemeClr val="tx1">
                  <a:lumMod val="75000"/>
                  <a:lumOff val="25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tx1">
                <a:lumMod val="75000"/>
                <a:lumOff val="25000"/>
              </a:schemeClr>
            </a:solidFill>
            <a:round/>
          </a:ln>
          <a:effectLst/>
        </c:spPr>
        <c:marker>
          <c:symbol val="circle"/>
          <c:size val="8"/>
          <c:spPr>
            <a:solidFill>
              <a:schemeClr val="bg1"/>
            </a:solidFill>
            <a:ln w="25400">
              <a:solidFill>
                <a:schemeClr val="tx1">
                  <a:lumMod val="75000"/>
                  <a:lumOff val="25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a:solidFill>
              <a:schemeClr val="tx1">
                <a:lumMod val="75000"/>
                <a:lumOff val="25000"/>
              </a:schemeClr>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38100">
            <a:solidFill>
              <a:schemeClr val="tx1">
                <a:lumMod val="75000"/>
                <a:lumOff val="25000"/>
              </a:schemeClr>
            </a:solidFill>
          </a:ln>
          <a:effectLst/>
        </c:spPr>
        <c:dLbl>
          <c:idx val="0"/>
          <c:layout>
            <c:manualLayout>
              <c:x val="0.11367753026365877"/>
              <c:y val="0.1182709878404041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38100">
            <a:solidFill>
              <a:schemeClr val="tx1">
                <a:lumMod val="75000"/>
                <a:lumOff val="25000"/>
              </a:schemeClr>
            </a:solidFill>
          </a:ln>
          <a:effectLst/>
        </c:spPr>
        <c:dLbl>
          <c:idx val="0"/>
          <c:layout>
            <c:manualLayout>
              <c:x val="0.19893567796140285"/>
              <c:y val="-7.8847325226936119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38100">
            <a:solidFill>
              <a:schemeClr val="tx1">
                <a:lumMod val="75000"/>
                <a:lumOff val="25000"/>
              </a:schemeClr>
            </a:solidFill>
          </a:ln>
          <a:effectLst/>
        </c:spPr>
        <c:dLbl>
          <c:idx val="0"/>
          <c:layout>
            <c:manualLayout>
              <c:x val="-0.1926202596134218"/>
              <c:y val="-9.1988546098092164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38100">
            <a:solidFill>
              <a:schemeClr val="tx1">
                <a:lumMod val="75000"/>
                <a:lumOff val="25000"/>
              </a:schemeClr>
            </a:solidFill>
          </a:ln>
          <a:effectLst/>
        </c:spPr>
        <c:dLbl>
          <c:idx val="0"/>
          <c:layout>
            <c:manualLayout>
              <c:x val="-0.1768317137434692"/>
              <c:y val="7.8847325226936202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8624535233759999E-2"/>
          <c:y val="0.17010994192151904"/>
          <c:w val="0.92275092953247995"/>
          <c:h val="0.67203981912089328"/>
        </c:manualLayout>
      </c:layout>
      <c:doughnutChart>
        <c:varyColors val="1"/>
        <c:ser>
          <c:idx val="0"/>
          <c:order val="0"/>
          <c:tx>
            <c:strRef>
              <c:f>Dapur1!$B$17</c:f>
              <c:strCache>
                <c:ptCount val="1"/>
                <c:pt idx="0">
                  <c:v>Total</c:v>
                </c:pt>
              </c:strCache>
            </c:strRef>
          </c:tx>
          <c:spPr>
            <a:ln w="38100">
              <a:solidFill>
                <a:schemeClr val="tx1">
                  <a:lumMod val="75000"/>
                  <a:lumOff val="25000"/>
                </a:schemeClr>
              </a:solidFill>
            </a:ln>
          </c:spPr>
          <c:dPt>
            <c:idx val="0"/>
            <c:bubble3D val="0"/>
            <c:spPr>
              <a:solidFill>
                <a:schemeClr val="accent1"/>
              </a:solidFill>
              <a:ln w="38100">
                <a:solidFill>
                  <a:schemeClr val="tx1">
                    <a:lumMod val="75000"/>
                    <a:lumOff val="25000"/>
                  </a:schemeClr>
                </a:solidFill>
              </a:ln>
              <a:effectLst/>
            </c:spPr>
            <c:extLst>
              <c:ext xmlns:c16="http://schemas.microsoft.com/office/drawing/2014/chart" uri="{C3380CC4-5D6E-409C-BE32-E72D297353CC}">
                <c16:uniqueId val="{00000002-670B-4207-9733-A77D5F6645CA}"/>
              </c:ext>
            </c:extLst>
          </c:dPt>
          <c:dPt>
            <c:idx val="1"/>
            <c:bubble3D val="0"/>
            <c:spPr>
              <a:solidFill>
                <a:schemeClr val="accent2"/>
              </a:solidFill>
              <a:ln w="38100">
                <a:solidFill>
                  <a:schemeClr val="tx1">
                    <a:lumMod val="75000"/>
                    <a:lumOff val="25000"/>
                  </a:schemeClr>
                </a:solidFill>
              </a:ln>
              <a:effectLst/>
            </c:spPr>
            <c:extLst>
              <c:ext xmlns:c16="http://schemas.microsoft.com/office/drawing/2014/chart" uri="{C3380CC4-5D6E-409C-BE32-E72D297353CC}">
                <c16:uniqueId val="{00000001-670B-4207-9733-A77D5F6645CA}"/>
              </c:ext>
            </c:extLst>
          </c:dPt>
          <c:dPt>
            <c:idx val="2"/>
            <c:bubble3D val="0"/>
            <c:spPr>
              <a:solidFill>
                <a:schemeClr val="accent3"/>
              </a:solidFill>
              <a:ln w="38100">
                <a:solidFill>
                  <a:schemeClr val="tx1">
                    <a:lumMod val="75000"/>
                    <a:lumOff val="25000"/>
                  </a:schemeClr>
                </a:solidFill>
              </a:ln>
              <a:effectLst/>
            </c:spPr>
            <c:extLst>
              <c:ext xmlns:c16="http://schemas.microsoft.com/office/drawing/2014/chart" uri="{C3380CC4-5D6E-409C-BE32-E72D297353CC}">
                <c16:uniqueId val="{00000004-670B-4207-9733-A77D5F6645CA}"/>
              </c:ext>
            </c:extLst>
          </c:dPt>
          <c:dPt>
            <c:idx val="3"/>
            <c:bubble3D val="0"/>
            <c:spPr>
              <a:solidFill>
                <a:schemeClr val="accent4"/>
              </a:solidFill>
              <a:ln w="38100">
                <a:solidFill>
                  <a:schemeClr val="tx1">
                    <a:lumMod val="75000"/>
                    <a:lumOff val="25000"/>
                  </a:schemeClr>
                </a:solidFill>
              </a:ln>
              <a:effectLst/>
            </c:spPr>
            <c:extLst>
              <c:ext xmlns:c16="http://schemas.microsoft.com/office/drawing/2014/chart" uri="{C3380CC4-5D6E-409C-BE32-E72D297353CC}">
                <c16:uniqueId val="{00000003-670B-4207-9733-A77D5F6645CA}"/>
              </c:ext>
            </c:extLst>
          </c:dPt>
          <c:dLbls>
            <c:dLbl>
              <c:idx val="0"/>
              <c:layout>
                <c:manualLayout>
                  <c:x val="0.19893567796140285"/>
                  <c:y val="-7.88473252269361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70B-4207-9733-A77D5F6645CA}"/>
                </c:ext>
              </c:extLst>
            </c:dLbl>
            <c:dLbl>
              <c:idx val="1"/>
              <c:layout>
                <c:manualLayout>
                  <c:x val="0.11367753026365877"/>
                  <c:y val="0.1182709878404041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0B-4207-9733-A77D5F6645CA}"/>
                </c:ext>
              </c:extLst>
            </c:dLbl>
            <c:dLbl>
              <c:idx val="2"/>
              <c:layout>
                <c:manualLayout>
                  <c:x val="-0.1768317137434692"/>
                  <c:y val="7.88473252269362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70B-4207-9733-A77D5F6645CA}"/>
                </c:ext>
              </c:extLst>
            </c:dLbl>
            <c:dLbl>
              <c:idx val="3"/>
              <c:layout>
                <c:manualLayout>
                  <c:x val="-0.1926202596134218"/>
                  <c:y val="-9.19885460980921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0B-4207-9733-A77D5F6645C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Dapur1!$A$18:$A$21</c:f>
              <c:strCache>
                <c:ptCount val="4"/>
                <c:pt idx="0">
                  <c:v>DKI Jakarta</c:v>
                </c:pt>
                <c:pt idx="1">
                  <c:v>Jawa Timur</c:v>
                </c:pt>
                <c:pt idx="2">
                  <c:v>Sulawesi Selatan</c:v>
                </c:pt>
                <c:pt idx="3">
                  <c:v>Sumatera Utara</c:v>
                </c:pt>
              </c:strCache>
            </c:strRef>
          </c:cat>
          <c:val>
            <c:numRef>
              <c:f>Dapur1!$B$18:$B$21</c:f>
              <c:numCache>
                <c:formatCode>[&gt;=1000000000]#,##0.0,,," M";[&lt;1000000000]#,##0,," jt"</c:formatCode>
                <c:ptCount val="4"/>
                <c:pt idx="0">
                  <c:v>2813517000</c:v>
                </c:pt>
                <c:pt idx="1">
                  <c:v>2781498000</c:v>
                </c:pt>
                <c:pt idx="2">
                  <c:v>2875893000</c:v>
                </c:pt>
                <c:pt idx="3">
                  <c:v>2944440000</c:v>
                </c:pt>
              </c:numCache>
            </c:numRef>
          </c:val>
          <c:extLst>
            <c:ext xmlns:c16="http://schemas.microsoft.com/office/drawing/2014/chart" uri="{C3380CC4-5D6E-409C-BE32-E72D297353CC}">
              <c16:uniqueId val="{00000000-670B-4207-9733-A77D5F6645C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[Sesi 14 - Data Storytelling.xlsx]Dapur1!Provinsi</c:name>
    <c:fmtId val="8"/>
  </c:pivotSource>
  <c:chart>
    <c:autoTitleDeleted val="1"/>
    <c:pivotFmts>
      <c:pivotFmt>
        <c:idx val="0"/>
        <c:spPr>
          <a:solidFill>
            <a:srgbClr val="657D9D"/>
          </a:solidFill>
          <a:ln>
            <a:noFill/>
          </a:ln>
          <a:effectLst>
            <a:outerShdw blurRad="50800" dist="38100" algn="l" rotWithShape="0">
              <a:prstClr val="black">
                <a:alpha val="40000"/>
              </a:prstClr>
            </a:outerShdw>
          </a:effectLst>
        </c:spPr>
        <c:marker>
          <c:symbol val="circle"/>
          <c:size val="10"/>
          <c:spPr>
            <a:solidFill>
              <a:schemeClr val="bg1"/>
            </a:solidFill>
            <a:ln w="9525">
              <a:solidFill>
                <a:schemeClr val="accent1">
                  <a:lumMod val="50000"/>
                </a:schemeClr>
              </a:solidFill>
            </a:ln>
            <a:effectLst>
              <a:outerShdw blurRad="50800" dist="38100" dir="8100000" algn="tr"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Dapur1!$B$17</c:f>
              <c:strCache>
                <c:ptCount val="1"/>
                <c:pt idx="0">
                  <c:v>Total</c:v>
                </c:pt>
              </c:strCache>
            </c:strRef>
          </c:tx>
          <c:spPr>
            <a:solidFill>
              <a:srgbClr val="657D9D"/>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Dapur1!$A$18:$A$21</c:f>
              <c:strCache>
                <c:ptCount val="4"/>
                <c:pt idx="0">
                  <c:v>DKI Jakarta</c:v>
                </c:pt>
                <c:pt idx="1">
                  <c:v>Jawa Timur</c:v>
                </c:pt>
                <c:pt idx="2">
                  <c:v>Sulawesi Selatan</c:v>
                </c:pt>
                <c:pt idx="3">
                  <c:v>Sumatera Utara</c:v>
                </c:pt>
              </c:strCache>
            </c:strRef>
          </c:cat>
          <c:val>
            <c:numRef>
              <c:f>Dapur1!$B$18:$B$21</c:f>
              <c:numCache>
                <c:formatCode>[&gt;=1000000000]#,##0.0,,," M";[&lt;1000000000]#,##0,," jt"</c:formatCode>
                <c:ptCount val="4"/>
                <c:pt idx="0">
                  <c:v>2813517000</c:v>
                </c:pt>
                <c:pt idx="1">
                  <c:v>2781498000</c:v>
                </c:pt>
                <c:pt idx="2">
                  <c:v>2875893000</c:v>
                </c:pt>
                <c:pt idx="3">
                  <c:v>2944440000</c:v>
                </c:pt>
              </c:numCache>
            </c:numRef>
          </c:val>
          <c:extLst>
            <c:ext xmlns:c16="http://schemas.microsoft.com/office/drawing/2014/chart" uri="{C3380CC4-5D6E-409C-BE32-E72D297353CC}">
              <c16:uniqueId val="{00000000-B234-47C0-ABF1-6EA487E14C5F}"/>
            </c:ext>
          </c:extLst>
        </c:ser>
        <c:dLbls>
          <c:showLegendKey val="0"/>
          <c:showVal val="1"/>
          <c:showCatName val="0"/>
          <c:showSerName val="0"/>
          <c:showPercent val="0"/>
          <c:showBubbleSize val="0"/>
        </c:dLbls>
        <c:gapWidth val="219"/>
        <c:axId val="1677747040"/>
        <c:axId val="1677737472"/>
      </c:barChart>
      <c:catAx>
        <c:axId val="16777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37472"/>
        <c:crosses val="autoZero"/>
        <c:auto val="1"/>
        <c:lblAlgn val="ctr"/>
        <c:lblOffset val="100"/>
        <c:noMultiLvlLbl val="0"/>
      </c:catAx>
      <c:valAx>
        <c:axId val="1677737472"/>
        <c:scaling>
          <c:orientation val="minMax"/>
        </c:scaling>
        <c:delete val="1"/>
        <c:axPos val="l"/>
        <c:numFmt formatCode="[&gt;=1000000000]#,##0.0,,,&quot; M&quot;;[&lt;1000000000]#,##0,,&quot; jt&quot;" sourceLinked="1"/>
        <c:majorTickMark val="none"/>
        <c:minorTickMark val="none"/>
        <c:tickLblPos val="nextTo"/>
        <c:crossAx val="167774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657D9D"/>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Dapur1!$D$25:$D$29</c:f>
              <c:strCache>
                <c:ptCount val="5"/>
                <c:pt idx="0">
                  <c:v>Hari Raya Idul Fitri 1438 Hijriah</c:v>
                </c:pt>
                <c:pt idx="1">
                  <c:v>Cuti bersama Idul Fitri 1438 Hijriyah</c:v>
                </c:pt>
                <c:pt idx="2">
                  <c:v>Hari Raya Nyepi Tahun Baru Saka 1939</c:v>
                </c:pt>
                <c:pt idx="3">
                  <c:v>Cuti bersama Natal</c:v>
                </c:pt>
                <c:pt idx="4">
                  <c:v>Cuti bersama Tahun Baru 2017 Masehi</c:v>
                </c:pt>
              </c:strCache>
            </c:strRef>
          </c:cat>
          <c:val>
            <c:numRef>
              <c:f>Dapur1!$E$25:$E$29</c:f>
              <c:numCache>
                <c:formatCode>[&gt;=1000000000]#,##0.0,,," M";[&lt;1000000000]#,##0,," jt"</c:formatCode>
                <c:ptCount val="5"/>
                <c:pt idx="0">
                  <c:v>131664000</c:v>
                </c:pt>
                <c:pt idx="1">
                  <c:v>113118000</c:v>
                </c:pt>
                <c:pt idx="2">
                  <c:v>38334000</c:v>
                </c:pt>
                <c:pt idx="3">
                  <c:v>38088000</c:v>
                </c:pt>
                <c:pt idx="4">
                  <c:v>36963000</c:v>
                </c:pt>
              </c:numCache>
            </c:numRef>
          </c:val>
          <c:extLst>
            <c:ext xmlns:c16="http://schemas.microsoft.com/office/drawing/2014/chart" uri="{C3380CC4-5D6E-409C-BE32-E72D297353CC}">
              <c16:uniqueId val="{00000000-F2B9-4DA2-9D7B-0D45A38C1428}"/>
            </c:ext>
          </c:extLst>
        </c:ser>
        <c:dLbls>
          <c:dLblPos val="inEnd"/>
          <c:showLegendKey val="0"/>
          <c:showVal val="1"/>
          <c:showCatName val="0"/>
          <c:showSerName val="0"/>
          <c:showPercent val="0"/>
          <c:showBubbleSize val="0"/>
        </c:dLbls>
        <c:gapWidth val="90"/>
        <c:axId val="1680699456"/>
        <c:axId val="1680701952"/>
      </c:barChart>
      <c:catAx>
        <c:axId val="168069945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80701952"/>
        <c:crosses val="autoZero"/>
        <c:auto val="1"/>
        <c:lblAlgn val="ctr"/>
        <c:lblOffset val="100"/>
        <c:noMultiLvlLbl val="0"/>
      </c:catAx>
      <c:valAx>
        <c:axId val="1680701952"/>
        <c:scaling>
          <c:orientation val="minMax"/>
        </c:scaling>
        <c:delete val="1"/>
        <c:axPos val="t"/>
        <c:numFmt formatCode="[&gt;=1000000000]#,##0.0,,,&quot; M&quot;;[&lt;1000000000]#,##0,,&quot; jt&quot;" sourceLinked="1"/>
        <c:majorTickMark val="out"/>
        <c:minorTickMark val="none"/>
        <c:tickLblPos val="nextTo"/>
        <c:crossAx val="168069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bg1">
          <a:lumMod val="75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95151</xdr:colOff>
      <xdr:row>41</xdr:row>
      <xdr:rowOff>2914</xdr:rowOff>
    </xdr:from>
    <xdr:to>
      <xdr:col>23</xdr:col>
      <xdr:colOff>109276</xdr:colOff>
      <xdr:row>53</xdr:row>
      <xdr:rowOff>127434</xdr:rowOff>
    </xdr:to>
    <xdr:pic>
      <xdr:nvPicPr>
        <xdr:cNvPr id="2" name="Picture 1">
          <a:extLst>
            <a:ext uri="{FF2B5EF4-FFF2-40B4-BE49-F238E27FC236}">
              <a16:creationId xmlns:a16="http://schemas.microsoft.com/office/drawing/2014/main" id="{AC8787B6-228D-4B4A-A8CF-9CB791A8381C}"/>
            </a:ext>
          </a:extLst>
        </xdr:cNvPr>
        <xdr:cNvPicPr>
          <a:picLocks noChangeAspect="1"/>
        </xdr:cNvPicPr>
      </xdr:nvPicPr>
      <xdr:blipFill>
        <a:blip xmlns:r="http://schemas.openxmlformats.org/officeDocument/2006/relationships" r:embed="rId1"/>
        <a:stretch>
          <a:fillRect/>
        </a:stretch>
      </xdr:blipFill>
      <xdr:spPr>
        <a:xfrm>
          <a:off x="9230186" y="7712561"/>
          <a:ext cx="7329324" cy="2276049"/>
        </a:xfrm>
        <a:prstGeom prst="rect">
          <a:avLst/>
        </a:prstGeom>
      </xdr:spPr>
    </xdr:pic>
    <xdr:clientData/>
  </xdr:twoCellAnchor>
  <xdr:twoCellAnchor>
    <xdr:from>
      <xdr:col>8</xdr:col>
      <xdr:colOff>586740</xdr:colOff>
      <xdr:row>0</xdr:row>
      <xdr:rowOff>178228</xdr:rowOff>
    </xdr:from>
    <xdr:to>
      <xdr:col>23</xdr:col>
      <xdr:colOff>91440</xdr:colOff>
      <xdr:row>4</xdr:row>
      <xdr:rowOff>1792</xdr:rowOff>
    </xdr:to>
    <xdr:sp macro="" textlink="">
      <xdr:nvSpPr>
        <xdr:cNvPr id="11" name="TextBox 10">
          <a:extLst>
            <a:ext uri="{FF2B5EF4-FFF2-40B4-BE49-F238E27FC236}">
              <a16:creationId xmlns:a16="http://schemas.microsoft.com/office/drawing/2014/main" id="{BC65911D-F242-14F6-8F1E-20251CEE6305}"/>
            </a:ext>
          </a:extLst>
        </xdr:cNvPr>
        <xdr:cNvSpPr txBox="1"/>
      </xdr:nvSpPr>
      <xdr:spPr>
        <a:xfrm>
          <a:off x="7848152" y="178228"/>
          <a:ext cx="8581464" cy="540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200" b="1"/>
            <a:t>Analisa Penjualan</a:t>
          </a:r>
          <a:r>
            <a:rPr lang="en-ID" sz="3200" b="1" baseline="0"/>
            <a:t> Produk (2017)</a:t>
          </a:r>
          <a:endParaRPr lang="en-ID" sz="3200" b="1"/>
        </a:p>
      </xdr:txBody>
    </xdr:sp>
    <xdr:clientData/>
  </xdr:twoCellAnchor>
  <xdr:twoCellAnchor>
    <xdr:from>
      <xdr:col>9</xdr:col>
      <xdr:colOff>211455</xdr:colOff>
      <xdr:row>4</xdr:row>
      <xdr:rowOff>48857</xdr:rowOff>
    </xdr:from>
    <xdr:to>
      <xdr:col>23</xdr:col>
      <xdr:colOff>76200</xdr:colOff>
      <xdr:row>4</xdr:row>
      <xdr:rowOff>48857</xdr:rowOff>
    </xdr:to>
    <xdr:cxnSp macro="">
      <xdr:nvCxnSpPr>
        <xdr:cNvPr id="13" name="Straight Connector 12">
          <a:extLst>
            <a:ext uri="{FF2B5EF4-FFF2-40B4-BE49-F238E27FC236}">
              <a16:creationId xmlns:a16="http://schemas.microsoft.com/office/drawing/2014/main" id="{5A9A84C4-0488-CBAE-5E5E-BFA17FB214DC}"/>
            </a:ext>
          </a:extLst>
        </xdr:cNvPr>
        <xdr:cNvCxnSpPr/>
      </xdr:nvCxnSpPr>
      <xdr:spPr>
        <a:xfrm>
          <a:off x="8077984" y="766033"/>
          <a:ext cx="8336392" cy="0"/>
        </a:xfrm>
        <a:prstGeom prst="line">
          <a:avLst/>
        </a:prstGeom>
        <a:ln w="28575">
          <a:solidFill>
            <a:schemeClr val="tx1">
              <a:lumMod val="75000"/>
              <a:lumOff val="25000"/>
            </a:schemeClr>
          </a:solidFill>
        </a:ln>
        <a:effectLst>
          <a:outerShdw blurRad="63500" sx="102000" sy="102000" algn="ctr"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211455</xdr:colOff>
      <xdr:row>15</xdr:row>
      <xdr:rowOff>39783</xdr:rowOff>
    </xdr:from>
    <xdr:to>
      <xdr:col>23</xdr:col>
      <xdr:colOff>76200</xdr:colOff>
      <xdr:row>15</xdr:row>
      <xdr:rowOff>39783</xdr:rowOff>
    </xdr:to>
    <xdr:cxnSp macro="">
      <xdr:nvCxnSpPr>
        <xdr:cNvPr id="15" name="Straight Connector 14">
          <a:extLst>
            <a:ext uri="{FF2B5EF4-FFF2-40B4-BE49-F238E27FC236}">
              <a16:creationId xmlns:a16="http://schemas.microsoft.com/office/drawing/2014/main" id="{3F61F3C9-7BFC-4C7B-A911-2FCE6868123E}"/>
            </a:ext>
          </a:extLst>
        </xdr:cNvPr>
        <xdr:cNvCxnSpPr/>
      </xdr:nvCxnSpPr>
      <xdr:spPr>
        <a:xfrm>
          <a:off x="8077984" y="2729195"/>
          <a:ext cx="8336392" cy="0"/>
        </a:xfrm>
        <a:prstGeom prst="line">
          <a:avLst/>
        </a:prstGeom>
        <a:ln w="28575">
          <a:solidFill>
            <a:schemeClr val="tx1">
              <a:lumMod val="75000"/>
              <a:lumOff val="25000"/>
            </a:schemeClr>
          </a:solidFill>
        </a:ln>
        <a:effectLst>
          <a:outerShdw blurRad="63500" sx="102000" sy="102000" algn="ctr"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590328</xdr:colOff>
      <xdr:row>4</xdr:row>
      <xdr:rowOff>130662</xdr:rowOff>
    </xdr:from>
    <xdr:to>
      <xdr:col>18</xdr:col>
      <xdr:colOff>592008</xdr:colOff>
      <xdr:row>8</xdr:row>
      <xdr:rowOff>37317</xdr:rowOff>
    </xdr:to>
    <xdr:sp macro="" textlink="">
      <xdr:nvSpPr>
        <xdr:cNvPr id="18" name="TextBox 17">
          <a:extLst>
            <a:ext uri="{FF2B5EF4-FFF2-40B4-BE49-F238E27FC236}">
              <a16:creationId xmlns:a16="http://schemas.microsoft.com/office/drawing/2014/main" id="{697AB4C4-80C4-D846-ADDD-1349FF325C54}"/>
            </a:ext>
          </a:extLst>
        </xdr:cNvPr>
        <xdr:cNvSpPr txBox="1"/>
      </xdr:nvSpPr>
      <xdr:spPr>
        <a:xfrm>
          <a:off x="12163763" y="847838"/>
          <a:ext cx="1830480" cy="623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b="1"/>
            <a:t>Top Cabang </a:t>
          </a:r>
        </a:p>
        <a:p>
          <a:pPr algn="l"/>
          <a:r>
            <a:rPr lang="en-ID" sz="1600" b="1"/>
            <a:t>Idul Fitri</a:t>
          </a:r>
        </a:p>
      </xdr:txBody>
    </xdr:sp>
    <xdr:clientData/>
  </xdr:twoCellAnchor>
  <xdr:twoCellAnchor>
    <xdr:from>
      <xdr:col>19</xdr:col>
      <xdr:colOff>403638</xdr:colOff>
      <xdr:row>4</xdr:row>
      <xdr:rowOff>134472</xdr:rowOff>
    </xdr:from>
    <xdr:to>
      <xdr:col>22</xdr:col>
      <xdr:colOff>405318</xdr:colOff>
      <xdr:row>8</xdr:row>
      <xdr:rowOff>37317</xdr:rowOff>
    </xdr:to>
    <xdr:sp macro="" textlink="">
      <xdr:nvSpPr>
        <xdr:cNvPr id="19" name="TextBox 18">
          <a:extLst>
            <a:ext uri="{FF2B5EF4-FFF2-40B4-BE49-F238E27FC236}">
              <a16:creationId xmlns:a16="http://schemas.microsoft.com/office/drawing/2014/main" id="{1EBA87B1-CEB6-7FFB-AB00-2FFDFBC81327}"/>
            </a:ext>
          </a:extLst>
        </xdr:cNvPr>
        <xdr:cNvSpPr txBox="1"/>
      </xdr:nvSpPr>
      <xdr:spPr>
        <a:xfrm>
          <a:off x="14321344" y="851648"/>
          <a:ext cx="1817033" cy="620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b="1"/>
            <a:t>Bestselling</a:t>
          </a:r>
          <a:r>
            <a:rPr lang="en-ID" sz="1600" b="1" baseline="0"/>
            <a:t> Produk DQFashion</a:t>
          </a:r>
          <a:endParaRPr lang="en-ID" sz="1600" b="1"/>
        </a:p>
      </xdr:txBody>
    </xdr:sp>
    <xdr:clientData/>
  </xdr:twoCellAnchor>
  <xdr:twoCellAnchor>
    <xdr:from>
      <xdr:col>9</xdr:col>
      <xdr:colOff>67237</xdr:colOff>
      <xdr:row>15</xdr:row>
      <xdr:rowOff>9301</xdr:rowOff>
    </xdr:from>
    <xdr:to>
      <xdr:col>15</xdr:col>
      <xdr:colOff>358589</xdr:colOff>
      <xdr:row>18</xdr:row>
      <xdr:rowOff>91441</xdr:rowOff>
    </xdr:to>
    <xdr:sp macro="" textlink="">
      <xdr:nvSpPr>
        <xdr:cNvPr id="20" name="TextBox 19">
          <a:extLst>
            <a:ext uri="{FF2B5EF4-FFF2-40B4-BE49-F238E27FC236}">
              <a16:creationId xmlns:a16="http://schemas.microsoft.com/office/drawing/2014/main" id="{CBA35946-831E-95C9-98D4-D4116010F590}"/>
            </a:ext>
          </a:extLst>
        </xdr:cNvPr>
        <xdr:cNvSpPr txBox="1"/>
      </xdr:nvSpPr>
      <xdr:spPr>
        <a:xfrm>
          <a:off x="7933766" y="2698713"/>
          <a:ext cx="3922058" cy="620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b="1"/>
            <a:t>Fluktuasi</a:t>
          </a:r>
          <a:r>
            <a:rPr lang="en-ID" sz="1600" b="1" baseline="0"/>
            <a:t> Pendapatan per Cabang</a:t>
          </a:r>
          <a:endParaRPr lang="en-ID" sz="1600" b="1"/>
        </a:p>
      </xdr:txBody>
    </xdr:sp>
    <xdr:clientData/>
  </xdr:twoCellAnchor>
  <xdr:twoCellAnchor>
    <xdr:from>
      <xdr:col>16</xdr:col>
      <xdr:colOff>132567</xdr:colOff>
      <xdr:row>15</xdr:row>
      <xdr:rowOff>16921</xdr:rowOff>
    </xdr:from>
    <xdr:to>
      <xdr:col>22</xdr:col>
      <xdr:colOff>425824</xdr:colOff>
      <xdr:row>18</xdr:row>
      <xdr:rowOff>95251</xdr:rowOff>
    </xdr:to>
    <xdr:sp macro="" textlink="">
      <xdr:nvSpPr>
        <xdr:cNvPr id="21" name="TextBox 20">
          <a:extLst>
            <a:ext uri="{FF2B5EF4-FFF2-40B4-BE49-F238E27FC236}">
              <a16:creationId xmlns:a16="http://schemas.microsoft.com/office/drawing/2014/main" id="{A5B81EBE-33F7-654B-AF94-29A232E7641A}"/>
            </a:ext>
          </a:extLst>
        </xdr:cNvPr>
        <xdr:cNvSpPr txBox="1"/>
      </xdr:nvSpPr>
      <xdr:spPr>
        <a:xfrm>
          <a:off x="12234920" y="2706333"/>
          <a:ext cx="3923963" cy="61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b="1"/>
            <a:t>Top 5 Liburan by Pendapatan</a:t>
          </a:r>
        </a:p>
      </xdr:txBody>
    </xdr:sp>
    <xdr:clientData/>
  </xdr:twoCellAnchor>
  <xdr:twoCellAnchor>
    <xdr:from>
      <xdr:col>3</xdr:col>
      <xdr:colOff>2101551</xdr:colOff>
      <xdr:row>42</xdr:row>
      <xdr:rowOff>61408</xdr:rowOff>
    </xdr:from>
    <xdr:to>
      <xdr:col>10</xdr:col>
      <xdr:colOff>336</xdr:colOff>
      <xdr:row>58</xdr:row>
      <xdr:rowOff>65082</xdr:rowOff>
    </xdr:to>
    <xdr:graphicFrame macro="">
      <xdr:nvGraphicFramePr>
        <xdr:cNvPr id="23" name="Chart 22">
          <a:extLst>
            <a:ext uri="{FF2B5EF4-FFF2-40B4-BE49-F238E27FC236}">
              <a16:creationId xmlns:a16="http://schemas.microsoft.com/office/drawing/2014/main" id="{61760127-5B0C-4140-BAC6-0EC11A0EE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212912</xdr:colOff>
      <xdr:row>8</xdr:row>
      <xdr:rowOff>122464</xdr:rowOff>
    </xdr:from>
    <xdr:to>
      <xdr:col>15</xdr:col>
      <xdr:colOff>244929</xdr:colOff>
      <xdr:row>10</xdr:row>
      <xdr:rowOff>135950</xdr:rowOff>
    </xdr:to>
    <xdr:sp macro="" textlink="$A$4">
      <xdr:nvSpPr>
        <xdr:cNvPr id="14" name="TextBox 13">
          <a:extLst>
            <a:ext uri="{FF2B5EF4-FFF2-40B4-BE49-F238E27FC236}">
              <a16:creationId xmlns:a16="http://schemas.microsoft.com/office/drawing/2014/main" id="{7F68A063-E391-4E6F-BBCD-736C806DED71}"/>
            </a:ext>
          </a:extLst>
        </xdr:cNvPr>
        <xdr:cNvSpPr txBox="1"/>
      </xdr:nvSpPr>
      <xdr:spPr>
        <a:xfrm>
          <a:off x="12554591" y="1755321"/>
          <a:ext cx="2073088" cy="421700"/>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441C39-8EC2-4D7F-87DE-DC5033482501}" type="TxLink">
            <a:rPr lang="en-US" sz="1600" b="0" i="0" u="none" strike="noStrike">
              <a:solidFill>
                <a:schemeClr val="bg1"/>
              </a:solidFill>
              <a:latin typeface="Trebuchet MS"/>
            </a:rPr>
            <a:pPr algn="ctr"/>
            <a:t>Cabang Medan</a:t>
          </a:fld>
          <a:endParaRPr lang="en-US" sz="2400" b="1" i="0" u="none" strike="noStrike">
            <a:solidFill>
              <a:schemeClr val="bg1"/>
            </a:solidFill>
            <a:latin typeface="Trebuchet MS"/>
          </a:endParaRPr>
        </a:p>
      </xdr:txBody>
    </xdr:sp>
    <xdr:clientData/>
  </xdr:twoCellAnchor>
  <xdr:twoCellAnchor>
    <xdr:from>
      <xdr:col>12</xdr:col>
      <xdr:colOff>367553</xdr:colOff>
      <xdr:row>4</xdr:row>
      <xdr:rowOff>98612</xdr:rowOff>
    </xdr:from>
    <xdr:to>
      <xdr:col>15</xdr:col>
      <xdr:colOff>373043</xdr:colOff>
      <xdr:row>8</xdr:row>
      <xdr:rowOff>32128</xdr:rowOff>
    </xdr:to>
    <xdr:sp macro="" textlink="">
      <xdr:nvSpPr>
        <xdr:cNvPr id="12" name="TextBox 11">
          <a:extLst>
            <a:ext uri="{FF2B5EF4-FFF2-40B4-BE49-F238E27FC236}">
              <a16:creationId xmlns:a16="http://schemas.microsoft.com/office/drawing/2014/main" id="{CAC68FB9-E1A9-431F-803D-7158AE7607A0}"/>
            </a:ext>
          </a:extLst>
        </xdr:cNvPr>
        <xdr:cNvSpPr txBox="1"/>
      </xdr:nvSpPr>
      <xdr:spPr>
        <a:xfrm>
          <a:off x="10112188" y="815788"/>
          <a:ext cx="1834290" cy="65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b="1"/>
            <a:t>Top Cabang per Kategori</a:t>
          </a:r>
        </a:p>
      </xdr:txBody>
    </xdr:sp>
    <xdr:clientData/>
  </xdr:twoCellAnchor>
  <xdr:twoCellAnchor>
    <xdr:from>
      <xdr:col>12</xdr:col>
      <xdr:colOff>224117</xdr:colOff>
      <xdr:row>11</xdr:row>
      <xdr:rowOff>12283</xdr:rowOff>
    </xdr:from>
    <xdr:to>
      <xdr:col>15</xdr:col>
      <xdr:colOff>256501</xdr:colOff>
      <xdr:row>13</xdr:row>
      <xdr:rowOff>172344</xdr:rowOff>
    </xdr:to>
    <xdr:sp macro="" textlink="$B$4">
      <xdr:nvSpPr>
        <xdr:cNvPr id="16" name="TextBox 15">
          <a:extLst>
            <a:ext uri="{FF2B5EF4-FFF2-40B4-BE49-F238E27FC236}">
              <a16:creationId xmlns:a16="http://schemas.microsoft.com/office/drawing/2014/main" id="{2A88B723-EA8A-4244-A3A4-A89D21A6646A}"/>
            </a:ext>
          </a:extLst>
        </xdr:cNvPr>
        <xdr:cNvSpPr txBox="1"/>
      </xdr:nvSpPr>
      <xdr:spPr>
        <a:xfrm>
          <a:off x="9968752" y="1984518"/>
          <a:ext cx="1861184" cy="518650"/>
        </a:xfrm>
        <a:prstGeom prst="roundRect">
          <a:avLst/>
        </a:prstGeom>
        <a:solidFill>
          <a:srgbClr val="657D9D"/>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29E4B8-3B42-4662-8BC2-25255950C7BA}" type="TxLink">
            <a:rPr lang="en-US" sz="3200" b="0" i="0" u="none" strike="noStrike">
              <a:solidFill>
                <a:schemeClr val="bg1"/>
              </a:solidFill>
              <a:latin typeface="Trebuchet MS"/>
              <a:cs typeface="Calibri"/>
            </a:rPr>
            <a:t>2,9 M</a:t>
          </a:fld>
          <a:endParaRPr lang="en-ID" sz="6600" b="1" i="0" u="none" strike="noStrike">
            <a:solidFill>
              <a:schemeClr val="bg1"/>
            </a:solidFill>
            <a:latin typeface="Calibri"/>
            <a:cs typeface="Calibri"/>
          </a:endParaRPr>
        </a:p>
      </xdr:txBody>
    </xdr:sp>
    <xdr:clientData/>
  </xdr:twoCellAnchor>
  <xdr:twoCellAnchor>
    <xdr:from>
      <xdr:col>15</xdr:col>
      <xdr:colOff>612321</xdr:colOff>
      <xdr:row>8</xdr:row>
      <xdr:rowOff>108858</xdr:rowOff>
    </xdr:from>
    <xdr:to>
      <xdr:col>19</xdr:col>
      <xdr:colOff>27215</xdr:colOff>
      <xdr:row>10</xdr:row>
      <xdr:rowOff>104270</xdr:rowOff>
    </xdr:to>
    <xdr:sp macro="" textlink="$A$12">
      <xdr:nvSpPr>
        <xdr:cNvPr id="24" name="TextBox 23">
          <a:extLst>
            <a:ext uri="{FF2B5EF4-FFF2-40B4-BE49-F238E27FC236}">
              <a16:creationId xmlns:a16="http://schemas.microsoft.com/office/drawing/2014/main" id="{0C859054-A0DA-4B46-A2BE-A6A84E55FCE8}"/>
            </a:ext>
          </a:extLst>
        </xdr:cNvPr>
        <xdr:cNvSpPr txBox="1"/>
      </xdr:nvSpPr>
      <xdr:spPr>
        <a:xfrm>
          <a:off x="14995071" y="1741715"/>
          <a:ext cx="2136323" cy="403626"/>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B7CD88-25F1-4CC2-BA76-B94AC58B6C50}" type="TxLink">
            <a:rPr lang="en-US" sz="1600" b="0" i="0" u="none" strike="noStrike">
              <a:solidFill>
                <a:schemeClr val="bg1"/>
              </a:solidFill>
              <a:latin typeface="Trebuchet MS"/>
              <a:ea typeface="Calibri"/>
              <a:cs typeface="Calibri"/>
            </a:rPr>
            <a:t>Cabang Surabaya</a:t>
          </a:fld>
          <a:endParaRPr lang="en-US" sz="2400" b="1" i="0" u="none" strike="noStrike">
            <a:solidFill>
              <a:schemeClr val="bg1"/>
            </a:solidFill>
            <a:latin typeface="Calibri"/>
            <a:ea typeface="Calibri"/>
            <a:cs typeface="Calibri"/>
          </a:endParaRPr>
        </a:p>
      </xdr:txBody>
    </xdr:sp>
    <xdr:clientData/>
  </xdr:twoCellAnchor>
  <xdr:twoCellAnchor>
    <xdr:from>
      <xdr:col>15</xdr:col>
      <xdr:colOff>606925</xdr:colOff>
      <xdr:row>10</xdr:row>
      <xdr:rowOff>195590</xdr:rowOff>
    </xdr:from>
    <xdr:to>
      <xdr:col>19</xdr:col>
      <xdr:colOff>47049</xdr:colOff>
      <xdr:row>13</xdr:row>
      <xdr:rowOff>176893</xdr:rowOff>
    </xdr:to>
    <xdr:sp macro="" textlink="$B$12">
      <xdr:nvSpPr>
        <xdr:cNvPr id="25" name="TextBox 24">
          <a:extLst>
            <a:ext uri="{FF2B5EF4-FFF2-40B4-BE49-F238E27FC236}">
              <a16:creationId xmlns:a16="http://schemas.microsoft.com/office/drawing/2014/main" id="{89A8EEE7-866E-4983-B4F4-D1D777731BC9}"/>
            </a:ext>
          </a:extLst>
        </xdr:cNvPr>
        <xdr:cNvSpPr txBox="1"/>
      </xdr:nvSpPr>
      <xdr:spPr>
        <a:xfrm>
          <a:off x="14989675" y="2236661"/>
          <a:ext cx="2161553" cy="593625"/>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A3EC98-6AE5-4642-AFC7-5A9E35F65AE8}" type="TxLink">
            <a:rPr lang="en-US" sz="3200" b="0" i="0" u="none" strike="noStrike">
              <a:solidFill>
                <a:schemeClr val="bg1"/>
              </a:solidFill>
              <a:latin typeface="Trebuchet MS"/>
              <a:ea typeface="Calibri"/>
              <a:cs typeface="Calibri"/>
            </a:rPr>
            <a:t>34 jt</a:t>
          </a:fld>
          <a:endParaRPr lang="en-ID" sz="6600" b="1" i="0" u="none" strike="noStrike">
            <a:solidFill>
              <a:schemeClr val="bg1"/>
            </a:solidFill>
            <a:latin typeface="Calibri"/>
            <a:ea typeface="Calibri"/>
            <a:cs typeface="Calibri"/>
          </a:endParaRPr>
        </a:p>
      </xdr:txBody>
    </xdr:sp>
    <xdr:clientData/>
  </xdr:twoCellAnchor>
  <xdr:twoCellAnchor>
    <xdr:from>
      <xdr:col>9</xdr:col>
      <xdr:colOff>188257</xdr:colOff>
      <xdr:row>18</xdr:row>
      <xdr:rowOff>98611</xdr:rowOff>
    </xdr:from>
    <xdr:to>
      <xdr:col>15</xdr:col>
      <xdr:colOff>295836</xdr:colOff>
      <xdr:row>30</xdr:row>
      <xdr:rowOff>170329</xdr:rowOff>
    </xdr:to>
    <xdr:sp macro="" textlink="">
      <xdr:nvSpPr>
        <xdr:cNvPr id="28" name="TextBox 27">
          <a:extLst>
            <a:ext uri="{FF2B5EF4-FFF2-40B4-BE49-F238E27FC236}">
              <a16:creationId xmlns:a16="http://schemas.microsoft.com/office/drawing/2014/main" id="{CEFFCAD1-E4D9-42AB-92C5-83250BBF8789}"/>
            </a:ext>
          </a:extLst>
        </xdr:cNvPr>
        <xdr:cNvSpPr txBox="1"/>
      </xdr:nvSpPr>
      <xdr:spPr>
        <a:xfrm>
          <a:off x="8104092" y="3325905"/>
          <a:ext cx="3765179" cy="2581836"/>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800" b="1" i="0" u="none" strike="noStrike">
            <a:solidFill>
              <a:schemeClr val="bg1"/>
            </a:solidFill>
            <a:latin typeface="Calibri"/>
            <a:ea typeface="Calibri"/>
            <a:cs typeface="Calibri"/>
          </a:endParaRPr>
        </a:p>
      </xdr:txBody>
    </xdr:sp>
    <xdr:clientData/>
  </xdr:twoCellAnchor>
  <xdr:twoCellAnchor>
    <xdr:from>
      <xdr:col>16</xdr:col>
      <xdr:colOff>242047</xdr:colOff>
      <xdr:row>18</xdr:row>
      <xdr:rowOff>62752</xdr:rowOff>
    </xdr:from>
    <xdr:to>
      <xdr:col>22</xdr:col>
      <xdr:colOff>510989</xdr:colOff>
      <xdr:row>30</xdr:row>
      <xdr:rowOff>179293</xdr:rowOff>
    </xdr:to>
    <xdr:sp macro="" textlink="">
      <xdr:nvSpPr>
        <xdr:cNvPr id="29" name="TextBox 28">
          <a:extLst>
            <a:ext uri="{FF2B5EF4-FFF2-40B4-BE49-F238E27FC236}">
              <a16:creationId xmlns:a16="http://schemas.microsoft.com/office/drawing/2014/main" id="{2B2CC5A4-78F6-4B6D-A366-8800935F654C}"/>
            </a:ext>
          </a:extLst>
        </xdr:cNvPr>
        <xdr:cNvSpPr txBox="1"/>
      </xdr:nvSpPr>
      <xdr:spPr>
        <a:xfrm>
          <a:off x="12425082" y="3290046"/>
          <a:ext cx="3926542" cy="2626659"/>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800" b="1" i="0" u="none" strike="noStrike">
            <a:solidFill>
              <a:schemeClr val="bg1"/>
            </a:solidFill>
            <a:latin typeface="Calibri"/>
            <a:ea typeface="Calibri"/>
            <a:cs typeface="Calibri"/>
          </a:endParaRPr>
        </a:p>
      </xdr:txBody>
    </xdr:sp>
    <xdr:clientData/>
  </xdr:twoCellAnchor>
  <xdr:twoCellAnchor>
    <xdr:from>
      <xdr:col>9</xdr:col>
      <xdr:colOff>125506</xdr:colOff>
      <xdr:row>3</xdr:row>
      <xdr:rowOff>181536</xdr:rowOff>
    </xdr:from>
    <xdr:to>
      <xdr:col>11</xdr:col>
      <xdr:colOff>257736</xdr:colOff>
      <xdr:row>6</xdr:row>
      <xdr:rowOff>44823</xdr:rowOff>
    </xdr:to>
    <xdr:sp macro="" textlink="">
      <xdr:nvSpPr>
        <xdr:cNvPr id="31" name="TextBox 30">
          <a:extLst>
            <a:ext uri="{FF2B5EF4-FFF2-40B4-BE49-F238E27FC236}">
              <a16:creationId xmlns:a16="http://schemas.microsoft.com/office/drawing/2014/main" id="{1AB4721E-B497-4D4C-A3AE-2CC00A875847}"/>
            </a:ext>
          </a:extLst>
        </xdr:cNvPr>
        <xdr:cNvSpPr txBox="1"/>
      </xdr:nvSpPr>
      <xdr:spPr>
        <a:xfrm>
          <a:off x="8798859" y="820271"/>
          <a:ext cx="1499348"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D" sz="1200" b="1"/>
        </a:p>
      </xdr:txBody>
    </xdr:sp>
    <xdr:clientData/>
  </xdr:twoCellAnchor>
  <xdr:twoCellAnchor editAs="oneCell">
    <xdr:from>
      <xdr:col>9</xdr:col>
      <xdr:colOff>129189</xdr:colOff>
      <xdr:row>4</xdr:row>
      <xdr:rowOff>176892</xdr:rowOff>
    </xdr:from>
    <xdr:to>
      <xdr:col>12</xdr:col>
      <xdr:colOff>27215</xdr:colOff>
      <xdr:row>14</xdr:row>
      <xdr:rowOff>176892</xdr:rowOff>
    </xdr:to>
    <mc:AlternateContent xmlns:mc="http://schemas.openxmlformats.org/markup-compatibility/2006">
      <mc:Choice xmlns:a14="http://schemas.microsoft.com/office/drawing/2010/main" Requires="a14">
        <xdr:graphicFrame macro="">
          <xdr:nvGraphicFramePr>
            <xdr:cNvPr id="3" name="Nama Kategori">
              <a:extLst>
                <a:ext uri="{FF2B5EF4-FFF2-40B4-BE49-F238E27FC236}">
                  <a16:creationId xmlns:a16="http://schemas.microsoft.com/office/drawing/2014/main" id="{AFE5E256-A688-4D72-A0F9-E323F5E37885}"/>
                </a:ext>
              </a:extLst>
            </xdr:cNvPr>
            <xdr:cNvGraphicFramePr/>
          </xdr:nvGraphicFramePr>
          <xdr:xfrm>
            <a:off x="0" y="0"/>
            <a:ext cx="0" cy="0"/>
          </xdr:xfrm>
          <a:graphic>
            <a:graphicData uri="http://schemas.microsoft.com/office/drawing/2010/slicer">
              <sle:slicer xmlns:sle="http://schemas.microsoft.com/office/drawing/2010/slicer" name="Nama Kategori"/>
            </a:graphicData>
          </a:graphic>
        </xdr:graphicFrame>
      </mc:Choice>
      <mc:Fallback>
        <xdr:sp macro="" textlink="">
          <xdr:nvSpPr>
            <xdr:cNvPr id="0" name=""/>
            <xdr:cNvSpPr>
              <a:spLocks noTextEdit="1"/>
            </xdr:cNvSpPr>
          </xdr:nvSpPr>
          <xdr:spPr>
            <a:xfrm>
              <a:off x="8715296" y="993321"/>
              <a:ext cx="1939098" cy="20410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397327</xdr:colOff>
      <xdr:row>8</xdr:row>
      <xdr:rowOff>97972</xdr:rowOff>
    </xdr:from>
    <xdr:to>
      <xdr:col>22</xdr:col>
      <xdr:colOff>492579</xdr:colOff>
      <xdr:row>10</xdr:row>
      <xdr:rowOff>93384</xdr:rowOff>
    </xdr:to>
    <xdr:sp macro="" textlink="$A$47">
      <xdr:nvSpPr>
        <xdr:cNvPr id="22" name="TextBox 21">
          <a:extLst>
            <a:ext uri="{FF2B5EF4-FFF2-40B4-BE49-F238E27FC236}">
              <a16:creationId xmlns:a16="http://schemas.microsoft.com/office/drawing/2014/main" id="{5E69054C-AE27-4415-B897-BB06C007629B}"/>
            </a:ext>
          </a:extLst>
        </xdr:cNvPr>
        <xdr:cNvSpPr txBox="1"/>
      </xdr:nvSpPr>
      <xdr:spPr>
        <a:xfrm>
          <a:off x="17501506" y="1730829"/>
          <a:ext cx="2136323" cy="403626"/>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B49138-D69A-4CB9-A0B4-40C6B710FBCF}" type="TxLink">
            <a:rPr lang="en-US" sz="1600" b="0" i="0" u="none" strike="noStrike">
              <a:solidFill>
                <a:schemeClr val="bg1"/>
              </a:solidFill>
              <a:latin typeface="Trebuchet MS"/>
              <a:ea typeface="Calibri"/>
              <a:cs typeface="Calibri"/>
            </a:rPr>
            <a:pPr marL="0" indent="0" algn="ctr"/>
            <a:t>Celana Jeans</a:t>
          </a:fld>
          <a:endParaRPr lang="en-US" sz="1600" b="0" i="0" u="none" strike="noStrike">
            <a:solidFill>
              <a:schemeClr val="bg1"/>
            </a:solidFill>
            <a:latin typeface="Trebuchet MS"/>
            <a:ea typeface="Calibri"/>
            <a:cs typeface="Calibri"/>
          </a:endParaRPr>
        </a:p>
      </xdr:txBody>
    </xdr:sp>
    <xdr:clientData/>
  </xdr:twoCellAnchor>
  <xdr:twoCellAnchor>
    <xdr:from>
      <xdr:col>19</xdr:col>
      <xdr:colOff>391931</xdr:colOff>
      <xdr:row>10</xdr:row>
      <xdr:rowOff>184704</xdr:rowOff>
    </xdr:from>
    <xdr:to>
      <xdr:col>22</xdr:col>
      <xdr:colOff>512413</xdr:colOff>
      <xdr:row>13</xdr:row>
      <xdr:rowOff>166007</xdr:rowOff>
    </xdr:to>
    <xdr:sp macro="" textlink="$B$47">
      <xdr:nvSpPr>
        <xdr:cNvPr id="30" name="TextBox 29">
          <a:extLst>
            <a:ext uri="{FF2B5EF4-FFF2-40B4-BE49-F238E27FC236}">
              <a16:creationId xmlns:a16="http://schemas.microsoft.com/office/drawing/2014/main" id="{F424F861-1060-4477-AC36-6BF345EA1D1B}"/>
            </a:ext>
          </a:extLst>
        </xdr:cNvPr>
        <xdr:cNvSpPr txBox="1"/>
      </xdr:nvSpPr>
      <xdr:spPr>
        <a:xfrm>
          <a:off x="17496110" y="2225775"/>
          <a:ext cx="2161553" cy="593625"/>
        </a:xfrm>
        <a:prstGeom prst="roundRect">
          <a:avLst/>
        </a:prstGeom>
        <a:solidFill>
          <a:schemeClr val="tx2">
            <a:lumMod val="75000"/>
            <a:lumOff val="2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39F7CB-DEDF-4BD1-AA22-94705E58233E}" type="TxLink">
            <a:rPr lang="en-US" sz="3200" b="0" i="0" u="none" strike="noStrike">
              <a:solidFill>
                <a:schemeClr val="bg1"/>
              </a:solidFill>
              <a:latin typeface="Trebuchet MS"/>
              <a:ea typeface="Calibri"/>
              <a:cs typeface="Calibri"/>
            </a:rPr>
            <a:pPr marL="0" indent="0" algn="ctr"/>
            <a:t>978 jt</a:t>
          </a:fld>
          <a:endParaRPr lang="en-ID" sz="3200" b="0" i="0" u="none" strike="noStrike">
            <a:solidFill>
              <a:schemeClr val="bg1"/>
            </a:solidFill>
            <a:latin typeface="Trebuchet MS"/>
            <a:ea typeface="Calibri"/>
            <a:cs typeface="Calibri"/>
          </a:endParaRPr>
        </a:p>
      </xdr:txBody>
    </xdr:sp>
    <xdr:clientData/>
  </xdr:twoCellAnchor>
  <xdr:twoCellAnchor>
    <xdr:from>
      <xdr:col>9</xdr:col>
      <xdr:colOff>134470</xdr:colOff>
      <xdr:row>18</xdr:row>
      <xdr:rowOff>67234</xdr:rowOff>
    </xdr:from>
    <xdr:to>
      <xdr:col>15</xdr:col>
      <xdr:colOff>605116</xdr:colOff>
      <xdr:row>30</xdr:row>
      <xdr:rowOff>168088</xdr:rowOff>
    </xdr:to>
    <xdr:graphicFrame macro="">
      <xdr:nvGraphicFramePr>
        <xdr:cNvPr id="4" name="Chart 3">
          <a:extLst>
            <a:ext uri="{FF2B5EF4-FFF2-40B4-BE49-F238E27FC236}">
              <a16:creationId xmlns:a16="http://schemas.microsoft.com/office/drawing/2014/main" id="{18C3E2CE-49CF-449B-A9BF-F0B00316C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187699</xdr:colOff>
      <xdr:row>17</xdr:row>
      <xdr:rowOff>205068</xdr:rowOff>
    </xdr:from>
    <xdr:to>
      <xdr:col>22</xdr:col>
      <xdr:colOff>643778</xdr:colOff>
      <xdr:row>30</xdr:row>
      <xdr:rowOff>180415</xdr:rowOff>
    </xdr:to>
    <xdr:graphicFrame macro="">
      <xdr:nvGraphicFramePr>
        <xdr:cNvPr id="6" name="Chart 5">
          <a:extLst>
            <a:ext uri="{FF2B5EF4-FFF2-40B4-BE49-F238E27FC236}">
              <a16:creationId xmlns:a16="http://schemas.microsoft.com/office/drawing/2014/main" id="{6627EB32-A307-45DC-8F50-6FB1B5A7C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83820</xdr:colOff>
      <xdr:row>0</xdr:row>
      <xdr:rowOff>0</xdr:rowOff>
    </xdr:from>
    <xdr:to>
      <xdr:col>22</xdr:col>
      <xdr:colOff>549363</xdr:colOff>
      <xdr:row>14</xdr:row>
      <xdr:rowOff>13718</xdr:rowOff>
    </xdr:to>
    <xdr:pic>
      <xdr:nvPicPr>
        <xdr:cNvPr id="3" name="Picture 2">
          <a:extLst>
            <a:ext uri="{FF2B5EF4-FFF2-40B4-BE49-F238E27FC236}">
              <a16:creationId xmlns:a16="http://schemas.microsoft.com/office/drawing/2014/main" id="{1ACC35A1-D196-464E-AED2-0EEF65375DA9}"/>
            </a:ext>
          </a:extLst>
        </xdr:cNvPr>
        <xdr:cNvPicPr>
          <a:picLocks noChangeAspect="1"/>
        </xdr:cNvPicPr>
      </xdr:nvPicPr>
      <xdr:blipFill>
        <a:blip xmlns:r="http://schemas.openxmlformats.org/officeDocument/2006/relationships" r:embed="rId1"/>
        <a:stretch>
          <a:fillRect/>
        </a:stretch>
      </xdr:blipFill>
      <xdr:spPr>
        <a:xfrm>
          <a:off x="6179820" y="0"/>
          <a:ext cx="7780743" cy="257403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5.382713888888" createdVersion="8" refreshedVersion="7" minRefreshableVersion="3" recordCount="0" supportSubquery="1" supportAdvancedDrill="1" xr:uid="{8F4CAD0D-72DC-4FBC-868B-F85E51DB813D}">
  <cacheSource type="external" connectionId="2"/>
  <cacheFields count="3">
    <cacheField name="[Katagori].[Nama Kategori].[Nama Kategori]" caption="Nama Kategori" numFmtId="0" hierarchy="4" level="1">
      <sharedItems containsSemiMixedTypes="0" containsNonDate="0" containsString="0"/>
    </cacheField>
    <cacheField name="[MasterCabang].[Nama Cabang].[Nama Cabang]" caption="Nama Cabang" numFmtId="0" hierarchy="9" level="1">
      <sharedItems count="4">
        <s v="Cabang Jakarta"/>
        <s v="Cabang Makasar"/>
        <s v="Cabang Medan"/>
        <s v="Cabang Surabaya"/>
      </sharedItems>
    </cacheField>
    <cacheField name="[Measures].[Pendapatan]" caption="Pendapatan" numFmtId="0" hierarchy="23" level="32767"/>
  </cacheFields>
  <cacheHierarchies count="30">
    <cacheHierarchy uniqueName="[dtTransaksi].[Kode Transaksi]" caption="Kode Transaksi" attribute="1" defaultMemberUniqueName="[dtTransaksi].[Kode Transaksi].[All]" allUniqueName="[dtTransaksi].[Kode Transaksi].[All]" dimensionUniqueName="[dtTransaksi]" displayFolder="" count="2" memberValueDatatype="130" unbalanced="0"/>
    <cacheHierarchy uniqueName="[dtTransaksi].[Urutan]" caption="Urutan" attribute="1" defaultMemberUniqueName="[dtTransaksi].[Urutan].[All]" allUniqueName="[dtTransaksi].[Urutan].[All]" dimensionUniqueName="[dtTransaksi]" displayFolder="" count="2" memberValueDatatype="20" unbalanced="0"/>
    <cacheHierarchy uniqueName="[dtTransaksi].[Jumlah Pembelian]" caption="Jumlah Pembelian" attribute="1" defaultMemberUniqueName="[dtTransaksi].[Jumlah Pembelian].[All]" allUniqueName="[dtTransaksi].[Jumlah Pembelian].[All]" dimensionUniqueName="[dtTransaksi]" displayFolder="" count="2" memberValueDatatype="20" unbalanced="0"/>
    <cacheHierarchy uniqueName="[Katagori].[Kode Kategori]" caption="Kode Kategori" attribute="1" defaultMemberUniqueName="[Katagori].[Kode Kategori].[All]" allUniqueName="[Katagori].[Kode Kategori].[All]" dimensionUniqueName="[Katagori]" displayFolder="" count="2"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fieldsUsage count="2">
        <fieldUsage x="-1"/>
        <fieldUsage x="0"/>
      </fieldsUsage>
    </cacheHierarchy>
    <cacheHierarchy uniqueName="[Liburan].[Tanggal]" caption="Tanggal" attribute="1" time="1" defaultMemberUniqueName="[Liburan].[Tanggal].[All]" allUniqueName="[Liburan].[Tanggal].[All]" dimensionUniqueName="[Liburan]" displayFolder="" count="2" memberValueDatatype="7" unbalanced="0"/>
    <cacheHierarchy uniqueName="[Liburan].[Nama Liburan]" caption="Nama Liburan" attribute="1" defaultMemberUniqueName="[Liburan].[Nama Liburan].[All]" allUniqueName="[Liburan].[Nama Liburan].[All]" dimensionUniqueName="[Liburan]" displayFolder="" count="2" memberValueDatatype="130" unbalanced="0"/>
    <cacheHierarchy uniqueName="[Liburan].[Tipe]" caption="Tipe" attribute="1" defaultMemberUniqueName="[Liburan].[Tipe].[All]" allUniqueName="[Liburan].[Tipe].[All]" dimensionUniqueName="[Liburan]" displayFolder="" count="2" memberValueDatatype="130" unbalanced="0"/>
    <cacheHierarchy uniqueName="[MasterCabang].[Kode Cabang]" caption="Kode Cabang" attribute="1" defaultMemberUniqueName="[MasterCabang].[Kode Cabang].[All]" allUniqueName="[MasterCabang].[Kode Cabang].[All]" dimensionUniqueName="[MasterCabang]" displayFolder="" count="2" memberValueDatatype="130" unbalanced="0"/>
    <cacheHierarchy uniqueName="[MasterCabang].[Nama Cabang]" caption="Nama Cabang" attribute="1" defaultMemberUniqueName="[MasterCabang].[Nama Cabang].[All]" allUniqueName="[MasterCabang].[Nama Cabang].[All]" dimensionUniqueName="[MasterCabang]" displayFolder="" count="2" memberValueDatatype="130" unbalanced="0">
      <fieldsUsage count="2">
        <fieldUsage x="-1"/>
        <fieldUsage x="1"/>
      </fieldsUsage>
    </cacheHierarchy>
    <cacheHierarchy uniqueName="[MasterCabang].[Lokasi]" caption="Lokasi" attribute="1" defaultMemberUniqueName="[MasterCabang].[Lokasi].[All]" allUniqueName="[MasterCabang].[Lokasi].[All]" dimensionUniqueName="[MasterCabang]" displayFolder="" count="2" memberValueDatatype="130" unbalanced="0"/>
    <cacheHierarchy uniqueName="[MasterCabang].[Provinsi]" caption="Provinsi" attribute="1" defaultMemberUniqueName="[MasterCabang].[Provinsi].[All]" allUniqueName="[MasterCabang].[Provinsi].[All]" dimensionUniqueName="[MasterCabang]" displayFolder="" count="2" memberValueDatatype="130" unbalanced="0"/>
    <cacheHierarchy uniqueName="[MasterProduk].[No.]" caption="No." attribute="1" defaultMemberUniqueName="[MasterProduk].[No.].[All]" allUniqueName="[MasterProduk].[No.].[All]" dimensionUniqueName="[MasterProduk]" displayFolder="" count="2" memberValueDatatype="20" unbalanced="0"/>
    <cacheHierarchy uniqueName="[MasterProduk].[Kode Produk Final]" caption="Kode Produk Final" attribute="1" defaultMemberUniqueName="[MasterProduk].[Kode Produk Final].[All]" allUniqueName="[MasterProduk].[Kode Produk Final].[All]" dimensionUniqueName="[MasterProduk]" displayFolder="" count="2" memberValueDatatype="130" unbalanced="0"/>
    <cacheHierarchy uniqueName="[MasterProduk].[Kategori]" caption="Kategori" attribute="1" defaultMemberUniqueName="[MasterProduk].[Kategori].[All]" allUniqueName="[MasterProduk].[Kategori].[All]" dimensionUniqueName="[MasterProduk]" displayFolder="" count="2" memberValueDatatype="130" unbalanced="0"/>
    <cacheHierarchy uniqueName="[MasterProduk].[Nama Produk]" caption="Nama Produk" attribute="1" defaultMemberUniqueName="[MasterProduk].[Nama Produk].[All]" allUniqueName="[MasterProduk].[Nama Produk].[All]" dimensionUniqueName="[MasterProduk]" displayFolder="" count="2" memberValueDatatype="130" unbalanced="0"/>
    <cacheHierarchy uniqueName="[MasterProduk].[Harga]" caption="Harga" attribute="1" defaultMemberUniqueName="[MasterProduk].[Harga].[All]" allUniqueName="[MasterProduk].[Harga].[All]" dimensionUniqueName="[MasterProduk]" displayFolder="" count="2" memberValueDatatype="20" unbalanced="0"/>
    <cacheHierarchy uniqueName="[dtTransaksi].[Kode Cabang]" caption="Kode Cabang" attribute="1" defaultMemberUniqueName="[dtTransaksi].[Kode Cabang].[All]" allUniqueName="[dtTransaksi].[Kode Cabang].[All]" dimensionUniqueName="[dtTransaksi]" displayFolder="" count="2" memberValueDatatype="130" unbalanced="0" hidden="1"/>
    <cacheHierarchy uniqueName="[dtTransaksi].[Kode Kategori]" caption="Kode Kategori" attribute="1" defaultMemberUniqueName="[dtTransaksi].[Kode Kategori].[All]" allUniqueName="[dtTransaksi].[Kode Kategori].[All]" dimensionUniqueName="[dtTransaksi]" displayFolder="" count="2" memberValueDatatype="130" unbalanced="0" hidden="1"/>
    <cacheHierarchy uniqueName="[dtTransaksi].[Kode Produk]" caption="Kode Produk" attribute="1" defaultMemberUniqueName="[dtTransaksi].[Kode Produk].[All]" allUniqueName="[dtTransaksi].[Kode Produk].[All]" dimensionUniqueName="[dtTransaksi]" displayFolder="" count="2"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2"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cacheHierarchy uniqueName="[Measures].[Pendapatan]" caption="Pendapatan" measure="1" displayFolder="" measureGroup="dtTransaksi" count="0" oneField="1">
      <fieldsUsage count="1">
        <fieldUsage x="2"/>
      </fieldsUsage>
    </cacheHierarchy>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dimensions count="6">
    <dimension name="dtTransaksi" uniqueName="[dtTransaksi]" caption="dtTransaksi"/>
    <dimension name="Katagori" uniqueName="[Katagori]" caption="Katagori"/>
    <dimension name="Liburan" uniqueName="[Liburan]" caption="Liburan"/>
    <dimension name="MasterCabang" uniqueName="[MasterCabang]" caption="MasterCabang"/>
    <dimension name="MasterProduk" uniqueName="[MasterProduk]" caption="MasterProduk"/>
    <dimension measure="1" name="Measures" uniqueName="[Measures]" caption="Measures"/>
  </dimensions>
  <measureGroups count="5">
    <measureGroup name="dtTransaksi" caption="dtTransaksi"/>
    <measureGroup name="Katagori" caption="Katagori"/>
    <measureGroup name="Liburan" caption="Liburan"/>
    <measureGroup name="MasterCabang" caption="MasterCabang"/>
    <measureGroup name="MasterProduk" caption="MasterProduk"/>
  </measureGroups>
  <maps count="9">
    <map measureGroup="0" dimension="0"/>
    <map measureGroup="0" dimension="1"/>
    <map measureGroup="0" dimension="2"/>
    <map measureGroup="0" dimension="3"/>
    <map measureGroup="0" dimension="4"/>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5.382714236111" createdVersion="5" refreshedVersion="7" minRefreshableVersion="3" recordCount="0" supportSubquery="1" supportAdvancedDrill="1" xr:uid="{E30524EA-FE69-4166-B821-A0C939002153}">
  <cacheSource type="external" connectionId="2"/>
  <cacheFields count="3">
    <cacheField name="[Katagori].[Nama Kategori].[Nama Kategori]" caption="Nama Kategori" numFmtId="0" hierarchy="4" level="1">
      <sharedItems count="1">
        <s v="Bawahan"/>
      </sharedItems>
    </cacheField>
    <cacheField name="[Measures].[JumlahUnits]" caption="JumlahUnits" numFmtId="0" hierarchy="22" level="32767"/>
    <cacheField name="[Measures].[Pendapatan]" caption="Pendapatan" numFmtId="0" hierarchy="23" level="32767"/>
  </cacheFields>
  <cacheHierarchies count="30">
    <cacheHierarchy uniqueName="[dtTransaksi].[Kode Transaksi]" caption="Kode Transaksi" attribute="1" defaultMemberUniqueName="[dtTransaksi].[Kode Transaksi].[All]" allUniqueName="[dtTransaksi].[Kode Transaksi].[All]" dimensionUniqueName="[dtTransaksi]" displayFolder="" count="0" memberValueDatatype="130" unbalanced="0"/>
    <cacheHierarchy uniqueName="[dtTransaksi].[Urutan]" caption="Urutan" attribute="1" defaultMemberUniqueName="[dtTransaksi].[Urutan].[All]" allUniqueName="[dtTransaksi].[Urutan].[All]" dimensionUniqueName="[dtTransaksi]" displayFolder="" count="0" memberValueDatatype="20" unbalanced="0"/>
    <cacheHierarchy uniqueName="[dtTransaksi].[Jumlah Pembelian]" caption="Jumlah Pembelian" attribute="1" defaultMemberUniqueName="[dtTransaksi].[Jumlah Pembelian].[All]" allUniqueName="[dtTransaksi].[Jumlah Pembelian].[All]" dimensionUniqueName="[dtTransaksi]" displayFolder="" count="0" memberValueDatatype="20" unbalanced="0"/>
    <cacheHierarchy uniqueName="[Katagori].[Kode Kategori]" caption="Kode Kategori" attribute="1" defaultMemberUniqueName="[Katagori].[Kode Kategori].[All]" allUniqueName="[Katagori].[Kode Kategori].[All]" dimensionUniqueName="[Katagori]" displayFolder="" count="0"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fieldsUsage count="2">
        <fieldUsage x="-1"/>
        <fieldUsage x="0"/>
      </fieldsUsage>
    </cacheHierarchy>
    <cacheHierarchy uniqueName="[Liburan].[Tanggal]" caption="Tanggal" attribute="1" time="1" defaultMemberUniqueName="[Liburan].[Tanggal].[All]" allUniqueName="[Liburan].[Tanggal].[All]" dimensionUniqueName="[Liburan]" displayFolder="" count="0" memberValueDatatype="7" unbalanced="0"/>
    <cacheHierarchy uniqueName="[Liburan].[Nama Liburan]" caption="Nama Liburan" attribute="1" defaultMemberUniqueName="[Liburan].[Nama Liburan].[All]" allUniqueName="[Liburan].[Nama Liburan].[All]" dimensionUniqueName="[Liburan]" displayFolder="" count="0" memberValueDatatype="130" unbalanced="0"/>
    <cacheHierarchy uniqueName="[Liburan].[Tipe]" caption="Tipe" attribute="1" defaultMemberUniqueName="[Liburan].[Tipe].[All]" allUniqueName="[Liburan].[Tipe].[All]" dimensionUniqueName="[Liburan]" displayFolder="" count="0" memberValueDatatype="130" unbalanced="0"/>
    <cacheHierarchy uniqueName="[MasterCabang].[Kode Cabang]" caption="Kode Cabang" attribute="1" defaultMemberUniqueName="[MasterCabang].[Kode Cabang].[All]" allUniqueName="[MasterCabang].[Kode Cabang].[All]" dimensionUniqueName="[MasterCabang]" displayFolder="" count="0" memberValueDatatype="130" unbalanced="0"/>
    <cacheHierarchy uniqueName="[MasterCabang].[Nama Cabang]" caption="Nama Cabang" attribute="1" defaultMemberUniqueName="[MasterCabang].[Nama Cabang].[All]" allUniqueName="[MasterCabang].[Nama Cabang].[All]" dimensionUniqueName="[MasterCabang]" displayFolder="" count="0" memberValueDatatype="130" unbalanced="0"/>
    <cacheHierarchy uniqueName="[MasterCabang].[Lokasi]" caption="Lokasi" attribute="1" defaultMemberUniqueName="[MasterCabang].[Lokasi].[All]" allUniqueName="[MasterCabang].[Lokasi].[All]" dimensionUniqueName="[MasterCabang]" displayFolder="" count="0" memberValueDatatype="130" unbalanced="0"/>
    <cacheHierarchy uniqueName="[MasterCabang].[Provinsi]" caption="Provinsi" attribute="1" defaultMemberUniqueName="[MasterCabang].[Provinsi].[All]" allUniqueName="[MasterCabang].[Provinsi].[All]" dimensionUniqueName="[MasterCabang]" displayFolder="" count="0" memberValueDatatype="130" unbalanced="0"/>
    <cacheHierarchy uniqueName="[MasterProduk].[No.]" caption="No." attribute="1" defaultMemberUniqueName="[MasterProduk].[No.].[All]" allUniqueName="[MasterProduk].[No.].[All]" dimensionUniqueName="[MasterProduk]" displayFolder="" count="0" memberValueDatatype="20" unbalanced="0"/>
    <cacheHierarchy uniqueName="[MasterProduk].[Kode Produk Final]" caption="Kode Produk Final" attribute="1" defaultMemberUniqueName="[MasterProduk].[Kode Produk Final].[All]" allUniqueName="[MasterProduk].[Kode Produk Final].[All]" dimensionUniqueName="[MasterProduk]" displayFolder="" count="0" memberValueDatatype="130" unbalanced="0"/>
    <cacheHierarchy uniqueName="[MasterProduk].[Kategori]" caption="Kategori" attribute="1" defaultMemberUniqueName="[MasterProduk].[Kategori].[All]" allUniqueName="[MasterProduk].[Kategori].[All]" dimensionUniqueName="[MasterProduk]" displayFolder="" count="0" memberValueDatatype="130" unbalanced="0"/>
    <cacheHierarchy uniqueName="[MasterProduk].[Nama Produk]" caption="Nama Produk" attribute="1" defaultMemberUniqueName="[MasterProduk].[Nama Produk].[All]" allUniqueName="[MasterProduk].[Nama Produk].[All]" dimensionUniqueName="[MasterProduk]" displayFolder="" count="0" memberValueDatatype="130" unbalanced="0"/>
    <cacheHierarchy uniqueName="[MasterProduk].[Harga]" caption="Harga" attribute="1" defaultMemberUniqueName="[MasterProduk].[Harga].[All]" allUniqueName="[MasterProduk].[Harga].[All]" dimensionUniqueName="[MasterProduk]" displayFolder="" count="0" memberValueDatatype="20" unbalanced="0"/>
    <cacheHierarchy uniqueName="[dtTransaksi].[Kode Cabang]" caption="Kode Cabang" attribute="1" defaultMemberUniqueName="[dtTransaksi].[Kode Cabang].[All]" allUniqueName="[dtTransaksi].[Kode Cabang].[All]" dimensionUniqueName="[dtTransaksi]" displayFolder="" count="0" memberValueDatatype="130" unbalanced="0" hidden="1"/>
    <cacheHierarchy uniqueName="[dtTransaksi].[Kode Kategori]" caption="Kode Kategori" attribute="1" defaultMemberUniqueName="[dtTransaksi].[Kode Kategori].[All]" allUniqueName="[dtTransaksi].[Kode Kategori].[All]" dimensionUniqueName="[dtTransaksi]" displayFolder="" count="0" memberValueDatatype="130" unbalanced="0" hidden="1"/>
    <cacheHierarchy uniqueName="[dtTransaksi].[Kode Produk]" caption="Kode Produk" attribute="1" defaultMemberUniqueName="[dtTransaksi].[Kode Produk].[All]" allUniqueName="[dtTransaksi].[Kode Produk].[All]" dimensionUniqueName="[dtTransaksi]" displayFolder="" count="0"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0"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oneField="1">
      <fieldsUsage count="1">
        <fieldUsage x="1"/>
      </fieldsUsage>
    </cacheHierarchy>
    <cacheHierarchy uniqueName="[Measures].[Pendapatan]" caption="Pendapatan" measure="1" displayFolder="" measureGroup="dtTransaksi" count="0" oneField="1">
      <fieldsUsage count="1">
        <fieldUsage x="2"/>
      </fieldsUsage>
    </cacheHierarchy>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dimensions count="6">
    <dimension name="dtTransaksi" uniqueName="[dtTransaksi]" caption="dtTransaksi"/>
    <dimension name="Katagori" uniqueName="[Katagori]" caption="Katagori"/>
    <dimension name="Liburan" uniqueName="[Liburan]" caption="Liburan"/>
    <dimension name="MasterCabang" uniqueName="[MasterCabang]" caption="MasterCabang"/>
    <dimension name="MasterProduk" uniqueName="[MasterProduk]" caption="MasterProduk"/>
    <dimension measure="1" name="Measures" uniqueName="[Measures]" caption="Measures"/>
  </dimensions>
  <measureGroups count="5">
    <measureGroup name="dtTransaksi" caption="dtTransaksi"/>
    <measureGroup name="Katagori" caption="Katagori"/>
    <measureGroup name="Liburan" caption="Liburan"/>
    <measureGroup name="MasterCabang" caption="MasterCabang"/>
    <measureGroup name="MasterProduk" caption="MasterProduk"/>
  </measureGroups>
  <maps count="9">
    <map measureGroup="0" dimension="0"/>
    <map measureGroup="0" dimension="1"/>
    <map measureGroup="0" dimension="2"/>
    <map measureGroup="0" dimension="3"/>
    <map measureGroup="0" dimension="4"/>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5.382714814812" createdVersion="8" refreshedVersion="7" minRefreshableVersion="3" recordCount="0" supportSubquery="1" supportAdvancedDrill="1" xr:uid="{27490CC2-55F5-4614-B6F1-C41275FFCA44}">
  <cacheSource type="external" connectionId="2"/>
  <cacheFields count="5">
    <cacheField name="[MasterCabang].[Nama Cabang].[Nama Cabang]" caption="Nama Cabang" numFmtId="0" hierarchy="9" level="1">
      <sharedItems count="1">
        <s v="Cabang Medan"/>
      </sharedItems>
    </cacheField>
    <cacheField name="[Measures].[Pendapatan]" caption="Pendapatan" numFmtId="0" hierarchy="23" level="32767"/>
    <cacheField name="[MasterCabang].[Provinsi].[Provinsi]" caption="Provinsi" numFmtId="0" hierarchy="11" level="1">
      <sharedItems count="4">
        <s v="DKI Jakarta"/>
        <s v="Jawa Timur"/>
        <s v="Sulawesi Selatan"/>
        <s v="Sumatera Utara"/>
      </sharedItems>
    </cacheField>
    <cacheField name="[Liburan].[Nama Liburan].[Nama Liburan]" caption="Nama Liburan" numFmtId="0" hierarchy="6" level="1">
      <sharedItems containsBlank="1" count="19">
        <s v="Cuti bersama Idul Fitri 1438 Hijriyah"/>
        <s v="Cuti bersama Natal"/>
        <s v="Cuti bersama Tahun Baru 2017 Masehi"/>
        <s v="Hari Kemerdekaan RI"/>
        <s v="Hari Lahir Pancasila"/>
        <s v="Hari Raya Idul Adha 1438 Hijriah"/>
        <s v="Hari Raya Idul Fitri 1438 Hijriah"/>
        <s v="Hari Raya Natal"/>
        <s v="Hari Raya Nyepi Tahun Baru Saka 1939"/>
        <s v="Hari Raya Waisak 2561"/>
        <s v="Isra Mi’raj Nabi Muhammad SAW"/>
        <s v="Kenaikan Yesus Kristus"/>
        <s v="Maulid Nabi Muhammad SAW"/>
        <s v="May Day / Hari Buruh Internasional"/>
        <s v="Tahun Baru 2017 Masehi"/>
        <s v="Tahun Baru Imlek 2568 Kongzili"/>
        <s v="Tahun Baru Islam 1439 Hijriah"/>
        <s v="Wafat Yesus Kristus"/>
        <m/>
      </sharedItems>
    </cacheField>
    <cacheField name="[Katagori].[Nama Kategori].[Nama Kategori]" caption="Nama Kategori" numFmtId="0" hierarchy="4" level="1">
      <sharedItems containsSemiMixedTypes="0" containsNonDate="0" containsString="0"/>
    </cacheField>
  </cacheFields>
  <cacheHierarchies count="30">
    <cacheHierarchy uniqueName="[dtTransaksi].[Kode Transaksi]" caption="Kode Transaksi" attribute="1" defaultMemberUniqueName="[dtTransaksi].[Kode Transaksi].[All]" allUniqueName="[dtTransaksi].[Kode Transaksi].[All]" dimensionUniqueName="[dtTransaksi]" displayFolder="" count="0" memberValueDatatype="130" unbalanced="0"/>
    <cacheHierarchy uniqueName="[dtTransaksi].[Urutan]" caption="Urutan" attribute="1" defaultMemberUniqueName="[dtTransaksi].[Urutan].[All]" allUniqueName="[dtTransaksi].[Urutan].[All]" dimensionUniqueName="[dtTransaksi]" displayFolder="" count="0" memberValueDatatype="20" unbalanced="0"/>
    <cacheHierarchy uniqueName="[dtTransaksi].[Jumlah Pembelian]" caption="Jumlah Pembelian" attribute="1" defaultMemberUniqueName="[dtTransaksi].[Jumlah Pembelian].[All]" allUniqueName="[dtTransaksi].[Jumlah Pembelian].[All]" dimensionUniqueName="[dtTransaksi]" displayFolder="" count="0" memberValueDatatype="20" unbalanced="0"/>
    <cacheHierarchy uniqueName="[Katagori].[Kode Kategori]" caption="Kode Kategori" attribute="1" defaultMemberUniqueName="[Katagori].[Kode Kategori].[All]" allUniqueName="[Katagori].[Kode Kategori].[All]" dimensionUniqueName="[Katagori]" displayFolder="" count="0"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fieldsUsage count="2">
        <fieldUsage x="-1"/>
        <fieldUsage x="4"/>
      </fieldsUsage>
    </cacheHierarchy>
    <cacheHierarchy uniqueName="[Liburan].[Tanggal]" caption="Tanggal" attribute="1" time="1" defaultMemberUniqueName="[Liburan].[Tanggal].[All]" allUniqueName="[Liburan].[Tanggal].[All]" dimensionUniqueName="[Liburan]" displayFolder="" count="0" memberValueDatatype="7" unbalanced="0"/>
    <cacheHierarchy uniqueName="[Liburan].[Nama Liburan]" caption="Nama Liburan" attribute="1" defaultMemberUniqueName="[Liburan].[Nama Liburan].[All]" allUniqueName="[Liburan].[Nama Liburan].[All]" dimensionUniqueName="[Liburan]" displayFolder="" count="2" memberValueDatatype="130" unbalanced="0">
      <fieldsUsage count="2">
        <fieldUsage x="-1"/>
        <fieldUsage x="3"/>
      </fieldsUsage>
    </cacheHierarchy>
    <cacheHierarchy uniqueName="[Liburan].[Tipe]" caption="Tipe" attribute="1" defaultMemberUniqueName="[Liburan].[Tipe].[All]" allUniqueName="[Liburan].[Tipe].[All]" dimensionUniqueName="[Liburan]" displayFolder="" count="0" memberValueDatatype="130" unbalanced="0"/>
    <cacheHierarchy uniqueName="[MasterCabang].[Kode Cabang]" caption="Kode Cabang" attribute="1" defaultMemberUniqueName="[MasterCabang].[Kode Cabang].[All]" allUniqueName="[MasterCabang].[Kode Cabang].[All]" dimensionUniqueName="[MasterCabang]" displayFolder="" count="0" memberValueDatatype="130" unbalanced="0"/>
    <cacheHierarchy uniqueName="[MasterCabang].[Nama Cabang]" caption="Nama Cabang" attribute="1" defaultMemberUniqueName="[MasterCabang].[Nama Cabang].[All]" allUniqueName="[MasterCabang].[Nama Cabang].[All]" dimensionUniqueName="[MasterCabang]" displayFolder="" count="2" memberValueDatatype="130" unbalanced="0">
      <fieldsUsage count="2">
        <fieldUsage x="-1"/>
        <fieldUsage x="0"/>
      </fieldsUsage>
    </cacheHierarchy>
    <cacheHierarchy uniqueName="[MasterCabang].[Lokasi]" caption="Lokasi" attribute="1" defaultMemberUniqueName="[MasterCabang].[Lokasi].[All]" allUniqueName="[MasterCabang].[Lokasi].[All]" dimensionUniqueName="[MasterCabang]" displayFolder="" count="0" memberValueDatatype="130" unbalanced="0"/>
    <cacheHierarchy uniqueName="[MasterCabang].[Provinsi]" caption="Provinsi" attribute="1" defaultMemberUniqueName="[MasterCabang].[Provinsi].[All]" allUniqueName="[MasterCabang].[Provinsi].[All]" dimensionUniqueName="[MasterCabang]" displayFolder="" count="2" memberValueDatatype="130" unbalanced="0">
      <fieldsUsage count="2">
        <fieldUsage x="-1"/>
        <fieldUsage x="2"/>
      </fieldsUsage>
    </cacheHierarchy>
    <cacheHierarchy uniqueName="[MasterProduk].[No.]" caption="No." attribute="1" defaultMemberUniqueName="[MasterProduk].[No.].[All]" allUniqueName="[MasterProduk].[No.].[All]" dimensionUniqueName="[MasterProduk]" displayFolder="" count="0" memberValueDatatype="20" unbalanced="0"/>
    <cacheHierarchy uniqueName="[MasterProduk].[Kode Produk Final]" caption="Kode Produk Final" attribute="1" defaultMemberUniqueName="[MasterProduk].[Kode Produk Final].[All]" allUniqueName="[MasterProduk].[Kode Produk Final].[All]" dimensionUniqueName="[MasterProduk]" displayFolder="" count="0" memberValueDatatype="130" unbalanced="0"/>
    <cacheHierarchy uniqueName="[MasterProduk].[Kategori]" caption="Kategori" attribute="1" defaultMemberUniqueName="[MasterProduk].[Kategori].[All]" allUniqueName="[MasterProduk].[Kategori].[All]" dimensionUniqueName="[MasterProduk]" displayFolder="" count="0" memberValueDatatype="130" unbalanced="0"/>
    <cacheHierarchy uniqueName="[MasterProduk].[Nama Produk]" caption="Nama Produk" attribute="1" defaultMemberUniqueName="[MasterProduk].[Nama Produk].[All]" allUniqueName="[MasterProduk].[Nama Produk].[All]" dimensionUniqueName="[MasterProduk]" displayFolder="" count="0" memberValueDatatype="130" unbalanced="0"/>
    <cacheHierarchy uniqueName="[MasterProduk].[Harga]" caption="Harga" attribute="1" defaultMemberUniqueName="[MasterProduk].[Harga].[All]" allUniqueName="[MasterProduk].[Harga].[All]" dimensionUniqueName="[MasterProduk]" displayFolder="" count="0" memberValueDatatype="20" unbalanced="0"/>
    <cacheHierarchy uniqueName="[dtTransaksi].[Kode Cabang]" caption="Kode Cabang" attribute="1" defaultMemberUniqueName="[dtTransaksi].[Kode Cabang].[All]" allUniqueName="[dtTransaksi].[Kode Cabang].[All]" dimensionUniqueName="[dtTransaksi]" displayFolder="" count="0" memberValueDatatype="130" unbalanced="0" hidden="1"/>
    <cacheHierarchy uniqueName="[dtTransaksi].[Kode Kategori]" caption="Kode Kategori" attribute="1" defaultMemberUniqueName="[dtTransaksi].[Kode Kategori].[All]" allUniqueName="[dtTransaksi].[Kode Kategori].[All]" dimensionUniqueName="[dtTransaksi]" displayFolder="" count="0" memberValueDatatype="130" unbalanced="0" hidden="1"/>
    <cacheHierarchy uniqueName="[dtTransaksi].[Kode Produk]" caption="Kode Produk" attribute="1" defaultMemberUniqueName="[dtTransaksi].[Kode Produk].[All]" allUniqueName="[dtTransaksi].[Kode Produk].[All]" dimensionUniqueName="[dtTransaksi]" displayFolder="" count="0"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0"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cacheHierarchy uniqueName="[Measures].[Pendapatan]" caption="Pendapatan" measure="1" displayFolder="" measureGroup="dtTransaksi" count="0" oneField="1">
      <fieldsUsage count="1">
        <fieldUsage x="1"/>
      </fieldsUsage>
    </cacheHierarchy>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dimensions count="6">
    <dimension name="dtTransaksi" uniqueName="[dtTransaksi]" caption="dtTransaksi"/>
    <dimension name="Katagori" uniqueName="[Katagori]" caption="Katagori"/>
    <dimension name="Liburan" uniqueName="[Liburan]" caption="Liburan"/>
    <dimension name="MasterCabang" uniqueName="[MasterCabang]" caption="MasterCabang"/>
    <dimension name="MasterProduk" uniqueName="[MasterProduk]" caption="MasterProduk"/>
    <dimension measure="1" name="Measures" uniqueName="[Measures]" caption="Measures"/>
  </dimensions>
  <measureGroups count="5">
    <measureGroup name="dtTransaksi" caption="dtTransaksi"/>
    <measureGroup name="Katagori" caption="Katagori"/>
    <measureGroup name="Liburan" caption="Liburan"/>
    <measureGroup name="MasterCabang" caption="MasterCabang"/>
    <measureGroup name="MasterProduk" caption="MasterProduk"/>
  </measureGroups>
  <maps count="9">
    <map measureGroup="0" dimension="0"/>
    <map measureGroup="0" dimension="1"/>
    <map measureGroup="0" dimension="2"/>
    <map measureGroup="0" dimension="3"/>
    <map measureGroup="0" dimension="4"/>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5.38271539352" createdVersion="8" refreshedVersion="7" minRefreshableVersion="3" recordCount="0" supportSubquery="1" supportAdvancedDrill="1" xr:uid="{0519BDE6-9D81-4D51-A0F9-5A02C7CCACBA}">
  <cacheSource type="external" connectionId="2"/>
  <cacheFields count="4">
    <cacheField name="[MasterCabang].[Nama Cabang].[Nama Cabang]" caption="Nama Cabang" numFmtId="0" hierarchy="9" level="1">
      <sharedItems count="4">
        <s v="Cabang Jakarta"/>
        <s v="Cabang Makasar"/>
        <s v="Cabang Medan"/>
        <s v="Cabang Surabaya"/>
      </sharedItems>
    </cacheField>
    <cacheField name="[Measures].[Pendapatan]" caption="Pendapatan" numFmtId="0" hierarchy="23" level="32767"/>
    <cacheField name="[Liburan].[Nama Liburan].[Nama Liburan]" caption="Nama Liburan" numFmtId="0" hierarchy="6" level="1">
      <sharedItems containsSemiMixedTypes="0" containsNonDate="0" containsString="0"/>
    </cacheField>
    <cacheField name="[Katagori].[Nama Kategori].[Nama Kategori]" caption="Nama Kategori" numFmtId="0" hierarchy="4" level="1">
      <sharedItems containsSemiMixedTypes="0" containsNonDate="0" containsString="0"/>
    </cacheField>
  </cacheFields>
  <cacheHierarchies count="30">
    <cacheHierarchy uniqueName="[dtTransaksi].[Kode Transaksi]" caption="Kode Transaksi" attribute="1" defaultMemberUniqueName="[dtTransaksi].[Kode Transaksi].[All]" allUniqueName="[dtTransaksi].[Kode Transaksi].[All]" dimensionUniqueName="[dtTransaksi]" displayFolder="" count="0" memberValueDatatype="130" unbalanced="0"/>
    <cacheHierarchy uniqueName="[dtTransaksi].[Urutan]" caption="Urutan" attribute="1" defaultMemberUniqueName="[dtTransaksi].[Urutan].[All]" allUniqueName="[dtTransaksi].[Urutan].[All]" dimensionUniqueName="[dtTransaksi]" displayFolder="" count="0" memberValueDatatype="20" unbalanced="0"/>
    <cacheHierarchy uniqueName="[dtTransaksi].[Jumlah Pembelian]" caption="Jumlah Pembelian" attribute="1" defaultMemberUniqueName="[dtTransaksi].[Jumlah Pembelian].[All]" allUniqueName="[dtTransaksi].[Jumlah Pembelian].[All]" dimensionUniqueName="[dtTransaksi]" displayFolder="" count="0" memberValueDatatype="20" unbalanced="0"/>
    <cacheHierarchy uniqueName="[Katagori].[Kode Kategori]" caption="Kode Kategori" attribute="1" defaultMemberUniqueName="[Katagori].[Kode Kategori].[All]" allUniqueName="[Katagori].[Kode Kategori].[All]" dimensionUniqueName="[Katagori]" displayFolder="" count="0"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fieldsUsage count="2">
        <fieldUsage x="-1"/>
        <fieldUsage x="3"/>
      </fieldsUsage>
    </cacheHierarchy>
    <cacheHierarchy uniqueName="[Liburan].[Tanggal]" caption="Tanggal" attribute="1" time="1" defaultMemberUniqueName="[Liburan].[Tanggal].[All]" allUniqueName="[Liburan].[Tanggal].[All]" dimensionUniqueName="[Liburan]" displayFolder="" count="0" memberValueDatatype="7" unbalanced="0"/>
    <cacheHierarchy uniqueName="[Liburan].[Nama Liburan]" caption="Nama Liburan" attribute="1" defaultMemberUniqueName="[Liburan].[Nama Liburan].[All]" allUniqueName="[Liburan].[Nama Liburan].[All]" dimensionUniqueName="[Liburan]" displayFolder="" count="2" memberValueDatatype="130" unbalanced="0">
      <fieldsUsage count="2">
        <fieldUsage x="-1"/>
        <fieldUsage x="2"/>
      </fieldsUsage>
    </cacheHierarchy>
    <cacheHierarchy uniqueName="[Liburan].[Tipe]" caption="Tipe" attribute="1" defaultMemberUniqueName="[Liburan].[Tipe].[All]" allUniqueName="[Liburan].[Tipe].[All]" dimensionUniqueName="[Liburan]" displayFolder="" count="0" memberValueDatatype="130" unbalanced="0"/>
    <cacheHierarchy uniqueName="[MasterCabang].[Kode Cabang]" caption="Kode Cabang" attribute="1" defaultMemberUniqueName="[MasterCabang].[Kode Cabang].[All]" allUniqueName="[MasterCabang].[Kode Cabang].[All]" dimensionUniqueName="[MasterCabang]" displayFolder="" count="0" memberValueDatatype="130" unbalanced="0"/>
    <cacheHierarchy uniqueName="[MasterCabang].[Nama Cabang]" caption="Nama Cabang" attribute="1" defaultMemberUniqueName="[MasterCabang].[Nama Cabang].[All]" allUniqueName="[MasterCabang].[Nama Cabang].[All]" dimensionUniqueName="[MasterCabang]" displayFolder="" count="2" memberValueDatatype="130" unbalanced="0">
      <fieldsUsage count="2">
        <fieldUsage x="-1"/>
        <fieldUsage x="0"/>
      </fieldsUsage>
    </cacheHierarchy>
    <cacheHierarchy uniqueName="[MasterCabang].[Lokasi]" caption="Lokasi" attribute="1" defaultMemberUniqueName="[MasterCabang].[Lokasi].[All]" allUniqueName="[MasterCabang].[Lokasi].[All]" dimensionUniqueName="[MasterCabang]" displayFolder="" count="0" memberValueDatatype="130" unbalanced="0"/>
    <cacheHierarchy uniqueName="[MasterCabang].[Provinsi]" caption="Provinsi" attribute="1" defaultMemberUniqueName="[MasterCabang].[Provinsi].[All]" allUniqueName="[MasterCabang].[Provinsi].[All]" dimensionUniqueName="[MasterCabang]" displayFolder="" count="0" memberValueDatatype="130" unbalanced="0"/>
    <cacheHierarchy uniqueName="[MasterProduk].[No.]" caption="No." attribute="1" defaultMemberUniqueName="[MasterProduk].[No.].[All]" allUniqueName="[MasterProduk].[No.].[All]" dimensionUniqueName="[MasterProduk]" displayFolder="" count="0" memberValueDatatype="20" unbalanced="0"/>
    <cacheHierarchy uniqueName="[MasterProduk].[Kode Produk Final]" caption="Kode Produk Final" attribute="1" defaultMemberUniqueName="[MasterProduk].[Kode Produk Final].[All]" allUniqueName="[MasterProduk].[Kode Produk Final].[All]" dimensionUniqueName="[MasterProduk]" displayFolder="" count="0" memberValueDatatype="130" unbalanced="0"/>
    <cacheHierarchy uniqueName="[MasterProduk].[Kategori]" caption="Kategori" attribute="1" defaultMemberUniqueName="[MasterProduk].[Kategori].[All]" allUniqueName="[MasterProduk].[Kategori].[All]" dimensionUniqueName="[MasterProduk]" displayFolder="" count="0" memberValueDatatype="130" unbalanced="0"/>
    <cacheHierarchy uniqueName="[MasterProduk].[Nama Produk]" caption="Nama Produk" attribute="1" defaultMemberUniqueName="[MasterProduk].[Nama Produk].[All]" allUniqueName="[MasterProduk].[Nama Produk].[All]" dimensionUniqueName="[MasterProduk]" displayFolder="" count="0" memberValueDatatype="130" unbalanced="0"/>
    <cacheHierarchy uniqueName="[MasterProduk].[Harga]" caption="Harga" attribute="1" defaultMemberUniqueName="[MasterProduk].[Harga].[All]" allUniqueName="[MasterProduk].[Harga].[All]" dimensionUniqueName="[MasterProduk]" displayFolder="" count="0" memberValueDatatype="20" unbalanced="0"/>
    <cacheHierarchy uniqueName="[dtTransaksi].[Kode Cabang]" caption="Kode Cabang" attribute="1" defaultMemberUniqueName="[dtTransaksi].[Kode Cabang].[All]" allUniqueName="[dtTransaksi].[Kode Cabang].[All]" dimensionUniqueName="[dtTransaksi]" displayFolder="" count="0" memberValueDatatype="130" unbalanced="0" hidden="1"/>
    <cacheHierarchy uniqueName="[dtTransaksi].[Kode Kategori]" caption="Kode Kategori" attribute="1" defaultMemberUniqueName="[dtTransaksi].[Kode Kategori].[All]" allUniqueName="[dtTransaksi].[Kode Kategori].[All]" dimensionUniqueName="[dtTransaksi]" displayFolder="" count="0" memberValueDatatype="130" unbalanced="0" hidden="1"/>
    <cacheHierarchy uniqueName="[dtTransaksi].[Kode Produk]" caption="Kode Produk" attribute="1" defaultMemberUniqueName="[dtTransaksi].[Kode Produk].[All]" allUniqueName="[dtTransaksi].[Kode Produk].[All]" dimensionUniqueName="[dtTransaksi]" displayFolder="" count="0"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0"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cacheHierarchy uniqueName="[Measures].[Pendapatan]" caption="Pendapatan" measure="1" displayFolder="" measureGroup="dtTransaksi" count="0" oneField="1">
      <fieldsUsage count="1">
        <fieldUsage x="1"/>
      </fieldsUsage>
    </cacheHierarchy>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dimensions count="6">
    <dimension name="dtTransaksi" uniqueName="[dtTransaksi]" caption="dtTransaksi"/>
    <dimension name="Katagori" uniqueName="[Katagori]" caption="Katagori"/>
    <dimension name="Liburan" uniqueName="[Liburan]" caption="Liburan"/>
    <dimension name="MasterCabang" uniqueName="[MasterCabang]" caption="MasterCabang"/>
    <dimension name="MasterProduk" uniqueName="[MasterProduk]" caption="MasterProduk"/>
    <dimension measure="1" name="Measures" uniqueName="[Measures]" caption="Measures"/>
  </dimensions>
  <measureGroups count="5">
    <measureGroup name="dtTransaksi" caption="dtTransaksi"/>
    <measureGroup name="Katagori" caption="Katagori"/>
    <measureGroup name="Liburan" caption="Liburan"/>
    <measureGroup name="MasterCabang" caption="MasterCabang"/>
    <measureGroup name="MasterProduk" caption="MasterProduk"/>
  </measureGroups>
  <maps count="9">
    <map measureGroup="0" dimension="0"/>
    <map measureGroup="0" dimension="1"/>
    <map measureGroup="0" dimension="2"/>
    <map measureGroup="0" dimension="3"/>
    <map measureGroup="0" dimension="4"/>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5.382715856482" createdVersion="8" refreshedVersion="7" minRefreshableVersion="3" recordCount="0" supportSubquery="1" supportAdvancedDrill="1" xr:uid="{4E8C5228-C7CB-44D9-9B3C-B3D27FAF53BE}">
  <cacheSource type="external" connectionId="2"/>
  <cacheFields count="6">
    <cacheField name="[MasterCabang].[Nama Cabang].[Nama Cabang]" caption="Nama Cabang" numFmtId="0" hierarchy="9" level="1">
      <sharedItems containsSemiMixedTypes="0" containsNonDate="0" containsString="0"/>
    </cacheField>
    <cacheField name="[Measures].[Pendapatan]" caption="Pendapatan" numFmtId="0" hierarchy="23" level="32767"/>
    <cacheField name="[MasterCabang].[Provinsi].[Provinsi]" caption="Provinsi" numFmtId="0" hierarchy="11" level="1">
      <sharedItems count="4">
        <s v="DKI Jakarta"/>
        <s v="Jawa Timur"/>
        <s v="Sulawesi Selatan"/>
        <s v="Sumatera Utara"/>
      </sharedItems>
    </cacheField>
    <cacheField name="[Liburan].[Nama Liburan].[Nama Liburan]" caption="Nama Liburan" numFmtId="0" hierarchy="6" level="1">
      <sharedItems containsBlank="1" count="19">
        <s v="Cuti bersama Idul Fitri 1438 Hijriyah"/>
        <s v="Cuti bersama Natal"/>
        <s v="Cuti bersama Tahun Baru 2017 Masehi"/>
        <s v="Hari Kemerdekaan RI"/>
        <s v="Hari Lahir Pancasila"/>
        <s v="Hari Raya Idul Adha 1438 Hijriah"/>
        <s v="Hari Raya Idul Fitri 1438 Hijriah"/>
        <s v="Hari Raya Natal"/>
        <s v="Hari Raya Nyepi Tahun Baru Saka 1939"/>
        <s v="Hari Raya Waisak 2561"/>
        <s v="Isra Mi’raj Nabi Muhammad SAW"/>
        <s v="Kenaikan Yesus Kristus"/>
        <s v="Maulid Nabi Muhammad SAW"/>
        <s v="May Day / Hari Buruh Internasional"/>
        <s v="Tahun Baru 2017 Masehi"/>
        <s v="Tahun Baru Imlek 2568 Kongzili"/>
        <s v="Tahun Baru Islam 1439 Hijriah"/>
        <s v="Wafat Yesus Kristus"/>
        <m/>
      </sharedItems>
    </cacheField>
    <cacheField name="[MasterProduk].[Nama Produk].[Nama Produk]" caption="Nama Produk" numFmtId="0" hierarchy="15" level="1">
      <sharedItems count="5">
        <s v="Celana Jeans"/>
        <s v="Celana Panjang"/>
        <s v="Hot Pants"/>
        <s v="Legging"/>
        <s v="Rok"/>
      </sharedItems>
    </cacheField>
    <cacheField name="[Katagori].[Nama Kategori].[Nama Kategori]" caption="Nama Kategori" numFmtId="0" hierarchy="4" level="1">
      <sharedItems containsSemiMixedTypes="0" containsNonDate="0" containsString="0"/>
    </cacheField>
  </cacheFields>
  <cacheHierarchies count="30">
    <cacheHierarchy uniqueName="[dtTransaksi].[Kode Transaksi]" caption="Kode Transaksi" attribute="1" defaultMemberUniqueName="[dtTransaksi].[Kode Transaksi].[All]" allUniqueName="[dtTransaksi].[Kode Transaksi].[All]" dimensionUniqueName="[dtTransaksi]" displayFolder="" count="0" memberValueDatatype="130" unbalanced="0"/>
    <cacheHierarchy uniqueName="[dtTransaksi].[Urutan]" caption="Urutan" attribute="1" defaultMemberUniqueName="[dtTransaksi].[Urutan].[All]" allUniqueName="[dtTransaksi].[Urutan].[All]" dimensionUniqueName="[dtTransaksi]" displayFolder="" count="0" memberValueDatatype="20" unbalanced="0"/>
    <cacheHierarchy uniqueName="[dtTransaksi].[Jumlah Pembelian]" caption="Jumlah Pembelian" attribute="1" defaultMemberUniqueName="[dtTransaksi].[Jumlah Pembelian].[All]" allUniqueName="[dtTransaksi].[Jumlah Pembelian].[All]" dimensionUniqueName="[dtTransaksi]" displayFolder="" count="0" memberValueDatatype="20" unbalanced="0"/>
    <cacheHierarchy uniqueName="[Katagori].[Kode Kategori]" caption="Kode Kategori" attribute="1" defaultMemberUniqueName="[Katagori].[Kode Kategori].[All]" allUniqueName="[Katagori].[Kode Kategori].[All]" dimensionUniqueName="[Katagori]" displayFolder="" count="0"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fieldsUsage count="2">
        <fieldUsage x="-1"/>
        <fieldUsage x="5"/>
      </fieldsUsage>
    </cacheHierarchy>
    <cacheHierarchy uniqueName="[Liburan].[Tanggal]" caption="Tanggal" attribute="1" time="1" defaultMemberUniqueName="[Liburan].[Tanggal].[All]" allUniqueName="[Liburan].[Tanggal].[All]" dimensionUniqueName="[Liburan]" displayFolder="" count="0" memberValueDatatype="7" unbalanced="0"/>
    <cacheHierarchy uniqueName="[Liburan].[Nama Liburan]" caption="Nama Liburan" attribute="1" defaultMemberUniqueName="[Liburan].[Nama Liburan].[All]" allUniqueName="[Liburan].[Nama Liburan].[All]" dimensionUniqueName="[Liburan]" displayFolder="" count="2" memberValueDatatype="130" unbalanced="0">
      <fieldsUsage count="2">
        <fieldUsage x="-1"/>
        <fieldUsage x="3"/>
      </fieldsUsage>
    </cacheHierarchy>
    <cacheHierarchy uniqueName="[Liburan].[Tipe]" caption="Tipe" attribute="1" defaultMemberUniqueName="[Liburan].[Tipe].[All]" allUniqueName="[Liburan].[Tipe].[All]" dimensionUniqueName="[Liburan]" displayFolder="" count="0" memberValueDatatype="130" unbalanced="0"/>
    <cacheHierarchy uniqueName="[MasterCabang].[Kode Cabang]" caption="Kode Cabang" attribute="1" defaultMemberUniqueName="[MasterCabang].[Kode Cabang].[All]" allUniqueName="[MasterCabang].[Kode Cabang].[All]" dimensionUniqueName="[MasterCabang]" displayFolder="" count="0" memberValueDatatype="130" unbalanced="0"/>
    <cacheHierarchy uniqueName="[MasterCabang].[Nama Cabang]" caption="Nama Cabang" attribute="1" defaultMemberUniqueName="[MasterCabang].[Nama Cabang].[All]" allUniqueName="[MasterCabang].[Nama Cabang].[All]" dimensionUniqueName="[MasterCabang]" displayFolder="" count="2" memberValueDatatype="130" unbalanced="0">
      <fieldsUsage count="2">
        <fieldUsage x="-1"/>
        <fieldUsage x="0"/>
      </fieldsUsage>
    </cacheHierarchy>
    <cacheHierarchy uniqueName="[MasterCabang].[Lokasi]" caption="Lokasi" attribute="1" defaultMemberUniqueName="[MasterCabang].[Lokasi].[All]" allUniqueName="[MasterCabang].[Lokasi].[All]" dimensionUniqueName="[MasterCabang]" displayFolder="" count="0" memberValueDatatype="130" unbalanced="0"/>
    <cacheHierarchy uniqueName="[MasterCabang].[Provinsi]" caption="Provinsi" attribute="1" defaultMemberUniqueName="[MasterCabang].[Provinsi].[All]" allUniqueName="[MasterCabang].[Provinsi].[All]" dimensionUniqueName="[MasterCabang]" displayFolder="" count="2" memberValueDatatype="130" unbalanced="0">
      <fieldsUsage count="2">
        <fieldUsage x="-1"/>
        <fieldUsage x="2"/>
      </fieldsUsage>
    </cacheHierarchy>
    <cacheHierarchy uniqueName="[MasterProduk].[No.]" caption="No." attribute="1" defaultMemberUniqueName="[MasterProduk].[No.].[All]" allUniqueName="[MasterProduk].[No.].[All]" dimensionUniqueName="[MasterProduk]" displayFolder="" count="0" memberValueDatatype="20" unbalanced="0"/>
    <cacheHierarchy uniqueName="[MasterProduk].[Kode Produk Final]" caption="Kode Produk Final" attribute="1" defaultMemberUniqueName="[MasterProduk].[Kode Produk Final].[All]" allUniqueName="[MasterProduk].[Kode Produk Final].[All]" dimensionUniqueName="[MasterProduk]" displayFolder="" count="0" memberValueDatatype="130" unbalanced="0"/>
    <cacheHierarchy uniqueName="[MasterProduk].[Kategori]" caption="Kategori" attribute="1" defaultMemberUniqueName="[MasterProduk].[Kategori].[All]" allUniqueName="[MasterProduk].[Kategori].[All]" dimensionUniqueName="[MasterProduk]" displayFolder="" count="0" memberValueDatatype="130" unbalanced="0"/>
    <cacheHierarchy uniqueName="[MasterProduk].[Nama Produk]" caption="Nama Produk" attribute="1" defaultMemberUniqueName="[MasterProduk].[Nama Produk].[All]" allUniqueName="[MasterProduk].[Nama Produk].[All]" dimensionUniqueName="[MasterProduk]" displayFolder="" count="2" memberValueDatatype="130" unbalanced="0">
      <fieldsUsage count="2">
        <fieldUsage x="-1"/>
        <fieldUsage x="4"/>
      </fieldsUsage>
    </cacheHierarchy>
    <cacheHierarchy uniqueName="[MasterProduk].[Harga]" caption="Harga" attribute="1" defaultMemberUniqueName="[MasterProduk].[Harga].[All]" allUniqueName="[MasterProduk].[Harga].[All]" dimensionUniqueName="[MasterProduk]" displayFolder="" count="0" memberValueDatatype="20" unbalanced="0"/>
    <cacheHierarchy uniqueName="[dtTransaksi].[Kode Cabang]" caption="Kode Cabang" attribute="1" defaultMemberUniqueName="[dtTransaksi].[Kode Cabang].[All]" allUniqueName="[dtTransaksi].[Kode Cabang].[All]" dimensionUniqueName="[dtTransaksi]" displayFolder="" count="0" memberValueDatatype="130" unbalanced="0" hidden="1"/>
    <cacheHierarchy uniqueName="[dtTransaksi].[Kode Kategori]" caption="Kode Kategori" attribute="1" defaultMemberUniqueName="[dtTransaksi].[Kode Kategori].[All]" allUniqueName="[dtTransaksi].[Kode Kategori].[All]" dimensionUniqueName="[dtTransaksi]" displayFolder="" count="0" memberValueDatatype="130" unbalanced="0" hidden="1"/>
    <cacheHierarchy uniqueName="[dtTransaksi].[Kode Produk]" caption="Kode Produk" attribute="1" defaultMemberUniqueName="[dtTransaksi].[Kode Produk].[All]" allUniqueName="[dtTransaksi].[Kode Produk].[All]" dimensionUniqueName="[dtTransaksi]" displayFolder="" count="0"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0"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cacheHierarchy uniqueName="[Measures].[Pendapatan]" caption="Pendapatan" measure="1" displayFolder="" measureGroup="dtTransaksi" count="0" oneField="1">
      <fieldsUsage count="1">
        <fieldUsage x="1"/>
      </fieldsUsage>
    </cacheHierarchy>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dimensions count="6">
    <dimension name="dtTransaksi" uniqueName="[dtTransaksi]" caption="dtTransaksi"/>
    <dimension name="Katagori" uniqueName="[Katagori]" caption="Katagori"/>
    <dimension name="Liburan" uniqueName="[Liburan]" caption="Liburan"/>
    <dimension name="MasterCabang" uniqueName="[MasterCabang]" caption="MasterCabang"/>
    <dimension name="MasterProduk" uniqueName="[MasterProduk]" caption="MasterProduk"/>
    <dimension measure="1" name="Measures" uniqueName="[Measures]" caption="Measures"/>
  </dimensions>
  <measureGroups count="5">
    <measureGroup name="dtTransaksi" caption="dtTransaksi"/>
    <measureGroup name="Katagori" caption="Katagori"/>
    <measureGroup name="Liburan" caption="Liburan"/>
    <measureGroup name="MasterCabang" caption="MasterCabang"/>
    <measureGroup name="MasterProduk" caption="MasterProduk"/>
  </measureGroups>
  <maps count="9">
    <map measureGroup="0" dimension="0"/>
    <map measureGroup="0" dimension="1"/>
    <map measureGroup="0" dimension="2"/>
    <map measureGroup="0" dimension="3"/>
    <map measureGroup="0" dimension="4"/>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5.382716435182" createdVersion="8" refreshedVersion="7" minRefreshableVersion="3" recordCount="0" supportSubquery="1" supportAdvancedDrill="1" xr:uid="{5D2F7FBF-F05F-402F-9037-75AF5E87D676}">
  <cacheSource type="external" connectionId="2"/>
  <cacheFields count="4">
    <cacheField name="[MasterCabang].[Nama Cabang].[Nama Cabang]" caption="Nama Cabang" numFmtId="0" hierarchy="9" level="1">
      <sharedItems count="1">
        <s v="Cabang Medan"/>
      </sharedItems>
    </cacheField>
    <cacheField name="[Measures].[Pendapatan]" caption="Pendapatan" numFmtId="0" hierarchy="23" level="32767"/>
    <cacheField name="[MasterCabang].[Provinsi].[Provinsi]" caption="Provinsi" numFmtId="0" hierarchy="11" level="1">
      <sharedItems count="4">
        <s v="DKI Jakarta"/>
        <s v="Jawa Timur"/>
        <s v="Sulawesi Selatan"/>
        <s v="Sumatera Utara"/>
      </sharedItems>
    </cacheField>
    <cacheField name="[Katagori].[Nama Kategori].[Nama Kategori]" caption="Nama Kategori" numFmtId="0" hierarchy="4" level="1">
      <sharedItems containsSemiMixedTypes="0" containsNonDate="0" containsString="0"/>
    </cacheField>
  </cacheFields>
  <cacheHierarchies count="30">
    <cacheHierarchy uniqueName="[dtTransaksi].[Kode Transaksi]" caption="Kode Transaksi" attribute="1" defaultMemberUniqueName="[dtTransaksi].[Kode Transaksi].[All]" allUniqueName="[dtTransaksi].[Kode Transaksi].[All]" dimensionUniqueName="[dtTransaksi]" displayFolder="" count="0" memberValueDatatype="130" unbalanced="0"/>
    <cacheHierarchy uniqueName="[dtTransaksi].[Urutan]" caption="Urutan" attribute="1" defaultMemberUniqueName="[dtTransaksi].[Urutan].[All]" allUniqueName="[dtTransaksi].[Urutan].[All]" dimensionUniqueName="[dtTransaksi]" displayFolder="" count="0" memberValueDatatype="20" unbalanced="0"/>
    <cacheHierarchy uniqueName="[dtTransaksi].[Jumlah Pembelian]" caption="Jumlah Pembelian" attribute="1" defaultMemberUniqueName="[dtTransaksi].[Jumlah Pembelian].[All]" allUniqueName="[dtTransaksi].[Jumlah Pembelian].[All]" dimensionUniqueName="[dtTransaksi]" displayFolder="" count="0" memberValueDatatype="20" unbalanced="0"/>
    <cacheHierarchy uniqueName="[Katagori].[Kode Kategori]" caption="Kode Kategori" attribute="1" defaultMemberUniqueName="[Katagori].[Kode Kategori].[All]" allUniqueName="[Katagori].[Kode Kategori].[All]" dimensionUniqueName="[Katagori]" displayFolder="" count="0"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fieldsUsage count="2">
        <fieldUsage x="-1"/>
        <fieldUsage x="3"/>
      </fieldsUsage>
    </cacheHierarchy>
    <cacheHierarchy uniqueName="[Liburan].[Tanggal]" caption="Tanggal" attribute="1" time="1" defaultMemberUniqueName="[Liburan].[Tanggal].[All]" allUniqueName="[Liburan].[Tanggal].[All]" dimensionUniqueName="[Liburan]" displayFolder="" count="0" memberValueDatatype="7" unbalanced="0"/>
    <cacheHierarchy uniqueName="[Liburan].[Nama Liburan]" caption="Nama Liburan" attribute="1" defaultMemberUniqueName="[Liburan].[Nama Liburan].[All]" allUniqueName="[Liburan].[Nama Liburan].[All]" dimensionUniqueName="[Liburan]" displayFolder="" count="0" memberValueDatatype="130" unbalanced="0"/>
    <cacheHierarchy uniqueName="[Liburan].[Tipe]" caption="Tipe" attribute="1" defaultMemberUniqueName="[Liburan].[Tipe].[All]" allUniqueName="[Liburan].[Tipe].[All]" dimensionUniqueName="[Liburan]" displayFolder="" count="0" memberValueDatatype="130" unbalanced="0"/>
    <cacheHierarchy uniqueName="[MasterCabang].[Kode Cabang]" caption="Kode Cabang" attribute="1" defaultMemberUniqueName="[MasterCabang].[Kode Cabang].[All]" allUniqueName="[MasterCabang].[Kode Cabang].[All]" dimensionUniqueName="[MasterCabang]" displayFolder="" count="0" memberValueDatatype="130" unbalanced="0"/>
    <cacheHierarchy uniqueName="[MasterCabang].[Nama Cabang]" caption="Nama Cabang" attribute="1" defaultMemberUniqueName="[MasterCabang].[Nama Cabang].[All]" allUniqueName="[MasterCabang].[Nama Cabang].[All]" dimensionUniqueName="[MasterCabang]" displayFolder="" count="2" memberValueDatatype="130" unbalanced="0">
      <fieldsUsage count="2">
        <fieldUsage x="-1"/>
        <fieldUsage x="0"/>
      </fieldsUsage>
    </cacheHierarchy>
    <cacheHierarchy uniqueName="[MasterCabang].[Lokasi]" caption="Lokasi" attribute="1" defaultMemberUniqueName="[MasterCabang].[Lokasi].[All]" allUniqueName="[MasterCabang].[Lokasi].[All]" dimensionUniqueName="[MasterCabang]" displayFolder="" count="0" memberValueDatatype="130" unbalanced="0"/>
    <cacheHierarchy uniqueName="[MasterCabang].[Provinsi]" caption="Provinsi" attribute="1" defaultMemberUniqueName="[MasterCabang].[Provinsi].[All]" allUniqueName="[MasterCabang].[Provinsi].[All]" dimensionUniqueName="[MasterCabang]" displayFolder="" count="2" memberValueDatatype="130" unbalanced="0">
      <fieldsUsage count="2">
        <fieldUsage x="-1"/>
        <fieldUsage x="2"/>
      </fieldsUsage>
    </cacheHierarchy>
    <cacheHierarchy uniqueName="[MasterProduk].[No.]" caption="No." attribute="1" defaultMemberUniqueName="[MasterProduk].[No.].[All]" allUniqueName="[MasterProduk].[No.].[All]" dimensionUniqueName="[MasterProduk]" displayFolder="" count="0" memberValueDatatype="20" unbalanced="0"/>
    <cacheHierarchy uniqueName="[MasterProduk].[Kode Produk Final]" caption="Kode Produk Final" attribute="1" defaultMemberUniqueName="[MasterProduk].[Kode Produk Final].[All]" allUniqueName="[MasterProduk].[Kode Produk Final].[All]" dimensionUniqueName="[MasterProduk]" displayFolder="" count="0" memberValueDatatype="130" unbalanced="0"/>
    <cacheHierarchy uniqueName="[MasterProduk].[Kategori]" caption="Kategori" attribute="1" defaultMemberUniqueName="[MasterProduk].[Kategori].[All]" allUniqueName="[MasterProduk].[Kategori].[All]" dimensionUniqueName="[MasterProduk]" displayFolder="" count="0" memberValueDatatype="130" unbalanced="0"/>
    <cacheHierarchy uniqueName="[MasterProduk].[Nama Produk]" caption="Nama Produk" attribute="1" defaultMemberUniqueName="[MasterProduk].[Nama Produk].[All]" allUniqueName="[MasterProduk].[Nama Produk].[All]" dimensionUniqueName="[MasterProduk]" displayFolder="" count="0" memberValueDatatype="130" unbalanced="0"/>
    <cacheHierarchy uniqueName="[MasterProduk].[Harga]" caption="Harga" attribute="1" defaultMemberUniqueName="[MasterProduk].[Harga].[All]" allUniqueName="[MasterProduk].[Harga].[All]" dimensionUniqueName="[MasterProduk]" displayFolder="" count="0" memberValueDatatype="20" unbalanced="0"/>
    <cacheHierarchy uniqueName="[dtTransaksi].[Kode Cabang]" caption="Kode Cabang" attribute="1" defaultMemberUniqueName="[dtTransaksi].[Kode Cabang].[All]" allUniqueName="[dtTransaksi].[Kode Cabang].[All]" dimensionUniqueName="[dtTransaksi]" displayFolder="" count="0" memberValueDatatype="130" unbalanced="0" hidden="1"/>
    <cacheHierarchy uniqueName="[dtTransaksi].[Kode Kategori]" caption="Kode Kategori" attribute="1" defaultMemberUniqueName="[dtTransaksi].[Kode Kategori].[All]" allUniqueName="[dtTransaksi].[Kode Kategori].[All]" dimensionUniqueName="[dtTransaksi]" displayFolder="" count="0" memberValueDatatype="130" unbalanced="0" hidden="1"/>
    <cacheHierarchy uniqueName="[dtTransaksi].[Kode Produk]" caption="Kode Produk" attribute="1" defaultMemberUniqueName="[dtTransaksi].[Kode Produk].[All]" allUniqueName="[dtTransaksi].[Kode Produk].[All]" dimensionUniqueName="[dtTransaksi]" displayFolder="" count="0"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0"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cacheHierarchy uniqueName="[Measures].[Pendapatan]" caption="Pendapatan" measure="1" displayFolder="" measureGroup="dtTransaksi" count="0" oneField="1">
      <fieldsUsage count="1">
        <fieldUsage x="1"/>
      </fieldsUsage>
    </cacheHierarchy>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dimensions count="6">
    <dimension name="dtTransaksi" uniqueName="[dtTransaksi]" caption="dtTransaksi"/>
    <dimension name="Katagori" uniqueName="[Katagori]" caption="Katagori"/>
    <dimension name="Liburan" uniqueName="[Liburan]" caption="Liburan"/>
    <dimension name="MasterCabang" uniqueName="[MasterCabang]" caption="MasterCabang"/>
    <dimension name="MasterProduk" uniqueName="[MasterProduk]" caption="MasterProduk"/>
    <dimension measure="1" name="Measures" uniqueName="[Measures]" caption="Measures"/>
  </dimensions>
  <measureGroups count="5">
    <measureGroup name="dtTransaksi" caption="dtTransaksi"/>
    <measureGroup name="Katagori" caption="Katagori"/>
    <measureGroup name="Liburan" caption="Liburan"/>
    <measureGroup name="MasterCabang" caption="MasterCabang"/>
    <measureGroup name="MasterProduk" caption="MasterProduk"/>
  </measureGroups>
  <maps count="9">
    <map measureGroup="0" dimension="0"/>
    <map measureGroup="0" dimension="1"/>
    <map measureGroup="0" dimension="2"/>
    <map measureGroup="0" dimension="3"/>
    <map measureGroup="0" dimension="4"/>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hurrahman" refreshedDate="46113.842866319443" createdVersion="3" refreshedVersion="7" minRefreshableVersion="3" recordCount="0" supportSubquery="1" supportAdvancedDrill="1" xr:uid="{B8E23292-7B4B-4084-A1A4-BC503DFABCA9}">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dtTransaksi].[Kode Transaksi]" caption="Kode Transaksi" attribute="1" defaultMemberUniqueName="[dtTransaksi].[Kode Transaksi].[All]" allUniqueName="[dtTransaksi].[Kode Transaksi].[All]" dimensionUniqueName="[dtTransaksi]" displayFolder="" count="0" memberValueDatatype="130" unbalanced="0"/>
    <cacheHierarchy uniqueName="[dtTransaksi].[Urutan]" caption="Urutan" attribute="1" defaultMemberUniqueName="[dtTransaksi].[Urutan].[All]" allUniqueName="[dtTransaksi].[Urutan].[All]" dimensionUniqueName="[dtTransaksi]" displayFolder="" count="0" memberValueDatatype="20" unbalanced="0"/>
    <cacheHierarchy uniqueName="[dtTransaksi].[Jumlah Pembelian]" caption="Jumlah Pembelian" attribute="1" defaultMemberUniqueName="[dtTransaksi].[Jumlah Pembelian].[All]" allUniqueName="[dtTransaksi].[Jumlah Pembelian].[All]" dimensionUniqueName="[dtTransaksi]" displayFolder="" count="0" memberValueDatatype="20" unbalanced="0"/>
    <cacheHierarchy uniqueName="[Katagori].[Kode Kategori]" caption="Kode Kategori" attribute="1" defaultMemberUniqueName="[Katagori].[Kode Kategori].[All]" allUniqueName="[Katagori].[Kode Kategori].[All]" dimensionUniqueName="[Katagori]" displayFolder="" count="0" memberValueDatatype="130" unbalanced="0"/>
    <cacheHierarchy uniqueName="[Katagori].[Nama Kategori]" caption="Nama Kategori" attribute="1" defaultMemberUniqueName="[Katagori].[Nama Kategori].[All]" allUniqueName="[Katagori].[Nama Kategori].[All]" dimensionUniqueName="[Katagori]" displayFolder="" count="2" memberValueDatatype="130" unbalanced="0"/>
    <cacheHierarchy uniqueName="[Liburan].[Tanggal]" caption="Tanggal" attribute="1" time="1" defaultMemberUniqueName="[Liburan].[Tanggal].[All]" allUniqueName="[Liburan].[Tanggal].[All]" dimensionUniqueName="[Liburan]" displayFolder="" count="0" memberValueDatatype="7" unbalanced="0"/>
    <cacheHierarchy uniqueName="[Liburan].[Nama Liburan]" caption="Nama Liburan" attribute="1" defaultMemberUniqueName="[Liburan].[Nama Liburan].[All]" allUniqueName="[Liburan].[Nama Liburan].[All]" dimensionUniqueName="[Liburan]" displayFolder="" count="0" memberValueDatatype="130" unbalanced="0"/>
    <cacheHierarchy uniqueName="[Liburan].[Tipe]" caption="Tipe" attribute="1" defaultMemberUniqueName="[Liburan].[Tipe].[All]" allUniqueName="[Liburan].[Tipe].[All]" dimensionUniqueName="[Liburan]" displayFolder="" count="0" memberValueDatatype="130" unbalanced="0"/>
    <cacheHierarchy uniqueName="[MasterCabang].[Kode Cabang]" caption="Kode Cabang" attribute="1" defaultMemberUniqueName="[MasterCabang].[Kode Cabang].[All]" allUniqueName="[MasterCabang].[Kode Cabang].[All]" dimensionUniqueName="[MasterCabang]" displayFolder="" count="0" memberValueDatatype="130" unbalanced="0"/>
    <cacheHierarchy uniqueName="[MasterCabang].[Nama Cabang]" caption="Nama Cabang" attribute="1" defaultMemberUniqueName="[MasterCabang].[Nama Cabang].[All]" allUniqueName="[MasterCabang].[Nama Cabang].[All]" dimensionUniqueName="[MasterCabang]" displayFolder="" count="0" memberValueDatatype="130" unbalanced="0"/>
    <cacheHierarchy uniqueName="[MasterCabang].[Lokasi]" caption="Lokasi" attribute="1" defaultMemberUniqueName="[MasterCabang].[Lokasi].[All]" allUniqueName="[MasterCabang].[Lokasi].[All]" dimensionUniqueName="[MasterCabang]" displayFolder="" count="0" memberValueDatatype="130" unbalanced="0"/>
    <cacheHierarchy uniqueName="[MasterCabang].[Provinsi]" caption="Provinsi" attribute="1" defaultMemberUniqueName="[MasterCabang].[Provinsi].[All]" allUniqueName="[MasterCabang].[Provinsi].[All]" dimensionUniqueName="[MasterCabang]" displayFolder="" count="0" memberValueDatatype="130" unbalanced="0"/>
    <cacheHierarchy uniqueName="[MasterProduk].[No.]" caption="No." attribute="1" defaultMemberUniqueName="[MasterProduk].[No.].[All]" allUniqueName="[MasterProduk].[No.].[All]" dimensionUniqueName="[MasterProduk]" displayFolder="" count="0" memberValueDatatype="20" unbalanced="0"/>
    <cacheHierarchy uniqueName="[MasterProduk].[Kode Produk Final]" caption="Kode Produk Final" attribute="1" defaultMemberUniqueName="[MasterProduk].[Kode Produk Final].[All]" allUniqueName="[MasterProduk].[Kode Produk Final].[All]" dimensionUniqueName="[MasterProduk]" displayFolder="" count="0" memberValueDatatype="130" unbalanced="0"/>
    <cacheHierarchy uniqueName="[MasterProduk].[Kategori]" caption="Kategori" attribute="1" defaultMemberUniqueName="[MasterProduk].[Kategori].[All]" allUniqueName="[MasterProduk].[Kategori].[All]" dimensionUniqueName="[MasterProduk]" displayFolder="" count="0" memberValueDatatype="130" unbalanced="0"/>
    <cacheHierarchy uniqueName="[MasterProduk].[Nama Produk]" caption="Nama Produk" attribute="1" defaultMemberUniqueName="[MasterProduk].[Nama Produk].[All]" allUniqueName="[MasterProduk].[Nama Produk].[All]" dimensionUniqueName="[MasterProduk]" displayFolder="" count="0" memberValueDatatype="130" unbalanced="0"/>
    <cacheHierarchy uniqueName="[MasterProduk].[Harga]" caption="Harga" attribute="1" defaultMemberUniqueName="[MasterProduk].[Harga].[All]" allUniqueName="[MasterProduk].[Harga].[All]" dimensionUniqueName="[MasterProduk]" displayFolder="" count="0" memberValueDatatype="20" unbalanced="0"/>
    <cacheHierarchy uniqueName="[dtTransaksi].[Kode Cabang]" caption="Kode Cabang" attribute="1" defaultMemberUniqueName="[dtTransaksi].[Kode Cabang].[All]" allUniqueName="[dtTransaksi].[Kode Cabang].[All]" dimensionUniqueName="[dtTransaksi]" displayFolder="" count="0" memberValueDatatype="130" unbalanced="0" hidden="1"/>
    <cacheHierarchy uniqueName="[dtTransaksi].[Kode Kategori]" caption="Kode Kategori" attribute="1" defaultMemberUniqueName="[dtTransaksi].[Kode Kategori].[All]" allUniqueName="[dtTransaksi].[Kode Kategori].[All]" dimensionUniqueName="[dtTransaksi]" displayFolder="" count="0" memberValueDatatype="130" unbalanced="0" hidden="1"/>
    <cacheHierarchy uniqueName="[dtTransaksi].[Kode Produk]" caption="Kode Produk" attribute="1" defaultMemberUniqueName="[dtTransaksi].[Kode Produk].[All]" allUniqueName="[dtTransaksi].[Kode Produk].[All]" dimensionUniqueName="[dtTransaksi]" displayFolder="" count="0" memberValueDatatype="130" unbalanced="0" hidden="1"/>
    <cacheHierarchy uniqueName="[dtTransaksi].[Tanggal Transaksi]" caption="Tanggal Transaksi" attribute="1" time="1" defaultMemberUniqueName="[dtTransaksi].[Tanggal Transaksi].[All]" allUniqueName="[dtTransaksi].[Tanggal Transaksi].[All]" dimensionUniqueName="[dtTransaksi]" displayFolder="" count="0" memberValueDatatype="7" unbalanced="0" hidden="1"/>
    <cacheHierarchy uniqueName="[Measures].[Sum of Jumlah Pembelian]" caption="Sum of Jumlah Pembelian" measure="1" displayFolder="" measureGroup="dtTransaksi" count="0">
      <extLst>
        <ext xmlns:x15="http://schemas.microsoft.com/office/spreadsheetml/2010/11/main" uri="{B97F6D7D-B522-45F9-BDA1-12C45D357490}">
          <x15:cacheHierarchy aggregatedColumn="2"/>
        </ext>
      </extLst>
    </cacheHierarchy>
    <cacheHierarchy uniqueName="[Measures].[JumlahUnits]" caption="JumlahUnits" measure="1" displayFolder="" measureGroup="dtTransaksi" count="0"/>
    <cacheHierarchy uniqueName="[Measures].[Pendapatan]" caption="Pendapatan" measure="1" displayFolder="" measureGroup="dtTransaksi" count="0"/>
    <cacheHierarchy uniqueName="[Measures].[__XL_Count ltMasterCabang]" caption="__XL_Count ltMasterCabang" measure="1" displayFolder="" measureGroup="MasterCabang" count="0" hidden="1"/>
    <cacheHierarchy uniqueName="[Measures].[__XL_Count ltMasterProduk]" caption="__XL_Count ltMasterProduk" measure="1" displayFolder="" measureGroup="MasterProduk" count="0" hidden="1"/>
    <cacheHierarchy uniqueName="[Measures].[__XL_Count ltLiburan]" caption="__XL_Count ltLiburan" measure="1" displayFolder="" measureGroup="Liburan" count="0" hidden="1"/>
    <cacheHierarchy uniqueName="[Measures].[__XL_Count ltKatagori]" caption="__XL_Count ltKatagori" measure="1" displayFolder="" measureGroup="Katagori" count="0" hidden="1"/>
    <cacheHierarchy uniqueName="[Measures].[__XL_Count dtTransaksi]" caption="__XL_Count dtTransaksi" measure="1" displayFolder="" measureGroup="dtTransaksi"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847604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F02E8-A41C-464C-B734-135E26818720}" name="PivotTable1" cacheId="651" applyNumberFormats="0" applyBorderFormats="0" applyFontFormats="0" applyPatternFormats="0" applyAlignmentFormats="0" applyWidthHeightFormats="1" dataCaption="Values" tag="a1c8f04e-677e-423f-8e9e-35d5381aebf2" updatedVersion="7" minRefreshableVersion="3" useAutoFormatting="1" itemPrintTitles="1" createdVersion="5" indent="0" compact="0" compactData="0" multipleFieldFilters="0">
  <location ref="C4:E6" firstHeaderRow="0" firstDataRow="1" firstDataCol="1"/>
  <pivotFields count="3">
    <pivotField axis="axisRow" compact="0" allDrilled="1" outline="0" subtotalTop="0" showAll="0" dataSourceSort="1" defaultSubtotal="0" defaultAttributeDrillState="1">
      <items count="1">
        <item s="1" x="0"/>
      </items>
    </pivotField>
    <pivotField dataField="1" compact="0" outline="0" subtotalTop="0" showAll="0" defaultSubtotal="0"/>
    <pivotField dataField="1" compact="0" outline="0"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agori]"/>
        <x15:activeTabTopLevelEntity name="[dtTransaks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99E72-D7A7-47BA-845B-0CB3A2FF2107}" name="Nama Produk" cacheId="660" applyNumberFormats="0" applyBorderFormats="0" applyFontFormats="0" applyPatternFormats="0" applyAlignmentFormats="0" applyWidthHeightFormats="1" dataCaption="Values" tag="ac7a8ec3-a8b3-4c6c-a426-798dce56d3b0" updatedVersion="7" minRefreshableVersion="3" useAutoFormatting="1" subtotalHiddenItems="1" rowGrandTotals="0" itemPrintTitles="1" createdVersion="8" indent="0" compact="0" compactData="0" multipleFieldFilters="0" chartFormat="4">
  <location ref="A46:B51" firstHeaderRow="1" firstDataRow="1" firstDataCol="1" rowPageCount="1" colPageCount="1"/>
  <pivotFields count="6">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sortType="ascending" defaultSubtotal="0" defaultAttributeDrillState="1">
      <items count="4">
        <item x="0"/>
        <item x="1"/>
        <item x="2"/>
        <item x="3"/>
      </items>
    </pivotField>
    <pivotField compact="0" allDrilled="1" outline="0"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4"/>
  </rowFields>
  <rowItems count="5">
    <i>
      <x/>
    </i>
    <i>
      <x v="4"/>
    </i>
    <i>
      <x v="3"/>
    </i>
    <i>
      <x v="1"/>
    </i>
    <i>
      <x v="2"/>
    </i>
  </rowItems>
  <colItems count="1">
    <i/>
  </colItems>
  <pageFields count="1">
    <pageField fld="0" hier="9" name="[MasterCabang].[Nama Cabang].&amp;[Cabang Medan]" cap="Cabang Medan"/>
  </pageFields>
  <dataFields count="1">
    <dataField fld="1" subtotal="count" baseField="0" baseItem="0" numFmtId="167"/>
  </dataFields>
  <chartFormats count="1">
    <chartFormat chart="3"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Katagori].[Nama Kategori].&amp;[Bawa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agori]"/>
        <x15:activeTabTopLevelEntity name="[MasterCabang]"/>
        <x15:activeTabTopLevelEntity name="[dtTransaksi]"/>
        <x15:activeTabTopLevelEntity name="[Liburan]"/>
        <x15:activeTabTopLevelEntity name="[MasterProdu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A5F73F-8B96-412B-BFE4-6CB433A1BACE}" name="Nama Liburan" cacheId="654" applyNumberFormats="0" applyBorderFormats="0" applyFontFormats="0" applyPatternFormats="0" applyAlignmentFormats="0" applyWidthHeightFormats="1" dataCaption="Values" tag="5dd8e35a-7d9d-43b8-a542-4a851a493569" updatedVersion="7" minRefreshableVersion="3" useAutoFormatting="1" subtotalHiddenItems="1" rowGrandTotals="0" itemPrintTitles="1" createdVersion="8" indent="0" compact="0" compactData="0" multipleFieldFilters="0" chartFormat="15">
  <location ref="A23:B42" firstHeaderRow="1" firstDataRow="1" firstDataCol="1"/>
  <pivotFields count="5">
    <pivotField compact="0" allDrilled="1" outline="0" subtotalTop="0" showAll="0" measureFilter="1" dataSourceSort="1" defaultSubtotal="0" defaultAttributeDrillState="1">
      <items count="1">
        <item x="0"/>
      </items>
    </pivotField>
    <pivotField dataField="1" compact="0" outline="0" subtotalTop="0" showAll="0" defaultSubtotal="0"/>
    <pivotField compact="0" allDrilled="1" outline="0" subtotalTop="0" showAll="0" sortType="ascending" defaultSubtotal="0" defaultAttributeDrillState="1">
      <items count="4">
        <item x="0"/>
        <item x="1"/>
        <item x="2"/>
        <item x="3"/>
      </items>
    </pivotField>
    <pivotField axis="axisRow" compact="0" allDrilled="1" outline="0"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19">
    <i>
      <x v="18"/>
    </i>
    <i>
      <x v="6"/>
    </i>
    <i>
      <x/>
    </i>
    <i>
      <x v="8"/>
    </i>
    <i>
      <x v="1"/>
    </i>
    <i>
      <x v="2"/>
    </i>
    <i>
      <x v="3"/>
    </i>
    <i>
      <x v="5"/>
    </i>
    <i>
      <x v="4"/>
    </i>
    <i>
      <x v="10"/>
    </i>
    <i>
      <x v="12"/>
    </i>
    <i>
      <x v="14"/>
    </i>
    <i>
      <x v="17"/>
    </i>
    <i>
      <x v="15"/>
    </i>
    <i>
      <x v="13"/>
    </i>
    <i>
      <x v="11"/>
    </i>
    <i>
      <x v="16"/>
    </i>
    <i>
      <x v="7"/>
    </i>
    <i>
      <x v="9"/>
    </i>
  </rowItems>
  <colItems count="1">
    <i/>
  </colItems>
  <dataFields count="1">
    <dataField fld="1" subtotal="count" baseField="0" baseItem="0" numFmtId="167"/>
  </dataFields>
  <chartFormats count="2">
    <chartFormat chart="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Katagori].[Nama Kategori].&amp;[Bawa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agori]"/>
        <x15:activeTabTopLevelEntity name="[MasterCabang]"/>
        <x15:activeTabTopLevelEntity name="[dtTransaksi]"/>
        <x15:activeTabTopLevelEntity name="[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AD586A-539B-4216-BB8F-586C1AB44A75}" name="Provinsi" cacheId="663" applyNumberFormats="0" applyBorderFormats="0" applyFontFormats="0" applyPatternFormats="0" applyAlignmentFormats="0" applyWidthHeightFormats="1" dataCaption="Values" tag="fef6f630-6126-4175-8d07-c49d56a87767" updatedVersion="7" minRefreshableVersion="3" useAutoFormatting="1" subtotalHiddenItems="1" rowGrandTotals="0" itemPrintTitles="1" createdVersion="8" indent="0" compact="0" compactData="0" multipleFieldFilters="0" chartFormat="9">
  <location ref="A17:B21" firstHeaderRow="1" firstDataRow="1" firstDataCol="1"/>
  <pivotFields count="4">
    <pivotField compact="0" allDrilled="1" outline="0" subtotalTop="0" showAll="0" measureFilter="1" dataSourceSort="1" defaultSubtotal="0" defaultAttributeDrillState="1">
      <items count="1">
        <item x="0"/>
      </items>
    </pivotField>
    <pivotField dataField="1" compact="0" outline="0" subtotalTop="0" showAll="0" defaultSubtotal="0"/>
    <pivotField axis="axisRow" compact="0" allDrilled="1" outline="0" subtotalTop="0" showAll="0" sortType="ascending"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4">
    <i>
      <x/>
    </i>
    <i>
      <x v="1"/>
    </i>
    <i>
      <x v="2"/>
    </i>
    <i>
      <x v="3"/>
    </i>
  </rowItems>
  <colItems count="1">
    <i/>
  </colItems>
  <dataFields count="1">
    <dataField fld="1" subtotal="count" baseField="0" baseItem="0" numFmtId="167"/>
  </dataFields>
  <chartFormats count="9">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2"/>
          </reference>
        </references>
      </pivotArea>
    </chartFormat>
    <chartFormat chart="8"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members count="1" level="1">
        <member name="[Katagori].[Nama Kategori].&amp;[Bawa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agori]"/>
        <x15:activeTabTopLevelEntity name="[MasterCabang]"/>
        <x15:activeTabTopLevelEntity name="[dtTransaksi]"/>
        <x15:activeTabTopLevelEntity name="[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8563C6-A06D-438F-AAA8-C8DB41791D56}" name="TopCabangLiburan" cacheId="657" applyNumberFormats="0" applyBorderFormats="0" applyFontFormats="0" applyPatternFormats="0" applyAlignmentFormats="0" applyWidthHeightFormats="1" dataCaption="Values" tag="44ae032a-2b18-4cc6-b924-eb2a18ee40ca" updatedVersion="7" minRefreshableVersion="3" useAutoFormatting="1" subtotalHiddenItems="1" rowGrandTotals="0" itemPrintTitles="1" createdVersion="8" indent="0" compact="0" compactData="0" multipleFieldFilters="0">
  <location ref="A11:B15" firstHeaderRow="1" firstDataRow="1" firstDataCol="1" rowPageCount="1" colPageCount="1"/>
  <pivotFields count="4">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v="3"/>
    </i>
    <i>
      <x/>
    </i>
    <i>
      <x v="1"/>
    </i>
    <i>
      <x v="2"/>
    </i>
  </rowItems>
  <colItems count="1">
    <i/>
  </colItems>
  <pageFields count="1">
    <pageField fld="2" hier="6" name="[Liburan].[Nama Liburan].&amp;[Hari Raya Idul Fitri 1438 Hijriah]" cap="Hari Raya Idul Fitri 1438 Hijriah"/>
  </pageFields>
  <dataFields count="1">
    <dataField fld="1" subtotal="count" baseField="0" baseItem="0" numFmtId="167"/>
  </dataFields>
  <pivotHierarchies count="30">
    <pivotHierarchy dragToData="1"/>
    <pivotHierarchy dragToData="1"/>
    <pivotHierarchy dragToData="1"/>
    <pivotHierarchy dragToData="1"/>
    <pivotHierarchy multipleItemSelectionAllowed="1" dragToData="1">
      <members count="1" level="1">
        <member name="[Katagori].[Nama Kategori].&amp;[Bawa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agori]"/>
        <x15:activeTabTopLevelEntity name="[MasterCabang]"/>
        <x15:activeTabTopLevelEntity name="[dtTransaksi]"/>
        <x15:activeTabTopLevelEntity name="[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01735A-F493-43F8-A1EC-A1F9EB7D4E2F}" name="TopCabang" cacheId="648" applyNumberFormats="0" applyBorderFormats="0" applyFontFormats="0" applyPatternFormats="0" applyAlignmentFormats="0" applyWidthHeightFormats="1" dataCaption="Values" tag="95fbacef-89d3-42da-8324-9773e744a960" updatedVersion="7" minRefreshableVersion="3" subtotalHiddenItems="1" rowGrandTotals="0" itemPrintTitles="1" createdVersion="8" indent="0" compact="0" compactData="0" multipleFieldFilters="0">
  <location ref="A3:B7" firstHeaderRow="1" firstDataRow="1" firstDataCol="1" rowPageCount="1" colPageCount="1"/>
  <pivotFields count="3">
    <pivotField axis="axisPage" compact="0" allDrilled="1" outline="0" subtotalTop="0" showAll="0" dataSourceSort="1" defaultSubtotal="0" defaultAttributeDrillState="1"/>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1"/>
  </rowFields>
  <rowItems count="4">
    <i>
      <x v="2"/>
    </i>
    <i>
      <x v="1"/>
    </i>
    <i>
      <x/>
    </i>
    <i>
      <x v="3"/>
    </i>
  </rowItems>
  <colItems count="1">
    <i/>
  </colItems>
  <pageFields count="1">
    <pageField fld="0" hier="4" name="[Katagori].[Nama Kategori].&amp;[Bawahan]" cap="Bawahan"/>
  </pageFields>
  <dataFields count="1">
    <dataField fld="2" subtotal="count" baseField="0" baseItem="0" numFmtId="167"/>
  </dataFields>
  <pivotHierarchies count="30">
    <pivotHierarchy dragToData="1"/>
    <pivotHierarchy dragToData="1"/>
    <pivotHierarchy dragToData="1"/>
    <pivotHierarchy dragToData="1"/>
    <pivotHierarchy multipleItemSelectionAllowed="1" dragToData="1">
      <members count="1" level="1">
        <member name="[Katagori].[Nama Kategori].&amp;[Bawa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agori]"/>
        <x15:activeTabTopLevelEntity name="[MasterCabang]"/>
        <x15:activeTabTopLevelEntity name="[dtTransaksi]"/>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ategori" xr10:uid="{49D868E5-C1F0-4037-8917-D33BC7C8FDAB}" sourceName="[Katagori].[Nama Kategori]">
  <pivotTables>
    <pivotTable tabId="33" name="TopCabang"/>
    <pivotTable tabId="21" name="PivotTable1"/>
    <pivotTable tabId="33" name="Nama Liburan"/>
    <pivotTable tabId="33" name="TopCabangLiburan"/>
    <pivotTable tabId="33" name="Nama Produk"/>
    <pivotTable tabId="33" name="Provinsi"/>
  </pivotTables>
  <data>
    <olap pivotCacheId="484760467">
      <levels count="2">
        <level uniqueName="[Katagori].[Nama Kategori].[(All)]" sourceCaption="(All)" count="0"/>
        <level uniqueName="[Katagori].[Nama Kategori].[Nama Kategori]" sourceCaption="Nama Kategori" count="5">
          <ranges>
            <range startItem="0">
              <i n="[Katagori].[Nama Kategori].&amp;[Aksesoris]" c="Aksesoris"/>
              <i n="[Katagori].[Nama Kategori].&amp;[Atasan]" c="Atasan"/>
              <i n="[Katagori].[Nama Kategori].&amp;[Bawahan]" c="Bawahan"/>
              <i n="[Katagori].[Nama Kategori].&amp;[Gaun]" c="Gaun"/>
              <i n="[Katagori].[Nama Kategori].&amp;[Pakaian Olahraga]" c="Pakaian Olahraga"/>
            </range>
          </ranges>
        </level>
      </levels>
      <selections count="1">
        <selection n="[Katagori].[Nama Kategori].&amp;[Bawah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Kategori" xr10:uid="{9FFC59E6-D05E-4E98-9856-2204B722F907}" cache="Slicer_Nama_Kategori" caption="Nama Kategori" level="1" style="DQFashion"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291EBA-1875-4515-A355-FC2AD6A9E240}" name="ltMasterCabang" displayName="ltMasterCabang" ref="A1:D5" totalsRowShown="0" headerRowDxfId="9" headerRowBorderDxfId="8">
  <autoFilter ref="A1:D5" xr:uid="{C5291EBA-1875-4515-A355-FC2AD6A9E240}"/>
  <tableColumns count="4">
    <tableColumn id="1" xr3:uid="{B46F6C4D-5EBE-4B2A-9C96-30BDE177EA6E}" name="Kode Cabang"/>
    <tableColumn id="2" xr3:uid="{5ECEBE5A-2866-496D-AC5A-5F1BA2EEC48F}" name="Nama Cabang"/>
    <tableColumn id="3" xr3:uid="{BB83D0AA-189A-4744-BF81-044557B8E48A}" name="Lokasi"/>
    <tableColumn id="4" xr3:uid="{B156A655-C0A3-454F-89B3-DFEFC1426A3F}" name="Provinsi"/>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D7E335-095A-4547-8A4B-CCE7E92476EA}" name="ltMasterProduk" displayName="ltMasterProduk" ref="A1:E26" totalsRowShown="0" headerRowDxfId="7" headerRowBorderDxfId="6">
  <autoFilter ref="A1:E26" xr:uid="{95D7E335-095A-4547-8A4B-CCE7E92476EA}"/>
  <tableColumns count="5">
    <tableColumn id="1" xr3:uid="{9699224F-4BF2-4B12-ADBC-2A6C5EF7908F}" name="No."/>
    <tableColumn id="2" xr3:uid="{131D683C-BB9B-4204-8FE3-F4BA1A65E161}" name="Kode Produk Final"/>
    <tableColumn id="3" xr3:uid="{DEF50C8E-749C-4EEE-9051-503DDBD54764}" name="Kategori"/>
    <tableColumn id="4" xr3:uid="{54E9A248-78B8-439F-8DB2-E5E87B3D1891}" name="Nama Produk"/>
    <tableColumn id="5" xr3:uid="{DDD8D221-F627-4F2E-BDF2-74F793828A6E}" name="Harga"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DB7DCB-6EC3-451E-99EC-6BA1722AC820}" name="ltLiburan" displayName="ltLiburan" ref="A1:C23" totalsRowShown="0" headerRowDxfId="4" headerRowBorderDxfId="3">
  <autoFilter ref="A1:C23" xr:uid="{2CDB7DCB-6EC3-451E-99EC-6BA1722AC820}"/>
  <tableColumns count="3">
    <tableColumn id="1" xr3:uid="{C0594311-2C4D-48FE-98F7-E75001229488}" name="Tanggal" dataDxfId="2"/>
    <tableColumn id="2" xr3:uid="{0A07DFA6-602A-423C-AAA5-BD73CA997A14}" name="Nama Liburan"/>
    <tableColumn id="3" xr3:uid="{62A4F1B5-5C64-484A-8865-D8102C8B2616}" name="Tipe "/>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828FAEA-6D6B-43DC-B7CF-A38210A4F7FB}" name="ltKatagori" displayName="ltKatagori" ref="A1:B6" totalsRowShown="0" headerRowDxfId="1" headerRowBorderDxfId="0">
  <autoFilter ref="A1:B6" xr:uid="{A828FAEA-6D6B-43DC-B7CF-A38210A4F7FB}"/>
  <tableColumns count="2">
    <tableColumn id="1" xr3:uid="{7FF5EE11-9A50-45B8-8D2D-A69013F4DC2D}" name="Kode Kategori"/>
    <tableColumn id="2" xr3:uid="{AEF71BC0-027C-437B-AAD1-C141804A2E63}" name="Nama Kategori"/>
  </tableColumns>
  <tableStyleInfo showFirstColumn="0" showLastColumn="0" showRowStripes="1" showColumnStripes="0"/>
</table>
</file>

<file path=xl/theme/theme1.xml><?xml version="1.0" encoding="utf-8"?>
<a:theme xmlns:a="http://schemas.openxmlformats.org/drawingml/2006/main" name="Berli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4894-A76D-4E08-82B9-37CECD595A83}">
  <sheetPr>
    <tabColor theme="8" tint="-0.499984740745262"/>
  </sheetPr>
  <dimension ref="A1:D5"/>
  <sheetViews>
    <sheetView showGridLines="0" zoomScale="175" zoomScaleNormal="175" workbookViewId="0">
      <selection activeCell="C3" sqref="C3"/>
    </sheetView>
  </sheetViews>
  <sheetFormatPr defaultRowHeight="16.5" x14ac:dyDescent="0.3"/>
  <cols>
    <col min="1" max="1" width="14.375" customWidth="1"/>
    <col min="2" max="2" width="15.5" customWidth="1"/>
    <col min="3" max="3" width="13.875" customWidth="1"/>
    <col min="4" max="4" width="15.5" customWidth="1"/>
  </cols>
  <sheetData>
    <row r="1" spans="1:4" ht="17.25" thickBot="1" x14ac:dyDescent="0.35">
      <c r="A1" s="1" t="s">
        <v>0</v>
      </c>
      <c r="B1" s="1" t="s">
        <v>1</v>
      </c>
      <c r="C1" s="1" t="s">
        <v>2</v>
      </c>
      <c r="D1" s="1" t="s">
        <v>3</v>
      </c>
    </row>
    <row r="2" spans="1:4" ht="17.25" thickTop="1"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79D7-A832-4C54-B4A9-A81889F5492F}">
  <sheetPr>
    <tabColor theme="8" tint="-0.499984740745262"/>
  </sheetPr>
  <dimension ref="A1:E26"/>
  <sheetViews>
    <sheetView showGridLines="0" zoomScale="115" zoomScaleNormal="115" workbookViewId="0">
      <selection activeCell="E10" sqref="E10"/>
    </sheetView>
  </sheetViews>
  <sheetFormatPr defaultRowHeight="16.5" x14ac:dyDescent="0.3"/>
  <cols>
    <col min="2" max="2" width="18.5" customWidth="1"/>
    <col min="3" max="3" width="10.125" customWidth="1"/>
    <col min="4" max="4" width="14.5" customWidth="1"/>
    <col min="5" max="5" width="12.5" customWidth="1"/>
  </cols>
  <sheetData>
    <row r="1" spans="1:5" ht="17.25" thickBot="1" x14ac:dyDescent="0.35">
      <c r="A1" s="1" t="s">
        <v>20</v>
      </c>
      <c r="B1" s="1" t="s">
        <v>21</v>
      </c>
      <c r="C1" s="1" t="s">
        <v>22</v>
      </c>
      <c r="D1" s="1" t="s">
        <v>23</v>
      </c>
      <c r="E1" s="1" t="s">
        <v>24</v>
      </c>
    </row>
    <row r="2" spans="1:5" ht="17.25" thickTop="1" x14ac:dyDescent="0.3">
      <c r="A2">
        <v>1</v>
      </c>
      <c r="B2" s="2" t="s">
        <v>25</v>
      </c>
      <c r="C2" t="s">
        <v>26</v>
      </c>
      <c r="D2" t="s">
        <v>27</v>
      </c>
      <c r="E2" s="3">
        <v>165000</v>
      </c>
    </row>
    <row r="3" spans="1:5" x14ac:dyDescent="0.3">
      <c r="A3">
        <v>2</v>
      </c>
      <c r="B3" s="2" t="s">
        <v>28</v>
      </c>
      <c r="C3" t="s">
        <v>26</v>
      </c>
      <c r="D3" t="s">
        <v>29</v>
      </c>
      <c r="E3" s="3">
        <v>192000</v>
      </c>
    </row>
    <row r="4" spans="1:5" x14ac:dyDescent="0.3">
      <c r="A4">
        <v>3</v>
      </c>
      <c r="B4" s="2" t="s">
        <v>30</v>
      </c>
      <c r="C4" t="s">
        <v>26</v>
      </c>
      <c r="D4" t="s">
        <v>31</v>
      </c>
      <c r="E4" s="3">
        <v>249000</v>
      </c>
    </row>
    <row r="5" spans="1:5" x14ac:dyDescent="0.3">
      <c r="A5">
        <v>4</v>
      </c>
      <c r="B5" s="2" t="s">
        <v>32</v>
      </c>
      <c r="C5" t="s">
        <v>26</v>
      </c>
      <c r="D5" t="s">
        <v>33</v>
      </c>
      <c r="E5" s="3">
        <v>231000</v>
      </c>
    </row>
    <row r="6" spans="1:5" x14ac:dyDescent="0.3">
      <c r="A6">
        <v>5</v>
      </c>
      <c r="B6" s="2" t="s">
        <v>34</v>
      </c>
      <c r="C6" t="s">
        <v>26</v>
      </c>
      <c r="D6" t="s">
        <v>35</v>
      </c>
      <c r="E6" s="3">
        <v>801000</v>
      </c>
    </row>
    <row r="7" spans="1:5" x14ac:dyDescent="0.3">
      <c r="A7">
        <v>6</v>
      </c>
      <c r="B7" s="2" t="s">
        <v>36</v>
      </c>
      <c r="C7" t="s">
        <v>37</v>
      </c>
      <c r="D7" t="s">
        <v>38</v>
      </c>
      <c r="E7" s="3">
        <v>402000</v>
      </c>
    </row>
    <row r="8" spans="1:5" x14ac:dyDescent="0.3">
      <c r="A8">
        <v>7</v>
      </c>
      <c r="B8" s="2" t="s">
        <v>39</v>
      </c>
      <c r="C8" t="s">
        <v>37</v>
      </c>
      <c r="D8" t="s">
        <v>40</v>
      </c>
      <c r="E8" s="3">
        <v>288000</v>
      </c>
    </row>
    <row r="9" spans="1:5" x14ac:dyDescent="0.3">
      <c r="A9">
        <v>8</v>
      </c>
      <c r="B9" s="2" t="s">
        <v>41</v>
      </c>
      <c r="C9" t="s">
        <v>37</v>
      </c>
      <c r="D9" t="s">
        <v>42</v>
      </c>
      <c r="E9" s="3">
        <v>195000</v>
      </c>
    </row>
    <row r="10" spans="1:5" x14ac:dyDescent="0.3">
      <c r="A10">
        <v>9</v>
      </c>
      <c r="B10" s="2" t="s">
        <v>43</v>
      </c>
      <c r="C10" t="s">
        <v>37</v>
      </c>
      <c r="D10" t="s">
        <v>44</v>
      </c>
      <c r="E10" s="3">
        <v>168000</v>
      </c>
    </row>
    <row r="11" spans="1:5" x14ac:dyDescent="0.3">
      <c r="A11">
        <v>10</v>
      </c>
      <c r="B11" s="2" t="s">
        <v>45</v>
      </c>
      <c r="C11" t="s">
        <v>37</v>
      </c>
      <c r="D11" t="s">
        <v>46</v>
      </c>
      <c r="E11" s="3">
        <v>153000</v>
      </c>
    </row>
    <row r="12" spans="1:5" x14ac:dyDescent="0.3">
      <c r="A12">
        <v>11</v>
      </c>
      <c r="B12" s="2" t="s">
        <v>47</v>
      </c>
      <c r="C12" t="s">
        <v>48</v>
      </c>
      <c r="D12" t="s">
        <v>49</v>
      </c>
      <c r="E12" s="3">
        <v>597000</v>
      </c>
    </row>
    <row r="13" spans="1:5" x14ac:dyDescent="0.3">
      <c r="A13">
        <v>12</v>
      </c>
      <c r="B13" s="2" t="s">
        <v>50</v>
      </c>
      <c r="C13" t="s">
        <v>48</v>
      </c>
      <c r="D13" t="s">
        <v>51</v>
      </c>
      <c r="E13" s="3">
        <v>267000</v>
      </c>
    </row>
    <row r="14" spans="1:5" x14ac:dyDescent="0.3">
      <c r="A14">
        <v>13</v>
      </c>
      <c r="B14" s="2" t="s">
        <v>52</v>
      </c>
      <c r="C14" t="s">
        <v>48</v>
      </c>
      <c r="D14" t="s">
        <v>53</v>
      </c>
      <c r="E14" s="3">
        <v>705000</v>
      </c>
    </row>
    <row r="15" spans="1:5" x14ac:dyDescent="0.3">
      <c r="A15">
        <v>14</v>
      </c>
      <c r="B15" s="2" t="s">
        <v>54</v>
      </c>
      <c r="C15" t="s">
        <v>48</v>
      </c>
      <c r="D15" t="s">
        <v>55</v>
      </c>
      <c r="E15" s="3">
        <v>276000</v>
      </c>
    </row>
    <row r="16" spans="1:5" x14ac:dyDescent="0.3">
      <c r="A16">
        <v>15</v>
      </c>
      <c r="B16" s="2" t="s">
        <v>56</v>
      </c>
      <c r="C16" t="s">
        <v>48</v>
      </c>
      <c r="D16" t="s">
        <v>57</v>
      </c>
      <c r="E16" s="3">
        <v>234000</v>
      </c>
    </row>
    <row r="17" spans="1:5" x14ac:dyDescent="0.3">
      <c r="A17">
        <v>16</v>
      </c>
      <c r="B17" s="2" t="s">
        <v>58</v>
      </c>
      <c r="C17" t="s">
        <v>59</v>
      </c>
      <c r="D17" t="s">
        <v>60</v>
      </c>
      <c r="E17" s="3">
        <v>21000</v>
      </c>
    </row>
    <row r="18" spans="1:5" x14ac:dyDescent="0.3">
      <c r="A18">
        <v>17</v>
      </c>
      <c r="B18" s="2" t="s">
        <v>61</v>
      </c>
      <c r="C18" t="s">
        <v>59</v>
      </c>
      <c r="D18" t="s">
        <v>62</v>
      </c>
      <c r="E18" s="3">
        <v>135000</v>
      </c>
    </row>
    <row r="19" spans="1:5" x14ac:dyDescent="0.3">
      <c r="A19">
        <v>18</v>
      </c>
      <c r="B19" s="2" t="s">
        <v>63</v>
      </c>
      <c r="C19" t="s">
        <v>59</v>
      </c>
      <c r="D19" t="s">
        <v>64</v>
      </c>
      <c r="E19" s="3">
        <v>105000</v>
      </c>
    </row>
    <row r="20" spans="1:5" x14ac:dyDescent="0.3">
      <c r="A20">
        <v>19</v>
      </c>
      <c r="B20" s="2" t="s">
        <v>65</v>
      </c>
      <c r="C20" t="s">
        <v>59</v>
      </c>
      <c r="D20" t="s">
        <v>66</v>
      </c>
      <c r="E20" s="3">
        <v>75000</v>
      </c>
    </row>
    <row r="21" spans="1:5" x14ac:dyDescent="0.3">
      <c r="A21">
        <v>20</v>
      </c>
      <c r="B21" s="2" t="s">
        <v>67</v>
      </c>
      <c r="C21" t="s">
        <v>59</v>
      </c>
      <c r="D21" t="s">
        <v>68</v>
      </c>
      <c r="E21" s="3">
        <v>246000</v>
      </c>
    </row>
    <row r="22" spans="1:5" x14ac:dyDescent="0.3">
      <c r="A22">
        <v>21</v>
      </c>
      <c r="B22" s="2" t="s">
        <v>69</v>
      </c>
      <c r="C22" t="s">
        <v>70</v>
      </c>
      <c r="D22" t="s">
        <v>71</v>
      </c>
      <c r="E22" s="3">
        <v>195000</v>
      </c>
    </row>
    <row r="23" spans="1:5" x14ac:dyDescent="0.3">
      <c r="A23">
        <v>22</v>
      </c>
      <c r="B23" s="2" t="s">
        <v>72</v>
      </c>
      <c r="C23" t="s">
        <v>70</v>
      </c>
      <c r="D23" t="s">
        <v>73</v>
      </c>
      <c r="E23" s="3">
        <v>231000</v>
      </c>
    </row>
    <row r="24" spans="1:5" x14ac:dyDescent="0.3">
      <c r="A24">
        <v>23</v>
      </c>
      <c r="B24" s="2" t="s">
        <v>74</v>
      </c>
      <c r="C24" t="s">
        <v>70</v>
      </c>
      <c r="D24" t="s">
        <v>75</v>
      </c>
      <c r="E24" s="3">
        <v>135000</v>
      </c>
    </row>
    <row r="25" spans="1:5" x14ac:dyDescent="0.3">
      <c r="A25">
        <v>24</v>
      </c>
      <c r="B25" s="2" t="s">
        <v>76</v>
      </c>
      <c r="C25" t="s">
        <v>70</v>
      </c>
      <c r="D25" t="s">
        <v>77</v>
      </c>
      <c r="E25" s="3">
        <v>132000</v>
      </c>
    </row>
    <row r="26" spans="1:5" x14ac:dyDescent="0.3">
      <c r="A26">
        <v>25</v>
      </c>
      <c r="B26" s="2" t="s">
        <v>78</v>
      </c>
      <c r="C26" t="s">
        <v>70</v>
      </c>
      <c r="D26" t="s">
        <v>79</v>
      </c>
      <c r="E26" s="3">
        <v>141000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54AD-DB08-4E70-9850-9C87BA2E3CD2}">
  <sheetPr>
    <tabColor theme="8" tint="-0.499984740745262"/>
  </sheetPr>
  <dimension ref="A1:C23"/>
  <sheetViews>
    <sheetView showGridLines="0" zoomScale="130" zoomScaleNormal="130" workbookViewId="0">
      <selection activeCell="B12" sqref="B12"/>
    </sheetView>
  </sheetViews>
  <sheetFormatPr defaultRowHeight="16.5" x14ac:dyDescent="0.3"/>
  <cols>
    <col min="1" max="1" width="26.25" style="4" customWidth="1"/>
    <col min="2" max="2" width="32.75" customWidth="1"/>
    <col min="3" max="3" width="14.625" customWidth="1"/>
  </cols>
  <sheetData>
    <row r="1" spans="1:3" ht="17.25" thickBot="1" x14ac:dyDescent="0.35">
      <c r="A1" s="1" t="s">
        <v>80</v>
      </c>
      <c r="B1" s="1" t="s">
        <v>81</v>
      </c>
      <c r="C1" s="1" t="s">
        <v>82</v>
      </c>
    </row>
    <row r="2" spans="1:3" ht="17.25" thickTop="1" x14ac:dyDescent="0.3">
      <c r="A2" s="4">
        <v>42736</v>
      </c>
      <c r="B2" t="s">
        <v>83</v>
      </c>
      <c r="C2" t="s">
        <v>84</v>
      </c>
    </row>
    <row r="3" spans="1:3" x14ac:dyDescent="0.3">
      <c r="A3" s="4">
        <v>42737</v>
      </c>
      <c r="B3" t="s">
        <v>85</v>
      </c>
      <c r="C3" t="s">
        <v>86</v>
      </c>
    </row>
    <row r="4" spans="1:3" x14ac:dyDescent="0.3">
      <c r="A4" s="4">
        <v>42763</v>
      </c>
      <c r="B4" t="s">
        <v>87</v>
      </c>
      <c r="C4" t="s">
        <v>84</v>
      </c>
    </row>
    <row r="5" spans="1:3" x14ac:dyDescent="0.3">
      <c r="A5" s="4">
        <v>42822</v>
      </c>
      <c r="B5" t="s">
        <v>88</v>
      </c>
      <c r="C5" t="s">
        <v>84</v>
      </c>
    </row>
    <row r="6" spans="1:3" x14ac:dyDescent="0.3">
      <c r="A6" s="4">
        <v>42856</v>
      </c>
      <c r="B6" t="s">
        <v>89</v>
      </c>
      <c r="C6" t="s">
        <v>84</v>
      </c>
    </row>
    <row r="7" spans="1:3" x14ac:dyDescent="0.3">
      <c r="A7" s="4">
        <v>42866</v>
      </c>
      <c r="B7" t="s">
        <v>90</v>
      </c>
      <c r="C7" t="s">
        <v>84</v>
      </c>
    </row>
    <row r="8" spans="1:3" x14ac:dyDescent="0.3">
      <c r="A8" s="4">
        <v>42880</v>
      </c>
      <c r="B8" t="s">
        <v>91</v>
      </c>
      <c r="C8" t="s">
        <v>84</v>
      </c>
    </row>
    <row r="9" spans="1:3" x14ac:dyDescent="0.3">
      <c r="A9" s="4">
        <v>42887</v>
      </c>
      <c r="B9" t="s">
        <v>92</v>
      </c>
      <c r="C9" t="s">
        <v>84</v>
      </c>
    </row>
    <row r="10" spans="1:3" x14ac:dyDescent="0.3">
      <c r="A10" s="4">
        <v>42911</v>
      </c>
      <c r="B10" t="s">
        <v>93</v>
      </c>
      <c r="C10" t="s">
        <v>84</v>
      </c>
    </row>
    <row r="11" spans="1:3" x14ac:dyDescent="0.3">
      <c r="A11" s="4">
        <v>42912</v>
      </c>
      <c r="B11" t="s">
        <v>93</v>
      </c>
      <c r="C11" t="s">
        <v>84</v>
      </c>
    </row>
    <row r="12" spans="1:3" x14ac:dyDescent="0.3">
      <c r="A12" s="4">
        <v>42913</v>
      </c>
      <c r="B12" t="s">
        <v>94</v>
      </c>
      <c r="C12" t="s">
        <v>86</v>
      </c>
    </row>
    <row r="13" spans="1:3" x14ac:dyDescent="0.3">
      <c r="A13" s="4">
        <v>42914</v>
      </c>
      <c r="B13" t="s">
        <v>94</v>
      </c>
      <c r="C13" t="s">
        <v>86</v>
      </c>
    </row>
    <row r="14" spans="1:3" x14ac:dyDescent="0.3">
      <c r="A14" s="4">
        <v>42915</v>
      </c>
      <c r="B14" t="s">
        <v>94</v>
      </c>
      <c r="C14" t="s">
        <v>86</v>
      </c>
    </row>
    <row r="15" spans="1:3" x14ac:dyDescent="0.3">
      <c r="A15" s="4">
        <v>42916</v>
      </c>
      <c r="B15" t="s">
        <v>94</v>
      </c>
      <c r="C15" t="s">
        <v>86</v>
      </c>
    </row>
    <row r="16" spans="1:3" x14ac:dyDescent="0.3">
      <c r="A16" s="4">
        <v>42964</v>
      </c>
      <c r="B16" t="s">
        <v>95</v>
      </c>
      <c r="C16" t="s">
        <v>84</v>
      </c>
    </row>
    <row r="17" spans="1:3" x14ac:dyDescent="0.3">
      <c r="A17" s="4">
        <v>42979</v>
      </c>
      <c r="B17" t="s">
        <v>96</v>
      </c>
      <c r="C17" t="s">
        <v>84</v>
      </c>
    </row>
    <row r="18" spans="1:3" x14ac:dyDescent="0.3">
      <c r="A18" s="4">
        <v>42999</v>
      </c>
      <c r="B18" t="s">
        <v>97</v>
      </c>
      <c r="C18" t="s">
        <v>84</v>
      </c>
    </row>
    <row r="19" spans="1:3" x14ac:dyDescent="0.3">
      <c r="A19" s="4">
        <v>43070</v>
      </c>
      <c r="B19" t="s">
        <v>98</v>
      </c>
      <c r="C19" t="s">
        <v>84</v>
      </c>
    </row>
    <row r="20" spans="1:3" x14ac:dyDescent="0.3">
      <c r="A20" s="4">
        <v>43094</v>
      </c>
      <c r="B20" t="s">
        <v>99</v>
      </c>
      <c r="C20" t="s">
        <v>84</v>
      </c>
    </row>
    <row r="21" spans="1:3" x14ac:dyDescent="0.3">
      <c r="A21" s="4">
        <v>43095</v>
      </c>
      <c r="B21" t="s">
        <v>100</v>
      </c>
      <c r="C21" t="s">
        <v>86</v>
      </c>
    </row>
    <row r="22" spans="1:3" x14ac:dyDescent="0.3">
      <c r="A22" s="4">
        <v>42839</v>
      </c>
      <c r="B22" t="s">
        <v>101</v>
      </c>
      <c r="C22" t="s">
        <v>84</v>
      </c>
    </row>
    <row r="23" spans="1:3" x14ac:dyDescent="0.3">
      <c r="A23" s="4">
        <v>42849</v>
      </c>
      <c r="B23" t="s">
        <v>102</v>
      </c>
      <c r="C23" t="s">
        <v>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77BB-CC13-4C64-8FAB-127C746929EC}">
  <sheetPr>
    <tabColor theme="8" tint="-0.499984740745262"/>
  </sheetPr>
  <dimension ref="A1:B6"/>
  <sheetViews>
    <sheetView showGridLines="0" zoomScale="160" zoomScaleNormal="160" workbookViewId="0">
      <selection activeCell="B6" sqref="B6"/>
    </sheetView>
  </sheetViews>
  <sheetFormatPr defaultRowHeight="16.5" x14ac:dyDescent="0.3"/>
  <cols>
    <col min="1" max="1" width="15" customWidth="1"/>
    <col min="2" max="2" width="15.5" customWidth="1"/>
    <col min="4" max="4" width="16.75" bestFit="1" customWidth="1"/>
  </cols>
  <sheetData>
    <row r="1" spans="1:2" ht="17.25" thickBot="1" x14ac:dyDescent="0.35">
      <c r="A1" s="1" t="s">
        <v>103</v>
      </c>
      <c r="B1" s="1" t="s">
        <v>104</v>
      </c>
    </row>
    <row r="2" spans="1:2" ht="17.25" thickTop="1" x14ac:dyDescent="0.3">
      <c r="A2" t="s">
        <v>105</v>
      </c>
      <c r="B2" t="s">
        <v>26</v>
      </c>
    </row>
    <row r="3" spans="1:2" x14ac:dyDescent="0.3">
      <c r="A3" t="s">
        <v>106</v>
      </c>
      <c r="B3" t="s">
        <v>37</v>
      </c>
    </row>
    <row r="4" spans="1:2" x14ac:dyDescent="0.3">
      <c r="A4" t="s">
        <v>107</v>
      </c>
      <c r="B4" t="s">
        <v>48</v>
      </c>
    </row>
    <row r="5" spans="1:2" x14ac:dyDescent="0.3">
      <c r="A5" t="s">
        <v>108</v>
      </c>
      <c r="B5" t="s">
        <v>59</v>
      </c>
    </row>
    <row r="6" spans="1:2" x14ac:dyDescent="0.3">
      <c r="A6" t="s">
        <v>109</v>
      </c>
      <c r="B6" t="s">
        <v>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035F-6940-4EE1-AE63-790301151C44}">
  <sheetPr>
    <tabColor theme="9" tint="-0.499984740745262"/>
  </sheetPr>
  <dimension ref="C4:E6"/>
  <sheetViews>
    <sheetView showGridLines="0" zoomScaleNormal="100" workbookViewId="0">
      <selection activeCell="E6" sqref="E6"/>
    </sheetView>
  </sheetViews>
  <sheetFormatPr defaultRowHeight="16.5" x14ac:dyDescent="0.3"/>
  <cols>
    <col min="1" max="1" width="4.875" customWidth="1"/>
    <col min="2" max="2" width="15.75" bestFit="1" customWidth="1"/>
    <col min="3" max="3" width="16" bestFit="1" customWidth="1"/>
    <col min="4" max="4" width="11.875" bestFit="1" customWidth="1"/>
    <col min="5" max="5" width="15.875" bestFit="1" customWidth="1"/>
    <col min="6" max="6" width="15.75" customWidth="1"/>
    <col min="7" max="7" width="14" bestFit="1" customWidth="1"/>
    <col min="8" max="8" width="19.375" bestFit="1" customWidth="1"/>
    <col min="9" max="9" width="13.75" bestFit="1" customWidth="1"/>
    <col min="10" max="10" width="6.875" bestFit="1" customWidth="1"/>
    <col min="11" max="11" width="14.375" bestFit="1" customWidth="1"/>
  </cols>
  <sheetData>
    <row r="4" spans="3:5" x14ac:dyDescent="0.3">
      <c r="C4" s="5" t="s">
        <v>104</v>
      </c>
      <c r="D4" t="s">
        <v>110</v>
      </c>
      <c r="E4" t="s">
        <v>111</v>
      </c>
    </row>
    <row r="5" spans="3:5" x14ac:dyDescent="0.3">
      <c r="C5" t="s">
        <v>37</v>
      </c>
      <c r="D5" s="6">
        <v>47461</v>
      </c>
      <c r="E5" s="6">
        <v>11415348000</v>
      </c>
    </row>
    <row r="6" spans="3:5" x14ac:dyDescent="0.3">
      <c r="C6" t="s">
        <v>112</v>
      </c>
      <c r="D6" s="6">
        <v>47461</v>
      </c>
      <c r="E6" s="6">
        <v>11415348000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5176-EC0D-4CDD-9484-618074A41441}">
  <sheetPr>
    <tabColor rgb="FF7030A0"/>
  </sheetPr>
  <dimension ref="A1:F51"/>
  <sheetViews>
    <sheetView showGridLines="0" tabSelected="1" zoomScale="70" zoomScaleNormal="70" workbookViewId="0">
      <selection activeCell="D9" sqref="D9"/>
    </sheetView>
  </sheetViews>
  <sheetFormatPr defaultRowHeight="16.5" x14ac:dyDescent="0.3"/>
  <cols>
    <col min="1" max="1" width="14.5" bestFit="1" customWidth="1"/>
    <col min="2" max="2" width="11.625" bestFit="1" customWidth="1"/>
    <col min="3" max="3" width="6.125" customWidth="1"/>
    <col min="4" max="4" width="33" customWidth="1"/>
    <col min="5" max="5" width="7.875" customWidth="1"/>
    <col min="6" max="6" width="12.875" customWidth="1"/>
  </cols>
  <sheetData>
    <row r="1" spans="1:6" x14ac:dyDescent="0.3">
      <c r="A1" s="5" t="s">
        <v>104</v>
      </c>
      <c r="B1" t="s" vm="2">
        <v>37</v>
      </c>
    </row>
    <row r="3" spans="1:6" x14ac:dyDescent="0.3">
      <c r="A3" s="5" t="s">
        <v>1</v>
      </c>
      <c r="B3" t="s">
        <v>111</v>
      </c>
    </row>
    <row r="4" spans="1:6" x14ac:dyDescent="0.3">
      <c r="A4" t="s">
        <v>5</v>
      </c>
      <c r="B4" s="7">
        <v>2944440000</v>
      </c>
    </row>
    <row r="5" spans="1:6" x14ac:dyDescent="0.3">
      <c r="A5" t="s">
        <v>13</v>
      </c>
      <c r="B5" s="7">
        <v>2875893000</v>
      </c>
    </row>
    <row r="6" spans="1:6" x14ac:dyDescent="0.3">
      <c r="A6" t="s">
        <v>17</v>
      </c>
      <c r="B6" s="7">
        <v>2813517000</v>
      </c>
    </row>
    <row r="7" spans="1:6" x14ac:dyDescent="0.3">
      <c r="A7" t="s">
        <v>9</v>
      </c>
      <c r="B7" s="7">
        <v>2781498000</v>
      </c>
    </row>
    <row r="9" spans="1:6" x14ac:dyDescent="0.3">
      <c r="A9" s="5" t="s">
        <v>81</v>
      </c>
      <c r="B9" t="s" vm="3">
        <v>93</v>
      </c>
      <c r="F9" s="6"/>
    </row>
    <row r="10" spans="1:6" x14ac:dyDescent="0.3">
      <c r="F10" s="6"/>
    </row>
    <row r="11" spans="1:6" x14ac:dyDescent="0.3">
      <c r="A11" s="5" t="s">
        <v>1</v>
      </c>
      <c r="B11" t="s">
        <v>111</v>
      </c>
      <c r="F11" s="6"/>
    </row>
    <row r="12" spans="1:6" x14ac:dyDescent="0.3">
      <c r="A12" t="s">
        <v>9</v>
      </c>
      <c r="B12" s="7">
        <v>34275000</v>
      </c>
      <c r="F12" s="6"/>
    </row>
    <row r="13" spans="1:6" x14ac:dyDescent="0.3">
      <c r="A13" t="s">
        <v>17</v>
      </c>
      <c r="B13" s="7">
        <v>34257000</v>
      </c>
    </row>
    <row r="14" spans="1:6" x14ac:dyDescent="0.3">
      <c r="A14" t="s">
        <v>13</v>
      </c>
      <c r="B14" s="7">
        <v>32868000</v>
      </c>
    </row>
    <row r="15" spans="1:6" x14ac:dyDescent="0.3">
      <c r="A15" t="s">
        <v>5</v>
      </c>
      <c r="B15" s="7">
        <v>30264000</v>
      </c>
    </row>
    <row r="17" spans="1:5" x14ac:dyDescent="0.3">
      <c r="A17" s="5" t="s">
        <v>3</v>
      </c>
      <c r="B17" t="s">
        <v>111</v>
      </c>
    </row>
    <row r="18" spans="1:5" x14ac:dyDescent="0.3">
      <c r="A18" t="s">
        <v>19</v>
      </c>
      <c r="B18" s="7">
        <v>2813517000</v>
      </c>
    </row>
    <row r="19" spans="1:5" x14ac:dyDescent="0.3">
      <c r="A19" t="s">
        <v>11</v>
      </c>
      <c r="B19" s="7">
        <v>2781498000</v>
      </c>
    </row>
    <row r="20" spans="1:5" x14ac:dyDescent="0.3">
      <c r="A20" t="s">
        <v>15</v>
      </c>
      <c r="B20" s="7">
        <v>2875893000</v>
      </c>
    </row>
    <row r="21" spans="1:5" x14ac:dyDescent="0.3">
      <c r="A21" t="s">
        <v>7</v>
      </c>
      <c r="B21" s="7">
        <v>2944440000</v>
      </c>
    </row>
    <row r="23" spans="1:5" x14ac:dyDescent="0.3">
      <c r="A23" s="5" t="s">
        <v>81</v>
      </c>
      <c r="B23" t="s">
        <v>111</v>
      </c>
    </row>
    <row r="24" spans="1:5" x14ac:dyDescent="0.3">
      <c r="A24" t="s">
        <v>113</v>
      </c>
      <c r="B24" s="7">
        <v>10678860000</v>
      </c>
    </row>
    <row r="25" spans="1:5" x14ac:dyDescent="0.3">
      <c r="A25" t="s">
        <v>93</v>
      </c>
      <c r="B25" s="7">
        <v>131664000</v>
      </c>
      <c r="D25" t="str">
        <f t="shared" ref="D25:E29" si="0">A25</f>
        <v>Hari Raya Idul Fitri 1438 Hijriah</v>
      </c>
      <c r="E25" s="7">
        <f t="shared" si="0"/>
        <v>131664000</v>
      </c>
    </row>
    <row r="26" spans="1:5" x14ac:dyDescent="0.3">
      <c r="A26" t="s">
        <v>94</v>
      </c>
      <c r="B26" s="7">
        <v>113118000</v>
      </c>
      <c r="D26" t="str">
        <f>A26</f>
        <v>Cuti bersama Idul Fitri 1438 Hijriyah</v>
      </c>
      <c r="E26" s="7">
        <f t="shared" si="0"/>
        <v>113118000</v>
      </c>
    </row>
    <row r="27" spans="1:5" x14ac:dyDescent="0.3">
      <c r="A27" t="s">
        <v>88</v>
      </c>
      <c r="B27" s="7">
        <v>38334000</v>
      </c>
      <c r="D27" t="str">
        <f t="shared" si="0"/>
        <v>Hari Raya Nyepi Tahun Baru Saka 1939</v>
      </c>
      <c r="E27" s="7">
        <f t="shared" si="0"/>
        <v>38334000</v>
      </c>
    </row>
    <row r="28" spans="1:5" x14ac:dyDescent="0.3">
      <c r="A28" t="s">
        <v>100</v>
      </c>
      <c r="B28" s="7">
        <v>38088000</v>
      </c>
      <c r="D28" t="str">
        <f t="shared" si="0"/>
        <v>Cuti bersama Natal</v>
      </c>
      <c r="E28" s="7">
        <f t="shared" si="0"/>
        <v>38088000</v>
      </c>
    </row>
    <row r="29" spans="1:5" x14ac:dyDescent="0.3">
      <c r="A29" t="s">
        <v>85</v>
      </c>
      <c r="B29" s="7">
        <v>36963000</v>
      </c>
      <c r="D29" t="str">
        <f t="shared" si="0"/>
        <v>Cuti bersama Tahun Baru 2017 Masehi</v>
      </c>
      <c r="E29" s="7">
        <f t="shared" si="0"/>
        <v>36963000</v>
      </c>
    </row>
    <row r="30" spans="1:5" x14ac:dyDescent="0.3">
      <c r="A30" t="s">
        <v>95</v>
      </c>
      <c r="B30" s="7">
        <v>35007000</v>
      </c>
    </row>
    <row r="31" spans="1:5" x14ac:dyDescent="0.3">
      <c r="A31" t="s">
        <v>96</v>
      </c>
      <c r="B31" s="7">
        <v>34014000</v>
      </c>
    </row>
    <row r="32" spans="1:5" x14ac:dyDescent="0.3">
      <c r="A32" t="s">
        <v>92</v>
      </c>
      <c r="B32" s="7">
        <v>31227000</v>
      </c>
    </row>
    <row r="33" spans="1:2" x14ac:dyDescent="0.3">
      <c r="A33" t="s">
        <v>102</v>
      </c>
      <c r="B33" s="7">
        <v>30645000</v>
      </c>
    </row>
    <row r="34" spans="1:2" x14ac:dyDescent="0.3">
      <c r="A34" t="s">
        <v>98</v>
      </c>
      <c r="B34" s="7">
        <v>30363000</v>
      </c>
    </row>
    <row r="35" spans="1:2" x14ac:dyDescent="0.3">
      <c r="A35" t="s">
        <v>83</v>
      </c>
      <c r="B35" s="7">
        <v>29430000</v>
      </c>
    </row>
    <row r="36" spans="1:2" x14ac:dyDescent="0.3">
      <c r="A36" t="s">
        <v>101</v>
      </c>
      <c r="B36" s="7">
        <v>29145000</v>
      </c>
    </row>
    <row r="37" spans="1:2" x14ac:dyDescent="0.3">
      <c r="A37" t="s">
        <v>87</v>
      </c>
      <c r="B37" s="7">
        <v>28986000</v>
      </c>
    </row>
    <row r="38" spans="1:2" x14ac:dyDescent="0.3">
      <c r="A38" t="s">
        <v>89</v>
      </c>
      <c r="B38" s="7">
        <v>27543000</v>
      </c>
    </row>
    <row r="39" spans="1:2" x14ac:dyDescent="0.3">
      <c r="A39" t="s">
        <v>91</v>
      </c>
      <c r="B39" s="7">
        <v>27093000</v>
      </c>
    </row>
    <row r="40" spans="1:2" x14ac:dyDescent="0.3">
      <c r="A40" t="s">
        <v>97</v>
      </c>
      <c r="B40" s="7">
        <v>26310000</v>
      </c>
    </row>
    <row r="41" spans="1:2" x14ac:dyDescent="0.3">
      <c r="A41" t="s">
        <v>99</v>
      </c>
      <c r="B41" s="7">
        <v>24651000</v>
      </c>
    </row>
    <row r="42" spans="1:2" x14ac:dyDescent="0.3">
      <c r="A42" t="s">
        <v>90</v>
      </c>
      <c r="B42" s="7">
        <v>23907000</v>
      </c>
    </row>
    <row r="43" spans="1:2" x14ac:dyDescent="0.3">
      <c r="B43" s="7"/>
    </row>
    <row r="44" spans="1:2" x14ac:dyDescent="0.3">
      <c r="A44" s="5" t="s">
        <v>1</v>
      </c>
      <c r="B44" t="s" vm="1">
        <v>5</v>
      </c>
    </row>
    <row r="46" spans="1:2" x14ac:dyDescent="0.3">
      <c r="A46" s="5" t="s">
        <v>23</v>
      </c>
      <c r="B46" t="s">
        <v>111</v>
      </c>
    </row>
    <row r="47" spans="1:2" x14ac:dyDescent="0.3">
      <c r="A47" t="s">
        <v>38</v>
      </c>
      <c r="B47" s="7">
        <v>978468000</v>
      </c>
    </row>
    <row r="48" spans="1:2" x14ac:dyDescent="0.3">
      <c r="A48" t="s">
        <v>40</v>
      </c>
      <c r="B48" s="7">
        <v>712512000</v>
      </c>
    </row>
    <row r="49" spans="1:2" x14ac:dyDescent="0.3">
      <c r="A49" t="s">
        <v>42</v>
      </c>
      <c r="B49" s="7">
        <v>466440000</v>
      </c>
    </row>
    <row r="50" spans="1:2" x14ac:dyDescent="0.3">
      <c r="A50" t="s">
        <v>44</v>
      </c>
      <c r="B50" s="7">
        <v>409416000</v>
      </c>
    </row>
    <row r="51" spans="1:2" x14ac:dyDescent="0.3">
      <c r="A51" t="s">
        <v>46</v>
      </c>
      <c r="B51" s="7">
        <v>377604000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E909-D572-44A2-B028-962CA6EDA0E6}">
  <sheetPr>
    <tabColor rgb="FF7030A0"/>
  </sheetPr>
  <dimension ref="A1"/>
  <sheetViews>
    <sheetView showGridLines="0" workbookViewId="0"/>
  </sheetViews>
  <sheetFormatPr defaultRowHeight="16.5"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A1F33-C7E7-4DFB-9D73-CD5A00041C85}">
  <sheetPr>
    <tabColor rgb="FF002060"/>
  </sheetPr>
  <dimension ref="A1:B101"/>
  <sheetViews>
    <sheetView showGridLines="0" zoomScaleNormal="100" workbookViewId="0"/>
  </sheetViews>
  <sheetFormatPr defaultRowHeight="16.5" x14ac:dyDescent="0.3"/>
  <cols>
    <col min="1" max="1" width="7.125" customWidth="1"/>
  </cols>
  <sheetData>
    <row r="1" spans="1:2" x14ac:dyDescent="0.3">
      <c r="A1" s="8" t="s">
        <v>114</v>
      </c>
      <c r="B1" s="8" t="s">
        <v>115</v>
      </c>
    </row>
    <row r="2" spans="1:2" x14ac:dyDescent="0.3">
      <c r="A2">
        <v>1</v>
      </c>
      <c r="B2">
        <v>2</v>
      </c>
    </row>
    <row r="3" spans="1:2" x14ac:dyDescent="0.3">
      <c r="A3">
        <v>2</v>
      </c>
      <c r="B3">
        <v>4</v>
      </c>
    </row>
    <row r="4" spans="1:2" x14ac:dyDescent="0.3">
      <c r="A4">
        <v>3</v>
      </c>
      <c r="B4">
        <v>6</v>
      </c>
    </row>
    <row r="5" spans="1:2" x14ac:dyDescent="0.3">
      <c r="A5">
        <v>4</v>
      </c>
      <c r="B5">
        <v>8</v>
      </c>
    </row>
    <row r="6" spans="1:2" x14ac:dyDescent="0.3">
      <c r="A6">
        <v>5</v>
      </c>
      <c r="B6">
        <v>10</v>
      </c>
    </row>
    <row r="7" spans="1:2" x14ac:dyDescent="0.3">
      <c r="A7">
        <v>6</v>
      </c>
      <c r="B7">
        <v>12</v>
      </c>
    </row>
    <row r="8" spans="1:2" x14ac:dyDescent="0.3">
      <c r="A8">
        <v>7</v>
      </c>
      <c r="B8">
        <v>14</v>
      </c>
    </row>
    <row r="9" spans="1:2" x14ac:dyDescent="0.3">
      <c r="A9">
        <v>8</v>
      </c>
      <c r="B9">
        <v>16</v>
      </c>
    </row>
    <row r="10" spans="1:2" x14ac:dyDescent="0.3">
      <c r="A10">
        <v>9</v>
      </c>
      <c r="B10">
        <v>18</v>
      </c>
    </row>
    <row r="11" spans="1:2" x14ac:dyDescent="0.3">
      <c r="A11">
        <v>10</v>
      </c>
      <c r="B11">
        <v>20</v>
      </c>
    </row>
    <row r="12" spans="1:2" x14ac:dyDescent="0.3">
      <c r="A12">
        <v>11</v>
      </c>
      <c r="B12">
        <v>22</v>
      </c>
    </row>
    <row r="13" spans="1:2" x14ac:dyDescent="0.3">
      <c r="A13">
        <v>12</v>
      </c>
      <c r="B13">
        <v>24</v>
      </c>
    </row>
    <row r="14" spans="1:2" x14ac:dyDescent="0.3">
      <c r="A14">
        <v>13</v>
      </c>
      <c r="B14">
        <v>26</v>
      </c>
    </row>
    <row r="15" spans="1:2" x14ac:dyDescent="0.3">
      <c r="A15">
        <v>14</v>
      </c>
      <c r="B15">
        <v>28</v>
      </c>
    </row>
    <row r="16" spans="1:2" x14ac:dyDescent="0.3">
      <c r="A16">
        <v>15</v>
      </c>
      <c r="B16">
        <v>30</v>
      </c>
    </row>
    <row r="17" spans="1:2" x14ac:dyDescent="0.3">
      <c r="A17">
        <v>16</v>
      </c>
      <c r="B17">
        <v>32</v>
      </c>
    </row>
    <row r="18" spans="1:2" x14ac:dyDescent="0.3">
      <c r="A18">
        <v>17</v>
      </c>
      <c r="B18">
        <v>34</v>
      </c>
    </row>
    <row r="19" spans="1:2" x14ac:dyDescent="0.3">
      <c r="A19">
        <v>18</v>
      </c>
      <c r="B19">
        <v>36</v>
      </c>
    </row>
    <row r="20" spans="1:2" x14ac:dyDescent="0.3">
      <c r="A20">
        <v>19</v>
      </c>
      <c r="B20">
        <v>38</v>
      </c>
    </row>
    <row r="21" spans="1:2" x14ac:dyDescent="0.3">
      <c r="A21">
        <v>20</v>
      </c>
      <c r="B21">
        <v>40</v>
      </c>
    </row>
    <row r="22" spans="1:2" x14ac:dyDescent="0.3">
      <c r="A22">
        <v>21</v>
      </c>
      <c r="B22">
        <v>42</v>
      </c>
    </row>
    <row r="23" spans="1:2" x14ac:dyDescent="0.3">
      <c r="A23">
        <v>22</v>
      </c>
      <c r="B23">
        <v>44</v>
      </c>
    </row>
    <row r="24" spans="1:2" x14ac:dyDescent="0.3">
      <c r="A24">
        <v>23</v>
      </c>
      <c r="B24">
        <v>46</v>
      </c>
    </row>
    <row r="25" spans="1:2" x14ac:dyDescent="0.3">
      <c r="A25">
        <v>24</v>
      </c>
      <c r="B25">
        <v>48</v>
      </c>
    </row>
    <row r="26" spans="1:2" x14ac:dyDescent="0.3">
      <c r="A26">
        <v>25</v>
      </c>
      <c r="B26">
        <v>50</v>
      </c>
    </row>
    <row r="27" spans="1:2" x14ac:dyDescent="0.3">
      <c r="A27">
        <v>26</v>
      </c>
      <c r="B27">
        <v>52</v>
      </c>
    </row>
    <row r="28" spans="1:2" x14ac:dyDescent="0.3">
      <c r="A28">
        <v>27</v>
      </c>
      <c r="B28">
        <v>54</v>
      </c>
    </row>
    <row r="29" spans="1:2" x14ac:dyDescent="0.3">
      <c r="A29">
        <v>28</v>
      </c>
      <c r="B29">
        <v>56</v>
      </c>
    </row>
    <row r="30" spans="1:2" x14ac:dyDescent="0.3">
      <c r="A30">
        <v>29</v>
      </c>
      <c r="B30">
        <v>58</v>
      </c>
    </row>
    <row r="31" spans="1:2" x14ac:dyDescent="0.3">
      <c r="A31">
        <v>30</v>
      </c>
      <c r="B31">
        <v>60</v>
      </c>
    </row>
    <row r="32" spans="1:2" x14ac:dyDescent="0.3">
      <c r="A32">
        <v>31</v>
      </c>
      <c r="B32">
        <v>62</v>
      </c>
    </row>
    <row r="33" spans="1:2" x14ac:dyDescent="0.3">
      <c r="A33">
        <v>32</v>
      </c>
      <c r="B33">
        <v>64</v>
      </c>
    </row>
    <row r="34" spans="1:2" x14ac:dyDescent="0.3">
      <c r="A34">
        <v>33</v>
      </c>
      <c r="B34">
        <v>66</v>
      </c>
    </row>
    <row r="35" spans="1:2" x14ac:dyDescent="0.3">
      <c r="A35">
        <v>34</v>
      </c>
      <c r="B35">
        <v>68</v>
      </c>
    </row>
    <row r="36" spans="1:2" x14ac:dyDescent="0.3">
      <c r="A36">
        <v>35</v>
      </c>
      <c r="B36">
        <v>70</v>
      </c>
    </row>
    <row r="37" spans="1:2" x14ac:dyDescent="0.3">
      <c r="A37">
        <v>36</v>
      </c>
      <c r="B37">
        <v>72</v>
      </c>
    </row>
    <row r="38" spans="1:2" x14ac:dyDescent="0.3">
      <c r="A38">
        <v>37</v>
      </c>
      <c r="B38">
        <v>74</v>
      </c>
    </row>
    <row r="39" spans="1:2" x14ac:dyDescent="0.3">
      <c r="A39">
        <v>38</v>
      </c>
      <c r="B39">
        <v>76</v>
      </c>
    </row>
    <row r="40" spans="1:2" x14ac:dyDescent="0.3">
      <c r="A40">
        <v>39</v>
      </c>
      <c r="B40">
        <v>78</v>
      </c>
    </row>
    <row r="41" spans="1:2" x14ac:dyDescent="0.3">
      <c r="A41">
        <v>40</v>
      </c>
      <c r="B41">
        <v>80</v>
      </c>
    </row>
    <row r="42" spans="1:2" x14ac:dyDescent="0.3">
      <c r="A42">
        <v>41</v>
      </c>
      <c r="B42">
        <v>82</v>
      </c>
    </row>
    <row r="43" spans="1:2" x14ac:dyDescent="0.3">
      <c r="A43">
        <v>42</v>
      </c>
      <c r="B43">
        <v>84</v>
      </c>
    </row>
    <row r="44" spans="1:2" x14ac:dyDescent="0.3">
      <c r="A44">
        <v>43</v>
      </c>
      <c r="B44">
        <v>86</v>
      </c>
    </row>
    <row r="45" spans="1:2" x14ac:dyDescent="0.3">
      <c r="A45">
        <v>44</v>
      </c>
      <c r="B45">
        <v>88</v>
      </c>
    </row>
    <row r="46" spans="1:2" x14ac:dyDescent="0.3">
      <c r="A46">
        <v>45</v>
      </c>
      <c r="B46">
        <v>90</v>
      </c>
    </row>
    <row r="47" spans="1:2" x14ac:dyDescent="0.3">
      <c r="A47">
        <v>46</v>
      </c>
      <c r="B47">
        <v>92</v>
      </c>
    </row>
    <row r="48" spans="1:2" x14ac:dyDescent="0.3">
      <c r="A48">
        <v>47</v>
      </c>
      <c r="B48">
        <v>94</v>
      </c>
    </row>
    <row r="49" spans="1:2" x14ac:dyDescent="0.3">
      <c r="A49">
        <v>48</v>
      </c>
      <c r="B49">
        <v>96</v>
      </c>
    </row>
    <row r="50" spans="1:2" x14ac:dyDescent="0.3">
      <c r="A50">
        <v>49</v>
      </c>
      <c r="B50">
        <v>98</v>
      </c>
    </row>
    <row r="51" spans="1:2" x14ac:dyDescent="0.3">
      <c r="A51">
        <v>50</v>
      </c>
      <c r="B51">
        <v>100</v>
      </c>
    </row>
    <row r="52" spans="1:2" x14ac:dyDescent="0.3">
      <c r="A52">
        <v>51</v>
      </c>
      <c r="B52">
        <v>102</v>
      </c>
    </row>
    <row r="53" spans="1:2" x14ac:dyDescent="0.3">
      <c r="A53">
        <v>52</v>
      </c>
      <c r="B53">
        <v>104</v>
      </c>
    </row>
    <row r="54" spans="1:2" x14ac:dyDescent="0.3">
      <c r="A54">
        <v>53</v>
      </c>
      <c r="B54">
        <v>106</v>
      </c>
    </row>
    <row r="55" spans="1:2" x14ac:dyDescent="0.3">
      <c r="A55">
        <v>54</v>
      </c>
      <c r="B55">
        <v>108</v>
      </c>
    </row>
    <row r="56" spans="1:2" x14ac:dyDescent="0.3">
      <c r="A56">
        <v>55</v>
      </c>
      <c r="B56">
        <v>110</v>
      </c>
    </row>
    <row r="57" spans="1:2" x14ac:dyDescent="0.3">
      <c r="A57">
        <v>56</v>
      </c>
      <c r="B57">
        <v>112</v>
      </c>
    </row>
    <row r="58" spans="1:2" x14ac:dyDescent="0.3">
      <c r="A58">
        <v>57</v>
      </c>
      <c r="B58">
        <v>114</v>
      </c>
    </row>
    <row r="59" spans="1:2" x14ac:dyDescent="0.3">
      <c r="A59">
        <v>58</v>
      </c>
      <c r="B59">
        <v>116</v>
      </c>
    </row>
    <row r="60" spans="1:2" x14ac:dyDescent="0.3">
      <c r="A60">
        <v>59</v>
      </c>
      <c r="B60">
        <v>118</v>
      </c>
    </row>
    <row r="61" spans="1:2" x14ac:dyDescent="0.3">
      <c r="A61">
        <v>60</v>
      </c>
      <c r="B61">
        <v>120</v>
      </c>
    </row>
    <row r="62" spans="1:2" x14ac:dyDescent="0.3">
      <c r="A62">
        <v>61</v>
      </c>
      <c r="B62">
        <v>122</v>
      </c>
    </row>
    <row r="63" spans="1:2" x14ac:dyDescent="0.3">
      <c r="A63">
        <v>62</v>
      </c>
      <c r="B63">
        <v>124</v>
      </c>
    </row>
    <row r="64" spans="1:2" x14ac:dyDescent="0.3">
      <c r="A64">
        <v>63</v>
      </c>
      <c r="B64">
        <v>126</v>
      </c>
    </row>
    <row r="65" spans="1:2" x14ac:dyDescent="0.3">
      <c r="A65">
        <v>64</v>
      </c>
      <c r="B65">
        <v>128</v>
      </c>
    </row>
    <row r="66" spans="1:2" x14ac:dyDescent="0.3">
      <c r="A66">
        <v>65</v>
      </c>
      <c r="B66">
        <v>130</v>
      </c>
    </row>
    <row r="67" spans="1:2" x14ac:dyDescent="0.3">
      <c r="A67">
        <v>66</v>
      </c>
      <c r="B67">
        <v>132</v>
      </c>
    </row>
    <row r="68" spans="1:2" x14ac:dyDescent="0.3">
      <c r="A68">
        <v>67</v>
      </c>
      <c r="B68">
        <v>134</v>
      </c>
    </row>
    <row r="69" spans="1:2" x14ac:dyDescent="0.3">
      <c r="A69">
        <v>68</v>
      </c>
      <c r="B69">
        <v>136</v>
      </c>
    </row>
    <row r="70" spans="1:2" x14ac:dyDescent="0.3">
      <c r="A70">
        <v>69</v>
      </c>
      <c r="B70">
        <v>138</v>
      </c>
    </row>
    <row r="71" spans="1:2" x14ac:dyDescent="0.3">
      <c r="A71">
        <v>70</v>
      </c>
      <c r="B71">
        <v>140</v>
      </c>
    </row>
    <row r="72" spans="1:2" x14ac:dyDescent="0.3">
      <c r="A72">
        <v>71</v>
      </c>
      <c r="B72">
        <v>142</v>
      </c>
    </row>
    <row r="73" spans="1:2" x14ac:dyDescent="0.3">
      <c r="A73">
        <v>72</v>
      </c>
      <c r="B73">
        <v>144</v>
      </c>
    </row>
    <row r="74" spans="1:2" x14ac:dyDescent="0.3">
      <c r="A74">
        <v>73</v>
      </c>
      <c r="B74">
        <v>146</v>
      </c>
    </row>
    <row r="75" spans="1:2" x14ac:dyDescent="0.3">
      <c r="A75">
        <v>74</v>
      </c>
      <c r="B75">
        <v>148</v>
      </c>
    </row>
    <row r="76" spans="1:2" x14ac:dyDescent="0.3">
      <c r="A76">
        <v>75</v>
      </c>
      <c r="B76">
        <v>150</v>
      </c>
    </row>
    <row r="77" spans="1:2" x14ac:dyDescent="0.3">
      <c r="A77">
        <v>76</v>
      </c>
      <c r="B77">
        <v>152</v>
      </c>
    </row>
    <row r="78" spans="1:2" x14ac:dyDescent="0.3">
      <c r="A78">
        <v>77</v>
      </c>
      <c r="B78">
        <v>154</v>
      </c>
    </row>
    <row r="79" spans="1:2" x14ac:dyDescent="0.3">
      <c r="A79">
        <v>78</v>
      </c>
      <c r="B79">
        <v>156</v>
      </c>
    </row>
    <row r="80" spans="1:2" x14ac:dyDescent="0.3">
      <c r="A80">
        <v>79</v>
      </c>
      <c r="B80">
        <v>158</v>
      </c>
    </row>
    <row r="81" spans="1:2" x14ac:dyDescent="0.3">
      <c r="A81">
        <v>80</v>
      </c>
      <c r="B81">
        <v>160</v>
      </c>
    </row>
    <row r="82" spans="1:2" x14ac:dyDescent="0.3">
      <c r="A82">
        <v>81</v>
      </c>
      <c r="B82">
        <v>162</v>
      </c>
    </row>
    <row r="83" spans="1:2" x14ac:dyDescent="0.3">
      <c r="A83">
        <v>82</v>
      </c>
      <c r="B83">
        <v>164</v>
      </c>
    </row>
    <row r="84" spans="1:2" x14ac:dyDescent="0.3">
      <c r="A84">
        <v>83</v>
      </c>
      <c r="B84">
        <v>166</v>
      </c>
    </row>
    <row r="85" spans="1:2" x14ac:dyDescent="0.3">
      <c r="A85">
        <v>84</v>
      </c>
      <c r="B85">
        <v>168</v>
      </c>
    </row>
    <row r="86" spans="1:2" x14ac:dyDescent="0.3">
      <c r="A86">
        <v>85</v>
      </c>
      <c r="B86">
        <v>170</v>
      </c>
    </row>
    <row r="87" spans="1:2" x14ac:dyDescent="0.3">
      <c r="A87">
        <v>86</v>
      </c>
      <c r="B87">
        <v>172</v>
      </c>
    </row>
    <row r="88" spans="1:2" x14ac:dyDescent="0.3">
      <c r="A88">
        <v>87</v>
      </c>
      <c r="B88">
        <v>174</v>
      </c>
    </row>
    <row r="89" spans="1:2" x14ac:dyDescent="0.3">
      <c r="A89">
        <v>88</v>
      </c>
      <c r="B89">
        <v>176</v>
      </c>
    </row>
    <row r="90" spans="1:2" x14ac:dyDescent="0.3">
      <c r="A90">
        <v>89</v>
      </c>
      <c r="B90">
        <v>178</v>
      </c>
    </row>
    <row r="91" spans="1:2" x14ac:dyDescent="0.3">
      <c r="A91">
        <v>90</v>
      </c>
      <c r="B91">
        <v>180</v>
      </c>
    </row>
    <row r="92" spans="1:2" x14ac:dyDescent="0.3">
      <c r="A92">
        <v>91</v>
      </c>
      <c r="B92">
        <v>182</v>
      </c>
    </row>
    <row r="93" spans="1:2" x14ac:dyDescent="0.3">
      <c r="A93">
        <v>92</v>
      </c>
      <c r="B93">
        <v>184</v>
      </c>
    </row>
    <row r="94" spans="1:2" x14ac:dyDescent="0.3">
      <c r="A94">
        <v>93</v>
      </c>
      <c r="B94">
        <v>186</v>
      </c>
    </row>
    <row r="95" spans="1:2" x14ac:dyDescent="0.3">
      <c r="A95">
        <v>94</v>
      </c>
      <c r="B95">
        <v>188</v>
      </c>
    </row>
    <row r="96" spans="1:2" x14ac:dyDescent="0.3">
      <c r="A96">
        <v>95</v>
      </c>
      <c r="B96">
        <v>190</v>
      </c>
    </row>
    <row r="97" spans="1:2" x14ac:dyDescent="0.3">
      <c r="A97">
        <v>96</v>
      </c>
      <c r="B97">
        <v>192</v>
      </c>
    </row>
    <row r="98" spans="1:2" x14ac:dyDescent="0.3">
      <c r="A98">
        <v>97</v>
      </c>
      <c r="B98">
        <v>194</v>
      </c>
    </row>
    <row r="99" spans="1:2" x14ac:dyDescent="0.3">
      <c r="A99">
        <v>98</v>
      </c>
      <c r="B99">
        <v>196</v>
      </c>
    </row>
    <row r="100" spans="1:2" x14ac:dyDescent="0.3">
      <c r="A100">
        <v>99</v>
      </c>
      <c r="B100">
        <v>198</v>
      </c>
    </row>
    <row r="101" spans="1:2" x14ac:dyDescent="0.3">
      <c r="A101">
        <v>100</v>
      </c>
      <c r="B101">
        <v>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21D3-DAC8-44F1-95C9-2C928B7B15B7}">
  <sheetPr>
    <tabColor rgb="FF002060"/>
  </sheetPr>
  <dimension ref="A1"/>
  <sheetViews>
    <sheetView showGridLines="0" zoomScaleNormal="100" workbookViewId="0"/>
  </sheetViews>
  <sheetFormatPr defaultRowHeight="16.5" x14ac:dyDescent="0.3"/>
  <sheetData>
    <row r="1" spans="1:1" ht="18.75" x14ac:dyDescent="0.3">
      <c r="A1" s="9" t="s">
        <v>116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B2AD7-2145-44BD-A3B5-2E406FED7529}">
  <sheetPr>
    <tabColor rgb="FF002060"/>
  </sheetPr>
  <dimension ref="A1:A6"/>
  <sheetViews>
    <sheetView showGridLines="0" zoomScaleNormal="100" workbookViewId="0"/>
  </sheetViews>
  <sheetFormatPr defaultRowHeight="16.5" x14ac:dyDescent="0.3"/>
  <sheetData>
    <row r="1" spans="1:1" ht="18.75" x14ac:dyDescent="0.3">
      <c r="A1" s="9" t="s">
        <v>117</v>
      </c>
    </row>
    <row r="2" spans="1:1" ht="18.75" x14ac:dyDescent="0.3">
      <c r="A2" s="9"/>
    </row>
    <row r="3" spans="1:1" ht="18.75" x14ac:dyDescent="0.3">
      <c r="A3" s="9" t="s">
        <v>118</v>
      </c>
    </row>
    <row r="4" spans="1:1" ht="18.75" x14ac:dyDescent="0.3">
      <c r="A4" s="9" t="s">
        <v>119</v>
      </c>
    </row>
    <row r="5" spans="1:1" ht="18.75" x14ac:dyDescent="0.3">
      <c r="A5" s="9" t="s">
        <v>120</v>
      </c>
    </row>
    <row r="6" spans="1:1" ht="18.75" x14ac:dyDescent="0.3">
      <c r="A6" s="9"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6FD9A331-610B-4FA2-8766-841AB1782030}">
  <ds:schemaRefs>
    <ds:schemaRef ds:uri="http://gemini/pivotcustomization/fef6f630-6126-4175-8d07-c49d56a87767"/>
  </ds:schemaRefs>
</ds:datastoreItem>
</file>

<file path=customXml/itemProps2.xml><?xml version="1.0" encoding="utf-8"?>
<ds:datastoreItem xmlns:ds="http://schemas.openxmlformats.org/officeDocument/2006/customXml" ds:itemID="{2E0303A7-7560-4F3A-A084-18794A4456D2}">
  <ds:schemaRefs>
    <ds:schemaRef ds:uri="http://gemini/pivotcustomization/ManualCalcMode"/>
  </ds:schemaRefs>
</ds:datastoreItem>
</file>

<file path=customXml/itemProps3.xml><?xml version="1.0" encoding="utf-8"?>
<ds:datastoreItem xmlns:ds="http://schemas.openxmlformats.org/officeDocument/2006/customXml" ds:itemID="{1A442E09-E9FC-4A90-B341-EDA15A6320BF}">
  <ds:schemaRefs>
    <ds:schemaRef ds:uri="http://gemini/pivotcustomization/TableXML_ltKatagori"/>
  </ds:schemaRefs>
</ds:datastoreItem>
</file>

<file path=customXml/itemProps4.xml><?xml version="1.0" encoding="utf-8"?>
<ds:datastoreItem xmlns:ds="http://schemas.openxmlformats.org/officeDocument/2006/customXml" ds:itemID="{1E9A650D-7D50-4AEC-9899-8BA1EDFB003B}">
  <ds:schemaRefs>
    <ds:schemaRef ds:uri="http://gemini/pivotcustomization/ShowImplicitMeasures"/>
  </ds:schemaRefs>
</ds:datastoreItem>
</file>

<file path=customXml/itemProps5.xml><?xml version="1.0" encoding="utf-8"?>
<ds:datastoreItem xmlns:ds="http://schemas.openxmlformats.org/officeDocument/2006/customXml" ds:itemID="{92751D9D-3F4A-46F9-B58A-75DF362DF942}">
  <ds:schemaRefs>
    <ds:schemaRef ds:uri="http://gemini/pivotcustomization/TableXML_lookupProduk"/>
  </ds:schemaRefs>
</ds:datastoreItem>
</file>

<file path=customXml/itemProps6.xml><?xml version="1.0" encoding="utf-8"?>
<ds:datastoreItem xmlns:ds="http://schemas.openxmlformats.org/officeDocument/2006/customXml" ds:itemID="{7201EF34-EF2A-4A86-BD4B-ED585FF86641}">
  <ds:schemaRefs/>
</ds:datastoreItem>
</file>

<file path=customXml/itemProps7.xml><?xml version="1.0" encoding="utf-8"?>
<ds:datastoreItem xmlns:ds="http://schemas.openxmlformats.org/officeDocument/2006/customXml" ds:itemID="{8BA328C7-24EF-4DD0-8EAC-1542D84EF616}">
  <ds:schemaRefs>
    <ds:schemaRef ds:uri="http://gemini/pivotcustomization/TableXML_ltMasterCabang"/>
  </ds:schemaRefs>
</ds:datastoreItem>
</file>

<file path=customXml/itemProps8.xml><?xml version="1.0" encoding="utf-8"?>
<ds:datastoreItem xmlns:ds="http://schemas.openxmlformats.org/officeDocument/2006/customXml" ds:itemID="{C66B803C-58E6-4050-AC45-04194737527E}">
  <ds:schemaRefs>
    <ds:schemaRef ds:uri="http://gemini/pivotcustomization/ShowHidden"/>
  </ds:schemaRefs>
</ds:datastoreItem>
</file>

<file path=customXml/itemProps9.xml><?xml version="1.0" encoding="utf-8"?>
<ds:datastoreItem xmlns:ds="http://schemas.openxmlformats.org/officeDocument/2006/customXml" ds:itemID="{93CD3173-EE96-4FC4-935A-97224F778B8A}">
  <ds:schemaRefs>
    <ds:schemaRef ds:uri="http://gemini/pivotcustomization/858b7855-8426-481b-b130-37ed33af8b4c"/>
  </ds:schemaRefs>
</ds:datastoreItem>
</file>

<file path=customXml/itemProps10.xml><?xml version="1.0" encoding="utf-8"?>
<ds:datastoreItem xmlns:ds="http://schemas.openxmlformats.org/officeDocument/2006/customXml" ds:itemID="{DC0E184E-3F71-4774-A0D1-760809E99E45}">
  <ds:schemaRefs>
    <ds:schemaRef ds:uri="http://gemini/pivotcustomization/64cd6d74-e1e2-44fa-9970-0090bce802fb"/>
  </ds:schemaRefs>
</ds:datastoreItem>
</file>

<file path=customXml/itemProps11.xml><?xml version="1.0" encoding="utf-8"?>
<ds:datastoreItem xmlns:ds="http://schemas.openxmlformats.org/officeDocument/2006/customXml" ds:itemID="{2127F95E-4CA9-47BC-8BCA-9BBAB8172C87}">
  <ds:schemaRefs>
    <ds:schemaRef ds:uri="http://gemini/pivotcustomization/ClientWindowXML"/>
  </ds:schemaRefs>
</ds:datastoreItem>
</file>

<file path=customXml/itemProps12.xml><?xml version="1.0" encoding="utf-8"?>
<ds:datastoreItem xmlns:ds="http://schemas.openxmlformats.org/officeDocument/2006/customXml" ds:itemID="{8B754CF2-3414-4ED4-9C23-6CBA01D721B1}">
  <ds:schemaRefs>
    <ds:schemaRef ds:uri="http://gemini/pivotcustomization/cc756e4b-bbe9-46c4-b521-1ca1708126e5"/>
  </ds:schemaRefs>
</ds:datastoreItem>
</file>

<file path=customXml/itemProps13.xml><?xml version="1.0" encoding="utf-8"?>
<ds:datastoreItem xmlns:ds="http://schemas.openxmlformats.org/officeDocument/2006/customXml" ds:itemID="{674B61E4-D2B6-4B12-B3F1-67BDB805E886}">
  <ds:schemaRefs>
    <ds:schemaRef ds:uri="http://gemini/pivotcustomization/7b1eba3c-dfe4-4455-87c1-dd3f49e6ca10"/>
  </ds:schemaRefs>
</ds:datastoreItem>
</file>

<file path=customXml/itemProps14.xml><?xml version="1.0" encoding="utf-8"?>
<ds:datastoreItem xmlns:ds="http://schemas.openxmlformats.org/officeDocument/2006/customXml" ds:itemID="{DBA8429C-697B-4347-803A-71A17833FA92}">
  <ds:schemaRefs/>
</ds:datastoreItem>
</file>

<file path=customXml/itemProps15.xml><?xml version="1.0" encoding="utf-8"?>
<ds:datastoreItem xmlns:ds="http://schemas.openxmlformats.org/officeDocument/2006/customXml" ds:itemID="{DC7DFC5C-C5D8-4458-84FA-90D83A772C1D}">
  <ds:schemaRefs/>
</ds:datastoreItem>
</file>

<file path=customXml/itemProps16.xml><?xml version="1.0" encoding="utf-8"?>
<ds:datastoreItem xmlns:ds="http://schemas.openxmlformats.org/officeDocument/2006/customXml" ds:itemID="{79A1F346-B944-44FB-AF2A-F8E6D324FB64}">
  <ds:schemaRefs>
    <ds:schemaRef ds:uri="http://gemini/pivotcustomization/baf636a0-28cc-4948-a3bc-9c8baab152c3"/>
  </ds:schemaRefs>
</ds:datastoreItem>
</file>

<file path=customXml/itemProps17.xml><?xml version="1.0" encoding="utf-8"?>
<ds:datastoreItem xmlns:ds="http://schemas.openxmlformats.org/officeDocument/2006/customXml" ds:itemID="{63E7C1F3-6FDE-43BE-9430-19453C1A0A76}">
  <ds:schemaRefs/>
</ds:datastoreItem>
</file>

<file path=customXml/itemProps18.xml><?xml version="1.0" encoding="utf-8"?>
<ds:datastoreItem xmlns:ds="http://schemas.openxmlformats.org/officeDocument/2006/customXml" ds:itemID="{9ACB1801-53C0-46D2-8515-25DA6AF91967}">
  <ds:schemaRefs>
    <ds:schemaRef ds:uri="http://gemini/pivotcustomization/MeasureGridState"/>
  </ds:schemaRefs>
</ds:datastoreItem>
</file>

<file path=customXml/itemProps19.xml><?xml version="1.0" encoding="utf-8"?>
<ds:datastoreItem xmlns:ds="http://schemas.openxmlformats.org/officeDocument/2006/customXml" ds:itemID="{D8E03C10-B546-4DED-B85B-C8858DBDF357}">
  <ds:schemaRefs>
    <ds:schemaRef ds:uri="http://gemini/pivotcustomization/TableXML_lookupToko"/>
  </ds:schemaRefs>
</ds:datastoreItem>
</file>

<file path=customXml/itemProps20.xml><?xml version="1.0" encoding="utf-8"?>
<ds:datastoreItem xmlns:ds="http://schemas.openxmlformats.org/officeDocument/2006/customXml" ds:itemID="{21F02DDD-1DC9-4D63-AE87-AA4B7DE04855}">
  <ds:schemaRefs>
    <ds:schemaRef ds:uri="http://gemini/pivotcustomization/TableXML_ltLiburan"/>
  </ds:schemaRefs>
</ds:datastoreItem>
</file>

<file path=customXml/itemProps21.xml><?xml version="1.0" encoding="utf-8"?>
<ds:datastoreItem xmlns:ds="http://schemas.openxmlformats.org/officeDocument/2006/customXml" ds:itemID="{5651C25C-BA19-4107-940E-55FD3F103937}">
  <ds:schemaRefs>
    <ds:schemaRef ds:uri="http://gemini/pivotcustomization/TableXML_ltMasterProduk"/>
  </ds:schemaRefs>
</ds:datastoreItem>
</file>

<file path=customXml/itemProps22.xml><?xml version="1.0" encoding="utf-8"?>
<ds:datastoreItem xmlns:ds="http://schemas.openxmlformats.org/officeDocument/2006/customXml" ds:itemID="{22634E59-852F-4FFD-8FFD-A219FC7B800E}">
  <ds:schemaRefs/>
</ds:datastoreItem>
</file>

<file path=customXml/itemProps23.xml><?xml version="1.0" encoding="utf-8"?>
<ds:datastoreItem xmlns:ds="http://schemas.openxmlformats.org/officeDocument/2006/customXml" ds:itemID="{7046B7D7-2C31-4309-AE48-2E0690A76A67}">
  <ds:schemaRefs>
    <ds:schemaRef ds:uri="http://gemini/pivotcustomization/TableXML_many1"/>
  </ds:schemaRefs>
</ds:datastoreItem>
</file>

<file path=customXml/itemProps24.xml><?xml version="1.0" encoding="utf-8"?>
<ds:datastoreItem xmlns:ds="http://schemas.openxmlformats.org/officeDocument/2006/customXml" ds:itemID="{AE616B34-42BA-496F-99E6-0972749270F7}">
  <ds:schemaRefs>
    <ds:schemaRef ds:uri="http://gemini/pivotcustomization/FormulaBarState"/>
  </ds:schemaRefs>
</ds:datastoreItem>
</file>

<file path=customXml/itemProps25.xml><?xml version="1.0" encoding="utf-8"?>
<ds:datastoreItem xmlns:ds="http://schemas.openxmlformats.org/officeDocument/2006/customXml" ds:itemID="{91614D89-EB01-4599-874A-3AF3E58713D9}">
  <ds:schemaRefs>
    <ds:schemaRef ds:uri="http://gemini/pivotcustomization/TableXML_lookupKalendar"/>
  </ds:schemaRefs>
</ds:datastoreItem>
</file>

<file path=customXml/itemProps26.xml><?xml version="1.0" encoding="utf-8"?>
<ds:datastoreItem xmlns:ds="http://schemas.openxmlformats.org/officeDocument/2006/customXml" ds:itemID="{94FDE6AA-D25C-4762-916E-1A48B26B8004}">
  <ds:schemaRefs/>
</ds:datastoreItem>
</file>

<file path=customXml/itemProps27.xml><?xml version="1.0" encoding="utf-8"?>
<ds:datastoreItem xmlns:ds="http://schemas.openxmlformats.org/officeDocument/2006/customXml" ds:itemID="{4FF8008F-7E66-4BC0-9124-21FA79856E2D}">
  <ds:schemaRefs>
    <ds:schemaRef ds:uri="http://gemini/pivotcustomization/TableXML_tMany1"/>
  </ds:schemaRefs>
</ds:datastoreItem>
</file>

<file path=customXml/itemProps28.xml><?xml version="1.0" encoding="utf-8"?>
<ds:datastoreItem xmlns:ds="http://schemas.openxmlformats.org/officeDocument/2006/customXml" ds:itemID="{19FF7067-374F-414D-887D-75E20DFACE89}">
  <ds:schemaRefs>
    <ds:schemaRef ds:uri="http://gemini/pivotcustomization/TableOrder"/>
  </ds:schemaRefs>
</ds:datastoreItem>
</file>

<file path=customXml/itemProps29.xml><?xml version="1.0" encoding="utf-8"?>
<ds:datastoreItem xmlns:ds="http://schemas.openxmlformats.org/officeDocument/2006/customXml" ds:itemID="{CF6615D1-F1BB-42F2-858A-42DCB9BDB409}">
  <ds:schemaRefs>
    <ds:schemaRef ds:uri="http://gemini/pivotcustomization/TableXML_Many2"/>
  </ds:schemaRefs>
</ds:datastoreItem>
</file>

<file path=customXml/itemProps30.xml><?xml version="1.0" encoding="utf-8"?>
<ds:datastoreItem xmlns:ds="http://schemas.openxmlformats.org/officeDocument/2006/customXml" ds:itemID="{1DB2722B-DDFD-48DB-A719-2D91AEC24F9F}">
  <ds:schemaRefs>
    <ds:schemaRef ds:uri="http://gemini/pivotcustomization/a1c8f04e-677e-423f-8e9e-35d5381aebf2"/>
  </ds:schemaRefs>
</ds:datastoreItem>
</file>

<file path=customXml/itemProps31.xml><?xml version="1.0" encoding="utf-8"?>
<ds:datastoreItem xmlns:ds="http://schemas.openxmlformats.org/officeDocument/2006/customXml" ds:itemID="{1B2FA6A0-B0D2-4EBE-9AA4-CF742AE1F140}">
  <ds:schemaRefs>
    <ds:schemaRef ds:uri="http://gemini/pivotcustomization/LinkedTableUpdateMode"/>
  </ds:schemaRefs>
</ds:datastoreItem>
</file>

<file path=customXml/itemProps32.xml><?xml version="1.0" encoding="utf-8"?>
<ds:datastoreItem xmlns:ds="http://schemas.openxmlformats.org/officeDocument/2006/customXml" ds:itemID="{3149CFD8-0663-46A3-98AE-5EF93B04F995}">
  <ds:schemaRefs>
    <ds:schemaRef ds:uri="http://gemini/pivotcustomization/TableXML_tSales"/>
  </ds:schemaRefs>
</ds:datastoreItem>
</file>

<file path=customXml/itemProps33.xml><?xml version="1.0" encoding="utf-8"?>
<ds:datastoreItem xmlns:ds="http://schemas.openxmlformats.org/officeDocument/2006/customXml" ds:itemID="{C0D505C1-B690-4024-8D82-B6101AFA644B}">
  <ds:schemaRefs>
    <ds:schemaRef ds:uri="http://gemini/pivotcustomization/TableXML_lookupKota"/>
  </ds:schemaRefs>
</ds:datastoreItem>
</file>

<file path=customXml/itemProps34.xml><?xml version="1.0" encoding="utf-8"?>
<ds:datastoreItem xmlns:ds="http://schemas.openxmlformats.org/officeDocument/2006/customXml" ds:itemID="{0D36743F-D167-439A-A3AA-DC34341387D3}">
  <ds:schemaRefs>
    <ds:schemaRef ds:uri="http://gemini/pivotcustomization/TableXML_lookupPelanggan"/>
  </ds:schemaRefs>
</ds:datastoreItem>
</file>

<file path=customXml/itemProps35.xml><?xml version="1.0" encoding="utf-8"?>
<ds:datastoreItem xmlns:ds="http://schemas.openxmlformats.org/officeDocument/2006/customXml" ds:itemID="{86D7283F-3DDA-40C3-8C7C-5F6C59C6EFFE}">
  <ds:schemaRefs/>
</ds:datastoreItem>
</file>

<file path=customXml/itemProps36.xml><?xml version="1.0" encoding="utf-8"?>
<ds:datastoreItem xmlns:ds="http://schemas.openxmlformats.org/officeDocument/2006/customXml" ds:itemID="{15BB8C93-80A4-48C6-B8BC-DF8534BA6939}">
  <ds:schemaRefs>
    <ds:schemaRef ds:uri="http://gemini/pivotcustomization/TableXML_tMany2"/>
  </ds:schemaRefs>
</ds:datastoreItem>
</file>

<file path=customXml/itemProps37.xml><?xml version="1.0" encoding="utf-8"?>
<ds:datastoreItem xmlns:ds="http://schemas.openxmlformats.org/officeDocument/2006/customXml" ds:itemID="{8DD2B5FB-F5C3-409F-8790-760659A1CA66}">
  <ds:schemaRefs>
    <ds:schemaRef ds:uri="http://gemini/pivotcustomization/69197f4b-99d7-4b1f-afed-09b5466f34da"/>
  </ds:schemaRefs>
</ds:datastoreItem>
</file>

<file path=customXml/itemProps38.xml><?xml version="1.0" encoding="utf-8"?>
<ds:datastoreItem xmlns:ds="http://schemas.openxmlformats.org/officeDocument/2006/customXml" ds:itemID="{972890C7-1718-4DE1-8C0B-20F81CFEE9C9}">
  <ds:schemaRefs>
    <ds:schemaRef ds:uri="http://gemini/pivotcustomization/ac7a8ec3-a8b3-4c6c-a426-798dce56d3b0"/>
  </ds:schemaRefs>
</ds:datastoreItem>
</file>

<file path=customXml/itemProps39.xml><?xml version="1.0" encoding="utf-8"?>
<ds:datastoreItem xmlns:ds="http://schemas.openxmlformats.org/officeDocument/2006/customXml" ds:itemID="{BC06EF36-0998-404B-B0BF-43FF0F94F09C}">
  <ds:schemaRefs>
    <ds:schemaRef ds:uri="http://gemini/pivotcustomization/5dd8e35a-7d9d-43b8-a542-4a851a493569"/>
  </ds:schemaRefs>
</ds:datastoreItem>
</file>

<file path=customXml/itemProps40.xml><?xml version="1.0" encoding="utf-8"?>
<ds:datastoreItem xmlns:ds="http://schemas.openxmlformats.org/officeDocument/2006/customXml" ds:itemID="{0F70E475-4BEB-405B-B4C7-FEE38B168DD3}">
  <ds:schemaRefs>
    <ds:schemaRef ds:uri="http://gemini/pivotcustomization/TableXML_dtTransaksi_9155819e-cc07-450c-b58a-8bfa4bca3c7c"/>
  </ds:schemaRefs>
</ds:datastoreItem>
</file>

<file path=customXml/itemProps41.xml><?xml version="1.0" encoding="utf-8"?>
<ds:datastoreItem xmlns:ds="http://schemas.openxmlformats.org/officeDocument/2006/customXml" ds:itemID="{E811C082-E351-49B9-A90C-E56767553C94}">
  <ds:schemaRefs>
    <ds:schemaRef ds:uri="http://gemini/pivotcustomization/TableXML_Transaksi Penjualan_d76d6240-2218-4b69-b1bd-12a5a6e028c3"/>
  </ds:schemaRefs>
</ds:datastoreItem>
</file>

<file path=customXml/itemProps42.xml><?xml version="1.0" encoding="utf-8"?>
<ds:datastoreItem xmlns:ds="http://schemas.openxmlformats.org/officeDocument/2006/customXml" ds:itemID="{C2A5D50C-DDDE-4EEA-8A20-E01AD7AD906F}">
  <ds:schemaRefs>
    <ds:schemaRef ds:uri="http://gemini/pivotcustomization/TableXML_tHarga"/>
  </ds:schemaRefs>
</ds:datastoreItem>
</file>

<file path=customXml/itemProps43.xml><?xml version="1.0" encoding="utf-8"?>
<ds:datastoreItem xmlns:ds="http://schemas.openxmlformats.org/officeDocument/2006/customXml" ds:itemID="{8D1962FC-7858-4C3E-A96C-B446D3D6A3DB}">
  <ds:schemaRefs>
    <ds:schemaRef ds:uri="http://schemas.microsoft.com/DataMashup"/>
  </ds:schemaRefs>
</ds:datastoreItem>
</file>

<file path=customXml/itemProps44.xml><?xml version="1.0" encoding="utf-8"?>
<ds:datastoreItem xmlns:ds="http://schemas.openxmlformats.org/officeDocument/2006/customXml" ds:itemID="{2C437C46-D270-4799-A986-CC4517B66987}">
  <ds:schemaRefs/>
</ds:datastoreItem>
</file>

<file path=customXml/itemProps45.xml><?xml version="1.0" encoding="utf-8"?>
<ds:datastoreItem xmlns:ds="http://schemas.openxmlformats.org/officeDocument/2006/customXml" ds:itemID="{3CB5D16C-17D2-4DAE-AEF5-57FB8356E011}">
  <ds:schemaRefs/>
</ds:datastoreItem>
</file>

<file path=customXml/itemProps46.xml><?xml version="1.0" encoding="utf-8"?>
<ds:datastoreItem xmlns:ds="http://schemas.openxmlformats.org/officeDocument/2006/customXml" ds:itemID="{17B52547-6644-4ABF-BBE4-9E5EF39D9764}">
  <ds:schemaRefs>
    <ds:schemaRef ds:uri="http://gemini/pivotcustomization/TableXML_Transaksi Penjualan_e773f77c-8e8d-4d52-ae12-93db18cf2fe1"/>
  </ds:schemaRefs>
</ds:datastoreItem>
</file>

<file path=customXml/itemProps47.xml><?xml version="1.0" encoding="utf-8"?>
<ds:datastoreItem xmlns:ds="http://schemas.openxmlformats.org/officeDocument/2006/customXml" ds:itemID="{07F28040-489A-49B7-89F0-A153F62D79B2}">
  <ds:schemaRefs>
    <ds:schemaRef ds:uri="http://gemini/pivotcustomization/TableXML_dtTranx"/>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 Cabang</vt:lpstr>
      <vt:lpstr>Master Produk</vt:lpstr>
      <vt:lpstr>Liburan</vt:lpstr>
      <vt:lpstr>Katagori Produk</vt:lpstr>
      <vt:lpstr>Transaksi</vt:lpstr>
      <vt:lpstr>Dapur1</vt:lpstr>
      <vt:lpstr>Dapur2</vt:lpstr>
      <vt:lpstr>Quartile</vt:lpstr>
      <vt:lpstr>Case1</vt:lpstr>
      <vt:lpstr>Case2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Boss Excel</dc:creator>
  <cp:keywords/>
  <dc:description/>
  <cp:lastModifiedBy>Fathurrahman</cp:lastModifiedBy>
  <cp:revision/>
  <dcterms:created xsi:type="dcterms:W3CDTF">2023-07-13T23:23:17Z</dcterms:created>
  <dcterms:modified xsi:type="dcterms:W3CDTF">2026-04-03T02:42:34Z</dcterms:modified>
  <cp:category/>
  <cp:contentStatus/>
</cp:coreProperties>
</file>